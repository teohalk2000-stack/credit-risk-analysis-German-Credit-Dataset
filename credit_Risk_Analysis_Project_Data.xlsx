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first _edit" sheetId="1" state="visible" r:id="rId3"/>
    <sheet name="outliers chek" sheetId="2" state="visible" r:id="rId4"/>
    <sheet name="histogram of emloyment_length" sheetId="3" state="visible" r:id="rId5"/>
    <sheet name="final_form" sheetId="4" state="visible" r:id="rId6"/>
    <sheet name="dashboard" sheetId="5" state="visible" r:id="rId7"/>
    <sheet name="sql query tables" sheetId="6" state="visible" r:id="rId8"/>
    <sheet name="t-test" sheetId="7" state="visible" r:id="rId9"/>
    <sheet name="Chi Square test" sheetId="8" state="visible" r:id="rId10"/>
  </sheets>
  <definedNames>
    <definedName function="false" hidden="true" localSheetId="3" name="_xlnm._FilterDatabase" vbProcedure="false">final_form!$A$2:$L$1002</definedName>
    <definedName function="false" hidden="true" localSheetId="1" name="_xlnm._FilterDatabase" vbProcedure="false">'outliers chek'!$A$2:$G$1002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<sst xmlns="http://schemas.openxmlformats.org/spreadsheetml/2006/main" count="9110" uniqueCount="78">
  <si>
    <t xml:space="preserve">months_loan_duration</t>
  </si>
  <si>
    <t xml:space="preserve">credit_history</t>
  </si>
  <si>
    <t xml:space="preserve">amount_euro</t>
  </si>
  <si>
    <t xml:space="preserve">employment_length</t>
  </si>
  <si>
    <t xml:space="preserve">employment_length_num</t>
  </si>
  <si>
    <t xml:space="preserve">corrected_ employment_length</t>
  </si>
  <si>
    <t xml:space="preserve">flag_inconsistency</t>
  </si>
  <si>
    <t xml:space="preserve">installment_rate</t>
  </si>
  <si>
    <t xml:space="preserve">age</t>
  </si>
  <si>
    <t xml:space="preserve">existing_credits</t>
  </si>
  <si>
    <t xml:space="preserve">default</t>
  </si>
  <si>
    <t xml:space="preserve">critical</t>
  </si>
  <si>
    <t xml:space="preserve">&gt; 7 yrs</t>
  </si>
  <si>
    <t xml:space="preserve">GOOD CREDIT</t>
  </si>
  <si>
    <t xml:space="preserve">repaid</t>
  </si>
  <si>
    <t xml:space="preserve">1 - 4 yrs</t>
  </si>
  <si>
    <t xml:space="preserve">BAD CREDIT</t>
  </si>
  <si>
    <t xml:space="preserve">4 - 7 yrs</t>
  </si>
  <si>
    <t xml:space="preserve">delayed</t>
  </si>
  <si>
    <t xml:space="preserve">unemployed</t>
  </si>
  <si>
    <t xml:space="preserve">0 - 1 yrs</t>
  </si>
  <si>
    <t xml:space="preserve">fully repaid</t>
  </si>
  <si>
    <t xml:space="preserve">fully repaid this bank</t>
  </si>
  <si>
    <t xml:space="preserve">outlier  (amount_euro) ?</t>
  </si>
  <si>
    <t xml:space="preserve">outlier (loan duration)?</t>
  </si>
  <si>
    <t xml:space="preserve">outlier(age)?</t>
  </si>
  <si>
    <t xml:space="preserve">variables</t>
  </si>
  <si>
    <t xml:space="preserve">Q1</t>
  </si>
  <si>
    <t xml:space="preserve">Q3</t>
  </si>
  <si>
    <t xml:space="preserve">IQR</t>
  </si>
  <si>
    <t xml:space="preserve">Upper_Bound</t>
  </si>
  <si>
    <t xml:space="preserve">Lower_Bound</t>
  </si>
  <si>
    <t xml:space="preserve">corrected_employment_length</t>
  </si>
  <si>
    <t xml:space="preserve">age_group</t>
  </si>
  <si>
    <t xml:space="preserve">rate_category</t>
  </si>
  <si>
    <t xml:space="preserve">employment_length_category</t>
  </si>
  <si>
    <t xml:space="preserve">senior</t>
  </si>
  <si>
    <t xml:space="preserve">High</t>
  </si>
  <si>
    <t xml:space="preserve">Young</t>
  </si>
  <si>
    <t xml:space="preserve">Middle</t>
  </si>
  <si>
    <t xml:space="preserve">short</t>
  </si>
  <si>
    <t xml:space="preserve">medium</t>
  </si>
  <si>
    <t xml:space="preserve">very short</t>
  </si>
  <si>
    <t xml:space="preserve">Low</t>
  </si>
  <si>
    <t xml:space="preserve"> </t>
  </si>
  <si>
    <t xml:space="preserve">total defalut rates</t>
  </si>
  <si>
    <t xml:space="preserve">bad credit for employment length categories</t>
  </si>
  <si>
    <t xml:space="preserve">count_default</t>
  </si>
  <si>
    <t xml:space="preserve">percentage (%)</t>
  </si>
  <si>
    <t xml:space="preserve">total_count</t>
  </si>
  <si>
    <t xml:space="preserve">BAD_CREDIT_PERCENTAGE (%)</t>
  </si>
  <si>
    <t xml:space="preserve">bad credits for age categories</t>
  </si>
  <si>
    <t xml:space="preserve">percentage_bad_credit (%)</t>
  </si>
  <si>
    <t xml:space="preserve">average loan amount (€ ) for defaul categories</t>
  </si>
  <si>
    <t xml:space="preserve">avg_amount</t>
  </si>
  <si>
    <t xml:space="preserve">bad credits for rates categories</t>
  </si>
  <si>
    <t xml:space="preserve">bad_credit_percentage (%)</t>
  </si>
  <si>
    <t xml:space="preserve">t-test result</t>
  </si>
  <si>
    <t xml:space="preserve">p-value=</t>
  </si>
  <si>
    <t xml:space="preserve">significance level=0.05</t>
  </si>
  <si>
    <t xml:space="preserve">IF p&lt;significance level reject Ho</t>
  </si>
  <si>
    <t xml:space="preserve">Ho: There is no statistically significant difference in the mean loan amount (amount_euro) between applicants considered as good credit and those considered as bad credit.</t>
  </si>
  <si>
    <t xml:space="preserve">H1 : There is a statistically significant difference in the mean loan amount (amount_euro) between applicants considered as good credit and those considered as bad credit.</t>
  </si>
  <si>
    <t xml:space="preserve">Welch-type standardized difference</t>
  </si>
  <si>
    <t xml:space="preserve">d=</t>
  </si>
  <si>
    <t xml:space="preserve">d= 0.20 - 0.49:    small  association between loan amount and default status.</t>
  </si>
  <si>
    <t xml:space="preserve">d=0.50  -  0.79:  moderate association between loan amount and default status.</t>
  </si>
  <si>
    <t xml:space="preserve">d&gt;= 0.80: large association between loan amount and default status.</t>
  </si>
  <si>
    <t xml:space="preserve">observed </t>
  </si>
  <si>
    <t xml:space="preserve">expected=row sum*colum sum/total</t>
  </si>
  <si>
    <t xml:space="preserve">RATE CATEGORY</t>
  </si>
  <si>
    <t xml:space="preserve">TOTAL</t>
  </si>
  <si>
    <t xml:space="preserve">LOW</t>
  </si>
  <si>
    <t xml:space="preserve">MIDDLE</t>
  </si>
  <si>
    <t xml:space="preserve">HIGH</t>
  </si>
  <si>
    <t xml:space="preserve">Chi Square test results </t>
  </si>
  <si>
    <t xml:space="preserve">Ho:there is no statistically significant difference between the installment rate categories and the default status.</t>
  </si>
  <si>
    <t xml:space="preserve">H1: There is no statistically significant difference between the installment rate categories and the default status.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</si>
</sst>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"/>
    <numFmt numFmtId="167" formatCode="#,##0"/>
    <numFmt numFmtId="168" formatCode="0.00\€"/>
    <numFmt numFmtId="169" formatCode="0\€"/>
    <numFmt numFmtId="170" formatCode="General"/>
    <numFmt numFmtId="171" formatCode="0.00E+00"/>
  </numFmts>
  <fonts count="3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i val="true"/>
      <sz val="11"/>
      <color theme="1"/>
      <name val="Arial"/>
      <family val="0"/>
      <charset val="1"/>
    </font>
    <font>
      <b val="true"/>
      <i val="true"/>
      <sz val="18"/>
      <color rgb="FF757575"/>
      <name val="Arial"/>
      <family val="2"/>
    </font>
    <font>
      <sz val="10"/>
      <color rgb="FF000000"/>
      <name val="Arial"/>
      <family val="2"/>
    </font>
    <font>
      <sz val="10"/>
      <color rgb="FF1A1A1A"/>
      <name val="Arial"/>
      <family val="2"/>
    </font>
    <font>
      <sz val="10"/>
      <color rgb="FF000000"/>
      <name val="Roboto"/>
      <family val="2"/>
    </font>
    <font>
      <b val="true"/>
      <i val="true"/>
      <sz val="10"/>
      <color rgb="FF000000"/>
      <name val="Arial"/>
      <family val="2"/>
    </font>
    <font>
      <b val="true"/>
      <sz val="10"/>
      <color rgb="FF000000"/>
      <name val="Arial"/>
      <family val="2"/>
    </font>
    <font>
      <b val="true"/>
      <i val="true"/>
      <sz val="10"/>
      <name val="Times New Roman"/>
      <family val="1"/>
    </font>
    <font>
      <i val="true"/>
      <sz val="10"/>
      <name val="Times New Roman"/>
      <family val="1"/>
    </font>
    <font>
      <i val="true"/>
      <sz val="11"/>
      <name val="Times New Roman"/>
      <family val="1"/>
    </font>
    <font>
      <b val="true"/>
      <i val="true"/>
      <u val="single"/>
      <sz val="10"/>
      <name val="Times New Roman"/>
      <family val="1"/>
    </font>
    <font>
      <b val="true"/>
      <i val="true"/>
      <sz val="11"/>
      <name val="Times New Roman"/>
      <family val="1"/>
    </font>
    <font>
      <b val="true"/>
      <sz val="10"/>
      <name val="Times New Roman"/>
      <family val="1"/>
    </font>
    <font>
      <sz val="10"/>
      <name val="Times New Roman"/>
      <family val="1"/>
    </font>
    <font>
      <b val="true"/>
      <u val="single"/>
      <sz val="10"/>
      <name val="Times New Roman"/>
      <family val="1"/>
    </font>
    <font>
      <sz val="11"/>
      <name val="Times New Roman"/>
      <family val="1"/>
    </font>
    <font>
      <b val="true"/>
      <sz val="11"/>
      <name val="Times New Roman"/>
      <family val="1"/>
    </font>
    <font>
      <b val="true"/>
      <sz val="12"/>
      <name val="Times New Roman"/>
      <family val="0"/>
    </font>
    <font>
      <i val="true"/>
      <sz val="10"/>
      <name val="Times New Roman"/>
      <family val="0"/>
    </font>
    <font>
      <sz val="12"/>
      <name val="Times New Roman"/>
      <family val="0"/>
    </font>
    <font>
      <sz val="14"/>
      <name val="Times New Roman"/>
      <family val="1"/>
    </font>
    <font>
      <b val="true"/>
      <sz val="14"/>
      <name val="Times New Roman"/>
      <family val="1"/>
    </font>
    <font>
      <u val="single"/>
      <sz val="14"/>
      <name val="Times New Roman"/>
      <family val="1"/>
    </font>
    <font>
      <i val="true"/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9900"/>
        <bgColor rgb="FFFBBC04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285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BBC04"/>
      <rgbColor rgb="FFFF9900"/>
      <rgbColor rgb="FFEA4335"/>
      <rgbColor rgb="FF4A86E8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Default rates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'sql query tables'!$C$2</c:f>
              <c:strCache>
                <c:ptCount val="1"/>
                <c:pt idx="0">
                  <c:v>percentage (%)</c:v>
                </c:pt>
              </c:strCache>
            </c:strRef>
          </c:tx>
          <c:spPr>
            <a:solidFill>
              <a:srgbClr val="4285f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00ff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; </c:separator>
            <c:showLeaderLines val="1"/>
          </c:dLbls>
          <c:cat>
            <c:strRef>
              <c:f>'sql query tables'!$A$3:$A$4</c:f>
              <c:strCache>
                <c:ptCount val="2"/>
                <c:pt idx="0">
                  <c:v>BAD CREDIT</c:v>
                </c:pt>
                <c:pt idx="1">
                  <c:v>GOOD CREDIT</c:v>
                </c:pt>
              </c:strCache>
            </c:strRef>
          </c:cat>
          <c:val>
            <c:numRef>
              <c:f>'sql query tables'!$C$3:$C$4</c:f>
              <c:numCache>
                <c:formatCode>General</c:formatCode>
                <c:ptCount val="2"/>
                <c:pt idx="0">
                  <c:v>30</c:v>
                </c:pt>
                <c:pt idx="1">
                  <c:v>70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size per Age Groups  and  percentages for Bad Credits for each  group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'sql query tables'!$B$7</c:f>
              <c:strCache>
                <c:ptCount val="1"/>
                <c:pt idx="0">
                  <c:v>total_count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tables'!$B$8:$B$10</c:f>
              <c:numCache>
                <c:formatCode>General</c:formatCode>
                <c:ptCount val="3"/>
                <c:pt idx="0">
                  <c:v>516</c:v>
                </c:pt>
                <c:pt idx="1">
                  <c:v>113</c:v>
                </c:pt>
                <c:pt idx="2">
                  <c:v>371</c:v>
                </c:pt>
              </c:numCache>
            </c:numRef>
          </c:val>
        </c:ser>
        <c:ser>
          <c:idx val="1"/>
          <c:order val="1"/>
          <c:tx>
            <c:strRef>
              <c:f>'sql query tables'!$C$7</c:f>
              <c:strCache>
                <c:ptCount val="1"/>
                <c:pt idx="0">
                  <c:v>percentage_bad_credit (%)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ea4335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Roboto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25.58 %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Roboto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27.43 %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Roboto"/>
                      <a:ea typeface="Arial"/>
                    </a:defRPr>
                  </a:pPr>
                </a:p>
              </c:txPr>
              <c:tx>
                <c:rich>
                  <a:bodyPr/>
                  <a:p>
                    <a:r>
                      <a:rPr b="0" sz="1000" spc="-1" strike="noStrike">
                        <a:solidFill>
                          <a:srgbClr val="000000"/>
                        </a:solidFill>
                        <a:latin typeface="Roboto"/>
                        <a:ea typeface="Arial"/>
                      </a:rPr>
                      <a:t>36.93 %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tables'!$C$8:$C$10</c:f>
              <c:numCache>
                <c:formatCode>General</c:formatCode>
                <c:ptCount val="3"/>
                <c:pt idx="0">
                  <c:v>25.58</c:v>
                </c:pt>
                <c:pt idx="1">
                  <c:v>27.43</c:v>
                </c:pt>
                <c:pt idx="2">
                  <c:v>36.93</c:v>
                </c:pt>
              </c:numCache>
            </c:numRef>
          </c:val>
        </c:ser>
        <c:ser>
          <c:idx val="2"/>
          <c:order val="2"/>
          <c:tx>
            <c:strRef>
              <c:f>'sql query tables'!$A$7</c:f>
              <c:strCache>
                <c:ptCount val="1"/>
                <c:pt idx="0">
                  <c:v>age_group</c:v>
                </c:pt>
              </c:strCache>
            </c:strRef>
          </c:tx>
          <c:spPr>
            <a:solidFill>
              <a:srgbClr val="fbbc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tables'!$A$8:$A$10</c:f>
              <c:strCache>
                <c:ptCount val="3"/>
                <c:pt idx="0">
                  <c:v>Middle</c:v>
                </c:pt>
                <c:pt idx="1">
                  <c:v>senior</c:v>
                </c:pt>
                <c:pt idx="2">
                  <c:v>Young</c:v>
                </c:pt>
              </c:strCache>
            </c:strRef>
          </c:cat>
          <c:val>
            <c:numRef>
              <c:f>'sql query tables'!$A$8:$A$10</c:f>
              <c:numCache>
                <c:formatCode>General</c:formatCode>
                <c:ptCount val="3"/>
              </c:numCache>
            </c:numRef>
          </c:val>
        </c:ser>
        <c:gapWidth val="150"/>
        <c:overlap val="100"/>
        <c:axId val="53271462"/>
        <c:axId val="92601651"/>
      </c:barChart>
      <c:catAx>
        <c:axId val="5327146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age_group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2601651"/>
        <c:crosses val="autoZero"/>
        <c:auto val="1"/>
        <c:lblAlgn val="ctr"/>
        <c:lblOffset val="100"/>
        <c:noMultiLvlLbl val="0"/>
      </c:catAx>
      <c:valAx>
        <c:axId val="9260165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3271462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Average Loan Amount per Default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'sql query tables'!$F$10</c:f>
              <c:strCache>
                <c:ptCount val="1"/>
                <c:pt idx="0">
                  <c:v>avg_amount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00ff0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99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\€" sourceLinked="0"/>
            <c:dLbl>
              <c:idx val="0"/>
              <c:numFmt formatCode="0.00\€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\€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tables'!$E$11:$E$12</c:f>
              <c:strCache>
                <c:ptCount val="2"/>
                <c:pt idx="0">
                  <c:v>BAD CREDIT</c:v>
                </c:pt>
                <c:pt idx="1">
                  <c:v>GOOD CREDIT</c:v>
                </c:pt>
              </c:strCache>
            </c:strRef>
          </c:cat>
          <c:val>
            <c:numRef>
              <c:f>'sql query tables'!$F$11:$F$12</c:f>
              <c:numCache>
                <c:formatCode>General</c:formatCode>
                <c:ptCount val="2"/>
                <c:pt idx="0">
                  <c:v>2012.38</c:v>
                </c:pt>
                <c:pt idx="1">
                  <c:v>1525.57</c:v>
                </c:pt>
              </c:numCache>
            </c:numRef>
          </c:val>
        </c:ser>
        <c:gapWidth val="150"/>
        <c:overlap val="100"/>
        <c:axId val="58903239"/>
        <c:axId val="71883238"/>
      </c:barChart>
      <c:catAx>
        <c:axId val="589032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default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1883238"/>
        <c:crosses val="autoZero"/>
        <c:auto val="1"/>
        <c:lblAlgn val="ctr"/>
        <c:lblOffset val="100"/>
        <c:noMultiLvlLbl val="0"/>
      </c:catAx>
      <c:valAx>
        <c:axId val="718832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avg_amount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€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89032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i="1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1" i="1" sz="1800" spc="-1" strike="noStrike">
                <a:solidFill>
                  <a:srgbClr val="757575"/>
                </a:solidFill>
                <a:latin typeface="Arial"/>
                <a:ea typeface="Arial"/>
              </a:rPr>
              <a:t>Total size  for Installment  Rate Categories and Bad Credit Percentage for Each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'sql query tables'!$B$13</c:f>
              <c:strCache>
                <c:ptCount val="1"/>
                <c:pt idx="0">
                  <c:v>total_count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4a86e8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i="1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i="1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tables'!$A$14:$A$16</c:f>
              <c:strCache>
                <c:ptCount val="3"/>
                <c:pt idx="0">
                  <c:v>Low</c:v>
                </c:pt>
                <c:pt idx="1">
                  <c:v>Middle</c:v>
                </c:pt>
                <c:pt idx="2">
                  <c:v>High</c:v>
                </c:pt>
              </c:strCache>
            </c:strRef>
          </c:cat>
          <c:val>
            <c:numRef>
              <c:f>'sql query tables'!$B$14:$B$16</c:f>
              <c:numCache>
                <c:formatCode>General</c:formatCode>
                <c:ptCount val="3"/>
                <c:pt idx="0">
                  <c:v>136</c:v>
                </c:pt>
                <c:pt idx="1">
                  <c:v>388</c:v>
                </c:pt>
                <c:pt idx="2">
                  <c:v>476</c:v>
                </c:pt>
              </c:numCache>
            </c:numRef>
          </c:val>
        </c:ser>
        <c:gapWidth val="150"/>
        <c:overlap val="0"/>
        <c:axId val="42665937"/>
        <c:axId val="92025601"/>
      </c:barChart>
      <c:lineChart>
        <c:grouping val="standard"/>
        <c:varyColors val="0"/>
        <c:ser>
          <c:idx val="1"/>
          <c:order val="1"/>
          <c:tx>
            <c:strRef>
              <c:f>'sql query tables'!$C$13</c:f>
              <c:strCache>
                <c:ptCount val="1"/>
                <c:pt idx="0">
                  <c:v>bad_credit_percentage (%)</c:v>
                </c:pt>
              </c:strCache>
            </c:strRef>
          </c:tx>
          <c:spPr>
            <a:solidFill>
              <a:srgbClr val="ea4335"/>
            </a:solidFill>
            <a:ln w="19080">
              <a:solidFill>
                <a:srgbClr val="ea4335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numFmt formatCode="General" sourceLinked="1"/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'sql query tables'!$A$14:$A$16</c:f>
              <c:strCache>
                <c:ptCount val="3"/>
                <c:pt idx="0">
                  <c:v>Low</c:v>
                </c:pt>
                <c:pt idx="1">
                  <c:v>Middle</c:v>
                </c:pt>
                <c:pt idx="2">
                  <c:v>High</c:v>
                </c:pt>
              </c:strCache>
            </c:strRef>
          </c:cat>
          <c:val>
            <c:numRef>
              <c:f>'sql query tables'!$C$14:$C$16</c:f>
              <c:numCache>
                <c:formatCode>General</c:formatCode>
                <c:ptCount val="3"/>
                <c:pt idx="0">
                  <c:v>25</c:v>
                </c:pt>
                <c:pt idx="1">
                  <c:v>27.58</c:v>
                </c:pt>
                <c:pt idx="2">
                  <c:v>33.4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963593"/>
        <c:axId val="43655782"/>
      </c:lineChart>
      <c:catAx>
        <c:axId val="42665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rate_category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2025601"/>
        <c:crosses val="autoZero"/>
        <c:auto val="1"/>
        <c:lblAlgn val="ctr"/>
        <c:lblOffset val="100"/>
        <c:noMultiLvlLbl val="0"/>
      </c:catAx>
      <c:valAx>
        <c:axId val="9202560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2665937"/>
        <c:crosses val="autoZero"/>
        <c:crossBetween val="between"/>
      </c:valAx>
      <c:catAx>
        <c:axId val="83963593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3655782"/>
        <c:auto val="1"/>
        <c:lblAlgn val="ctr"/>
        <c:lblOffset val="100"/>
        <c:noMultiLvlLbl val="0"/>
      </c:catAx>
      <c:valAx>
        <c:axId val="43655782"/>
        <c:scaling>
          <c:orientation val="minMax"/>
        </c:scaling>
        <c:delete val="0"/>
        <c:axPos val="r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396359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2.png"/><Relationship Id="rId4" Type="http://schemas.openxmlformats.org/officeDocument/2006/relationships/chart" Target="../charts/chart3.xml"/><Relationship Id="rId5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14</xdr:col>
      <xdr:colOff>217800</xdr:colOff>
      <xdr:row>38</xdr:row>
      <xdr:rowOff>99360</xdr:rowOff>
    </xdr:to>
    <xdr:pic>
      <xdr:nvPicPr>
        <xdr:cNvPr id="0" name="Chart1" descr=""/>
        <xdr:cNvPicPr/>
      </xdr:nvPicPr>
      <xdr:blipFill>
        <a:blip r:embed="rId1"/>
        <a:stretch/>
      </xdr:blipFill>
      <xdr:spPr>
        <a:xfrm>
          <a:off x="0" y="0"/>
          <a:ext cx="8610120" cy="6276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425160</xdr:colOff>
      <xdr:row>0</xdr:row>
      <xdr:rowOff>114480</xdr:rowOff>
    </xdr:from>
    <xdr:to>
      <xdr:col>9</xdr:col>
      <xdr:colOff>860400</xdr:colOff>
      <xdr:row>15</xdr:row>
      <xdr:rowOff>142920</xdr:rowOff>
    </xdr:to>
    <xdr:graphicFrame>
      <xdr:nvGraphicFramePr>
        <xdr:cNvPr id="1" name="Chart 2"/>
        <xdr:cNvGraphicFramePr/>
      </xdr:nvGraphicFramePr>
      <xdr:xfrm>
        <a:off x="3986280" y="114480"/>
        <a:ext cx="4886640" cy="302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343080</xdr:colOff>
      <xdr:row>20</xdr:row>
      <xdr:rowOff>0</xdr:rowOff>
    </xdr:from>
    <xdr:to>
      <xdr:col>6</xdr:col>
      <xdr:colOff>230400</xdr:colOff>
      <xdr:row>36</xdr:row>
      <xdr:rowOff>28080</xdr:rowOff>
    </xdr:to>
    <xdr:graphicFrame>
      <xdr:nvGraphicFramePr>
        <xdr:cNvPr id="2" name="Chart 3"/>
        <xdr:cNvGraphicFramePr/>
      </xdr:nvGraphicFramePr>
      <xdr:xfrm>
        <a:off x="343080" y="4000680"/>
        <a:ext cx="5229000" cy="32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43200</xdr:colOff>
      <xdr:row>20</xdr:row>
      <xdr:rowOff>0</xdr:rowOff>
    </xdr:from>
    <xdr:to>
      <xdr:col>15</xdr:col>
      <xdr:colOff>416160</xdr:colOff>
      <xdr:row>36</xdr:row>
      <xdr:rowOff>28080</xdr:rowOff>
    </xdr:to>
    <xdr:pic>
      <xdr:nvPicPr>
        <xdr:cNvPr id="3" name="Chart4" descr=""/>
        <xdr:cNvPicPr/>
      </xdr:nvPicPr>
      <xdr:blipFill>
        <a:blip r:embed="rId3"/>
        <a:stretch/>
      </xdr:blipFill>
      <xdr:spPr>
        <a:xfrm>
          <a:off x="8055720" y="4000680"/>
          <a:ext cx="5714640" cy="322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104760</xdr:colOff>
      <xdr:row>39</xdr:row>
      <xdr:rowOff>9360</xdr:rowOff>
    </xdr:from>
    <xdr:to>
      <xdr:col>6</xdr:col>
      <xdr:colOff>230040</xdr:colOff>
      <xdr:row>56</xdr:row>
      <xdr:rowOff>142200</xdr:rowOff>
    </xdr:to>
    <xdr:graphicFrame>
      <xdr:nvGraphicFramePr>
        <xdr:cNvPr id="4" name="Chart 5"/>
        <xdr:cNvGraphicFramePr/>
      </xdr:nvGraphicFramePr>
      <xdr:xfrm>
        <a:off x="104760" y="7810200"/>
        <a:ext cx="546696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114480</xdr:colOff>
      <xdr:row>38</xdr:row>
      <xdr:rowOff>104760</xdr:rowOff>
    </xdr:from>
    <xdr:to>
      <xdr:col>15</xdr:col>
      <xdr:colOff>487440</xdr:colOff>
      <xdr:row>56</xdr:row>
      <xdr:rowOff>37800</xdr:rowOff>
    </xdr:to>
    <xdr:graphicFrame>
      <xdr:nvGraphicFramePr>
        <xdr:cNvPr id="5" name="Chart 6"/>
        <xdr:cNvGraphicFramePr/>
      </xdr:nvGraphicFramePr>
      <xdr:xfrm>
        <a:off x="8127000" y="77058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104760</xdr:colOff>
      <xdr:row>57</xdr:row>
      <xdr:rowOff>19080</xdr:rowOff>
    </xdr:from>
    <xdr:to>
      <xdr:col>2</xdr:col>
      <xdr:colOff>714600</xdr:colOff>
      <xdr:row>66</xdr:row>
      <xdr:rowOff>152280</xdr:rowOff>
    </xdr:to>
    <xdr:sp>
      <xdr:nvSpPr>
        <xdr:cNvPr id="6" name="Shape 3"/>
        <xdr:cNvSpPr/>
      </xdr:nvSpPr>
      <xdr:spPr>
        <a:xfrm>
          <a:off x="104760" y="11420640"/>
          <a:ext cx="2390400" cy="1933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latin typeface="Times New Roman"/>
            </a:rPr>
            <a:t>t-test result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p-value=0.00002477691431</a:t>
          </a:r>
          <a:endParaRPr b="0" lang="en-US" sz="1000" spc="-1" strike="noStrike">
            <a:latin typeface="Times New Roman"/>
          </a:endParaRPr>
        </a:p>
        <a:p>
          <a:pPr algn="r"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significance level=0.05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IF p&lt;significance level reject Ho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Ho: </a:t>
          </a:r>
          <a:r>
            <a:rPr b="0" i="1" lang="en-US" sz="1100" spc="-1" strike="noStrike">
              <a:latin typeface="Times New Roman"/>
            </a:rPr>
            <a:t>There is no statistically significant difference in the mean loan amount (amount_euro) between applicants considered as good credit and those considered as bad credit. 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 u="sng">
              <a:uFillTx/>
              <a:latin typeface="Times New Roman"/>
            </a:rPr>
            <a:t>H1 : </a:t>
          </a:r>
          <a:r>
            <a:rPr b="1" i="1" lang="en-US" sz="1100" spc="-1" strike="noStrike">
              <a:latin typeface="Times New Roman"/>
            </a:rPr>
            <a:t>There is a  statistically significant difference in the mean loan amount (amount_euro) between applicants considered as good credit and those considered as bad credit.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oneCell">
    <xdr:from>
      <xdr:col>2</xdr:col>
      <xdr:colOff>800280</xdr:colOff>
      <xdr:row>57</xdr:row>
      <xdr:rowOff>95400</xdr:rowOff>
    </xdr:from>
    <xdr:to>
      <xdr:col>6</xdr:col>
      <xdr:colOff>86760</xdr:colOff>
      <xdr:row>65</xdr:row>
      <xdr:rowOff>199800</xdr:rowOff>
    </xdr:to>
    <xdr:sp>
      <xdr:nvSpPr>
        <xdr:cNvPr id="7" name="Shape 4"/>
        <xdr:cNvSpPr/>
      </xdr:nvSpPr>
      <xdr:spPr>
        <a:xfrm>
          <a:off x="2580840" y="11496960"/>
          <a:ext cx="2847600" cy="17046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latin typeface="Times New Roman"/>
            </a:rPr>
            <a:t>Welch-type standardized difference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latin typeface="Times New Roman"/>
            </a:rPr>
            <a:t>d=0.32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lang="en-US" sz="1000" spc="-1" strike="noStrike" u="sng">
              <a:uFillTx/>
              <a:latin typeface="Times New Roman"/>
            </a:rPr>
            <a:t>d= 0.20 - 0.49: </a:t>
          </a:r>
          <a:r>
            <a:rPr b="0" lang="en-US" sz="1100" spc="-1" strike="noStrike">
              <a:latin typeface="Times New Roman"/>
            </a:rPr>
            <a:t> </a:t>
          </a:r>
          <a:r>
            <a:rPr b="1" lang="en-US" sz="1100" spc="-1" strike="noStrike">
              <a:latin typeface="Times New Roman"/>
            </a:rPr>
            <a:t>small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latin typeface="Times New Roman"/>
            </a:rPr>
            <a:t>d=0.50 - 0.79: </a:t>
          </a:r>
          <a:r>
            <a:rPr b="0" lang="en-US" sz="1100" spc="-1" strike="noStrike">
              <a:latin typeface="Times New Roman"/>
            </a:rPr>
            <a:t>moderate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latin typeface="Times New Roman"/>
            </a:rPr>
            <a:t>d&gt;= 0.80: </a:t>
          </a:r>
          <a:r>
            <a:rPr b="0" lang="en-US" sz="1100" spc="-1" strike="noStrike">
              <a:latin typeface="Times New Roman"/>
            </a:rPr>
            <a:t>large  association between loan amount and default status.</a:t>
          </a:r>
          <a:endParaRPr b="0" lang="en-US" sz="11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oneCell">
    <xdr:from>
      <xdr:col>10</xdr:col>
      <xdr:colOff>495360</xdr:colOff>
      <xdr:row>56</xdr:row>
      <xdr:rowOff>66600</xdr:rowOff>
    </xdr:from>
    <xdr:to>
      <xdr:col>14</xdr:col>
      <xdr:colOff>629640</xdr:colOff>
      <xdr:row>70</xdr:row>
      <xdr:rowOff>66240</xdr:rowOff>
    </xdr:to>
    <xdr:sp>
      <xdr:nvSpPr>
        <xdr:cNvPr id="8" name="Shape 5"/>
        <xdr:cNvSpPr/>
      </xdr:nvSpPr>
      <xdr:spPr>
        <a:xfrm>
          <a:off x="9398160" y="11268000"/>
          <a:ext cx="3695400" cy="2800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tIns="91440" bIns="91440" anchor="t">
          <a:noAutofit/>
        </a:bodyPr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>
              <a:latin typeface="Times New Roman"/>
            </a:rPr>
            <a:t>Chi Square test result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lang="en-US" sz="1000" spc="-1" strike="noStrike">
              <a:latin typeface="Times New Roman"/>
            </a:rPr>
            <a:t>p-value=</a:t>
          </a:r>
          <a:r>
            <a:rPr b="0" i="1" lang="en-US" sz="1000" spc="-1" strike="noStrike">
              <a:latin typeface="Times New Roman"/>
            </a:rPr>
            <a:t>0.06989890753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 algn="r"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significance level=0.05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</a:rPr>
            <a:t>IF p&lt;significance level reject Ho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1" i="1" lang="en-US" sz="1000" spc="-1" strike="noStrike" u="sng">
              <a:uFillTx/>
              <a:latin typeface="Times New Roman"/>
            </a:rPr>
            <a:t>Ho: </a:t>
          </a:r>
          <a:r>
            <a:rPr b="0" lang="en-US" sz="1100" spc="-1" strike="noStrike">
              <a:latin typeface="Times New Roman"/>
            </a:rPr>
            <a:t> </a:t>
          </a:r>
          <a:r>
            <a:rPr b="1" lang="en-US" sz="1200" spc="-1" strike="noStrike">
              <a:latin typeface="Times New Roman"/>
              <a:ea typeface="Times New Roman"/>
            </a:rPr>
            <a:t>There is no statistically significant difference between the installment rate categories and the default status.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r>
            <a:rPr b="0" i="1" lang="en-US" sz="1000" spc="-1" strike="noStrike">
              <a:latin typeface="Times New Roman"/>
              <a:ea typeface="Times New Roman"/>
            </a:rPr>
            <a:t>H1: </a:t>
          </a:r>
          <a:r>
            <a:rPr b="0" lang="en-US" sz="1200" spc="-1" strike="noStrike">
              <a:latin typeface="Times New Roman"/>
              <a:ea typeface="Times New Roman"/>
            </a:rPr>
            <a:t>There is a  statistically significant difference between the installment rate categories and the default status.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15000"/>
            </a:lnSpc>
            <a:tabLst>
              <a:tab algn="l" pos="0"/>
            </a:tabLst>
          </a:pP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oneCell">
    <xdr:from>
      <xdr:col>5</xdr:col>
      <xdr:colOff>762120</xdr:colOff>
      <xdr:row>66</xdr:row>
      <xdr:rowOff>360</xdr:rowOff>
    </xdr:from>
    <xdr:to>
      <xdr:col>10</xdr:col>
      <xdr:colOff>453600</xdr:colOff>
      <xdr:row>80</xdr:row>
      <xdr:rowOff>162000</xdr:rowOff>
    </xdr:to>
    <xdr:sp>
      <xdr:nvSpPr>
        <xdr:cNvPr id="9" name="Shape 6"/>
        <xdr:cNvSpPr/>
      </xdr:nvSpPr>
      <xdr:spPr>
        <a:xfrm>
          <a:off x="5213520" y="13201920"/>
          <a:ext cx="4142880" cy="2962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tIns="91440" bIns="9144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>
              <a:latin typeface="Times New Roman"/>
            </a:rPr>
            <a:t>                          </a:t>
          </a:r>
          <a:r>
            <a:rPr b="1" lang="en-US" sz="1400" spc="-1" strike="noStrike">
              <a:latin typeface="Times New Roman"/>
            </a:rPr>
            <a:t>Conclusions</a:t>
          </a:r>
          <a:endParaRPr b="0" lang="en-US" sz="1400" spc="-1" strike="noStrike">
            <a:latin typeface="Times New Roman"/>
          </a:endParaRPr>
        </a:p>
        <a:p>
          <a:pPr marL="457200">
            <a:lnSpc>
              <a:spcPct val="100000"/>
            </a:lnSpc>
            <a:tabLst>
              <a:tab algn="l" pos="0"/>
            </a:tabLst>
          </a:pPr>
          <a:endParaRPr b="0" lang="en-US" sz="1400" spc="-1" strike="noStrike"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uFillTx/>
              <a:latin typeface="Times New Roman"/>
            </a:rPr>
            <a:t>The risk is considered higher for applicants who are young and also unemployed or have a very short employment history.</a:t>
          </a:r>
          <a:endParaRPr b="0" lang="en-US" sz="1400" spc="-1" strike="noStrike"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uFillTx/>
              <a:latin typeface="Times New Roman"/>
            </a:rPr>
            <a:t>Banks should be more careful before approving loans for applicants who belong to these categories. It may be better to ask for loan guarantors, real property, mortgages, etc.</a:t>
          </a:r>
          <a:endParaRPr b="0" lang="en-US" sz="1400" spc="-1" strike="noStrike"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r>
            <a:rPr b="0" lang="en-US" sz="1400" spc="-1" strike="noStrike" u="sng">
              <a:uFillTx/>
              <a:latin typeface="Times New Roman"/>
            </a:rPr>
            <a:t>Banks could approve smaller loan amounts or impose higher interest rates for these categories of applicants.</a:t>
          </a:r>
          <a:endParaRPr b="0" lang="en-US" sz="14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5.12"/>
    <col collapsed="false" customWidth="true" hidden="false" outlineLevel="0" max="2" min="2" style="0" width="16.63"/>
    <col collapsed="false" customWidth="true" hidden="false" outlineLevel="0" max="3" min="3" style="0" width="15.63"/>
    <col collapsed="false" customWidth="true" hidden="false" outlineLevel="0" max="4" min="4" style="0" width="20.51"/>
    <col collapsed="false" customWidth="true" hidden="false" outlineLevel="0" max="5" min="5" style="0" width="26.38"/>
    <col collapsed="false" customWidth="true" hidden="false" outlineLevel="0" max="7" min="6" style="0" width="31.63"/>
    <col collapsed="false" customWidth="true" hidden="false" outlineLevel="0" max="8" min="8" style="0" width="20.88"/>
    <col collapsed="false" customWidth="true" hidden="false" outlineLevel="0" max="10" min="10" style="0" width="19"/>
    <col collapsed="false" customWidth="true" hidden="false" outlineLevel="0" max="11" min="11" style="0" width="14.25"/>
  </cols>
  <sheetData>
    <row r="1" customFormat="false" ht="15.75" hidden="false" customHeight="false" outlineLevel="0" collapsed="false">
      <c r="A1" s="1"/>
      <c r="B1" s="2"/>
      <c r="C1" s="3"/>
      <c r="D1" s="2"/>
      <c r="E1" s="4"/>
      <c r="F1" s="4"/>
      <c r="G1" s="4"/>
      <c r="H1" s="1"/>
      <c r="I1" s="1"/>
      <c r="J1" s="1"/>
      <c r="K1" s="2"/>
    </row>
    <row r="2" customFormat="false" ht="15.75" hidden="false" customHeight="false" outlineLevel="0" collapsed="false">
      <c r="A2" s="5" t="s">
        <v>0</v>
      </c>
      <c r="B2" s="6" t="s">
        <v>1</v>
      </c>
      <c r="C2" s="7" t="s">
        <v>2</v>
      </c>
      <c r="D2" s="6" t="s">
        <v>3</v>
      </c>
      <c r="E2" s="8" t="s">
        <v>4</v>
      </c>
      <c r="F2" s="8" t="s">
        <v>5</v>
      </c>
      <c r="G2" s="8" t="s">
        <v>6</v>
      </c>
      <c r="H2" s="5" t="s">
        <v>7</v>
      </c>
      <c r="I2" s="5" t="s">
        <v>8</v>
      </c>
      <c r="J2" s="5" t="s">
        <v>9</v>
      </c>
      <c r="K2" s="6" t="s">
        <v>10</v>
      </c>
    </row>
    <row r="3" customFormat="false" ht="15.75" hidden="false" customHeight="false" outlineLevel="0" collapsed="false">
      <c r="A3" s="9" t="n">
        <v>6</v>
      </c>
      <c r="B3" s="10" t="s">
        <v>11</v>
      </c>
      <c r="C3" s="11" t="n">
        <v>597.359</v>
      </c>
      <c r="D3" s="10" t="s">
        <v>12</v>
      </c>
      <c r="E3" s="12" t="n">
        <v>8</v>
      </c>
      <c r="F3" s="12" t="n">
        <v>8</v>
      </c>
      <c r="G3" s="12" t="n">
        <v>0</v>
      </c>
      <c r="H3" s="9" t="n">
        <v>4</v>
      </c>
      <c r="I3" s="9" t="n">
        <v>67</v>
      </c>
      <c r="J3" s="9" t="n">
        <v>2</v>
      </c>
      <c r="K3" s="13" t="s">
        <v>13</v>
      </c>
    </row>
    <row r="4" customFormat="false" ht="15.75" hidden="false" customHeight="false" outlineLevel="0" collapsed="false">
      <c r="A4" s="9" t="n">
        <v>48</v>
      </c>
      <c r="B4" s="10" t="s">
        <v>14</v>
      </c>
      <c r="C4" s="11" t="n">
        <v>3040.961</v>
      </c>
      <c r="D4" s="10" t="s">
        <v>15</v>
      </c>
      <c r="E4" s="12" t="n">
        <v>2.5</v>
      </c>
      <c r="F4" s="12" t="n">
        <v>2.5</v>
      </c>
      <c r="G4" s="12" t="n">
        <v>0</v>
      </c>
      <c r="H4" s="9" t="n">
        <v>2</v>
      </c>
      <c r="I4" s="9" t="n">
        <v>22</v>
      </c>
      <c r="J4" s="9" t="n">
        <v>1</v>
      </c>
      <c r="K4" s="13" t="s">
        <v>16</v>
      </c>
    </row>
    <row r="5" customFormat="false" ht="15.75" hidden="false" customHeight="false" outlineLevel="0" collapsed="false">
      <c r="A5" s="9" t="n">
        <v>12</v>
      </c>
      <c r="B5" s="10" t="s">
        <v>11</v>
      </c>
      <c r="C5" s="11" t="n">
        <v>1071.056</v>
      </c>
      <c r="D5" s="10" t="s">
        <v>17</v>
      </c>
      <c r="E5" s="12" t="n">
        <v>5.5</v>
      </c>
      <c r="F5" s="12" t="n">
        <v>5.5</v>
      </c>
      <c r="G5" s="12" t="n">
        <v>0</v>
      </c>
      <c r="H5" s="9" t="n">
        <v>2</v>
      </c>
      <c r="I5" s="9" t="n">
        <v>49</v>
      </c>
      <c r="J5" s="9" t="n">
        <v>1</v>
      </c>
      <c r="K5" s="13" t="s">
        <v>13</v>
      </c>
    </row>
    <row r="6" customFormat="false" ht="15.75" hidden="false" customHeight="false" outlineLevel="0" collapsed="false">
      <c r="A6" s="9" t="n">
        <v>42</v>
      </c>
      <c r="B6" s="10" t="s">
        <v>14</v>
      </c>
      <c r="C6" s="11" t="n">
        <v>4027.702</v>
      </c>
      <c r="D6" s="10" t="s">
        <v>17</v>
      </c>
      <c r="E6" s="12" t="n">
        <v>5.5</v>
      </c>
      <c r="F6" s="12" t="n">
        <v>5.5</v>
      </c>
      <c r="G6" s="12" t="n">
        <v>0</v>
      </c>
      <c r="H6" s="9" t="n">
        <v>2</v>
      </c>
      <c r="I6" s="9" t="n">
        <v>45</v>
      </c>
      <c r="J6" s="9" t="n">
        <v>1</v>
      </c>
      <c r="K6" s="13" t="s">
        <v>13</v>
      </c>
    </row>
    <row r="7" customFormat="false" ht="15.75" hidden="false" customHeight="false" outlineLevel="0" collapsed="false">
      <c r="A7" s="9" t="n">
        <v>24</v>
      </c>
      <c r="B7" s="10" t="s">
        <v>18</v>
      </c>
      <c r="C7" s="11" t="n">
        <v>2488.57</v>
      </c>
      <c r="D7" s="10" t="s">
        <v>15</v>
      </c>
      <c r="E7" s="12" t="n">
        <v>2.5</v>
      </c>
      <c r="F7" s="12" t="n">
        <v>2.5</v>
      </c>
      <c r="G7" s="12" t="n">
        <v>0</v>
      </c>
      <c r="H7" s="9" t="n">
        <v>3</v>
      </c>
      <c r="I7" s="9" t="n">
        <v>53</v>
      </c>
      <c r="J7" s="9" t="n">
        <v>2</v>
      </c>
      <c r="K7" s="13" t="s">
        <v>16</v>
      </c>
    </row>
    <row r="8" customFormat="false" ht="15.75" hidden="false" customHeight="false" outlineLevel="0" collapsed="false">
      <c r="A8" s="9" t="n">
        <v>36</v>
      </c>
      <c r="B8" s="10" t="s">
        <v>14</v>
      </c>
      <c r="C8" s="11" t="n">
        <v>4627.105</v>
      </c>
      <c r="D8" s="10" t="s">
        <v>15</v>
      </c>
      <c r="E8" s="12" t="n">
        <v>2.5</v>
      </c>
      <c r="F8" s="12" t="n">
        <v>2.5</v>
      </c>
      <c r="G8" s="12" t="n">
        <v>0</v>
      </c>
      <c r="H8" s="9" t="n">
        <v>2</v>
      </c>
      <c r="I8" s="9" t="n">
        <v>35</v>
      </c>
      <c r="J8" s="9" t="n">
        <v>1</v>
      </c>
      <c r="K8" s="13" t="s">
        <v>13</v>
      </c>
    </row>
    <row r="9" customFormat="false" ht="15.75" hidden="false" customHeight="false" outlineLevel="0" collapsed="false">
      <c r="A9" s="9" t="n">
        <v>24</v>
      </c>
      <c r="B9" s="10" t="s">
        <v>14</v>
      </c>
      <c r="C9" s="11" t="n">
        <v>1448.685</v>
      </c>
      <c r="D9" s="10" t="s">
        <v>12</v>
      </c>
      <c r="E9" s="12" t="n">
        <v>8</v>
      </c>
      <c r="F9" s="12" t="n">
        <v>8</v>
      </c>
      <c r="G9" s="12" t="n">
        <v>0</v>
      </c>
      <c r="H9" s="9" t="n">
        <v>3</v>
      </c>
      <c r="I9" s="9" t="n">
        <v>53</v>
      </c>
      <c r="J9" s="9" t="n">
        <v>1</v>
      </c>
      <c r="K9" s="13" t="s">
        <v>13</v>
      </c>
    </row>
    <row r="10" customFormat="false" ht="15.75" hidden="false" customHeight="false" outlineLevel="0" collapsed="false">
      <c r="A10" s="9" t="n">
        <v>36</v>
      </c>
      <c r="B10" s="10" t="s">
        <v>14</v>
      </c>
      <c r="C10" s="11" t="n">
        <v>3550.428</v>
      </c>
      <c r="D10" s="10" t="s">
        <v>15</v>
      </c>
      <c r="E10" s="12" t="n">
        <v>2.5</v>
      </c>
      <c r="F10" s="12" t="n">
        <v>2.5</v>
      </c>
      <c r="G10" s="12" t="n">
        <v>0</v>
      </c>
      <c r="H10" s="9" t="n">
        <v>2</v>
      </c>
      <c r="I10" s="9" t="n">
        <v>35</v>
      </c>
      <c r="J10" s="9" t="n">
        <v>1</v>
      </c>
      <c r="K10" s="13" t="s">
        <v>13</v>
      </c>
    </row>
    <row r="11" customFormat="false" ht="15.75" hidden="false" customHeight="false" outlineLevel="0" collapsed="false">
      <c r="A11" s="9" t="n">
        <v>12</v>
      </c>
      <c r="B11" s="10" t="s">
        <v>14</v>
      </c>
      <c r="C11" s="11" t="n">
        <v>1563.149</v>
      </c>
      <c r="D11" s="10" t="s">
        <v>17</v>
      </c>
      <c r="E11" s="12" t="n">
        <v>5.5</v>
      </c>
      <c r="F11" s="12" t="n">
        <v>5.5</v>
      </c>
      <c r="G11" s="12" t="n">
        <v>0</v>
      </c>
      <c r="H11" s="9" t="n">
        <v>2</v>
      </c>
      <c r="I11" s="9" t="n">
        <v>61</v>
      </c>
      <c r="J11" s="9" t="n">
        <v>1</v>
      </c>
      <c r="K11" s="13" t="s">
        <v>13</v>
      </c>
    </row>
    <row r="12" customFormat="false" ht="15.75" hidden="false" customHeight="false" outlineLevel="0" collapsed="false">
      <c r="A12" s="9" t="n">
        <v>30</v>
      </c>
      <c r="B12" s="10" t="s">
        <v>11</v>
      </c>
      <c r="C12" s="11" t="n">
        <v>2674.574</v>
      </c>
      <c r="D12" s="10" t="s">
        <v>19</v>
      </c>
      <c r="E12" s="12" t="n">
        <v>0</v>
      </c>
      <c r="F12" s="12" t="n">
        <v>0</v>
      </c>
      <c r="G12" s="12" t="n">
        <v>0</v>
      </c>
      <c r="H12" s="9" t="n">
        <v>4</v>
      </c>
      <c r="I12" s="9" t="n">
        <v>28</v>
      </c>
      <c r="J12" s="9" t="n">
        <v>2</v>
      </c>
      <c r="K12" s="13" t="s">
        <v>16</v>
      </c>
    </row>
    <row r="13" customFormat="false" ht="15.75" hidden="false" customHeight="false" outlineLevel="0" collapsed="false">
      <c r="A13" s="9" t="n">
        <v>12</v>
      </c>
      <c r="B13" s="10" t="s">
        <v>14</v>
      </c>
      <c r="C13" s="11" t="n">
        <v>661.745</v>
      </c>
      <c r="D13" s="10" t="s">
        <v>20</v>
      </c>
      <c r="E13" s="12" t="n">
        <v>0.5</v>
      </c>
      <c r="F13" s="12" t="n">
        <v>0.5</v>
      </c>
      <c r="G13" s="12" t="n">
        <v>0</v>
      </c>
      <c r="H13" s="9" t="n">
        <v>3</v>
      </c>
      <c r="I13" s="9" t="n">
        <v>25</v>
      </c>
      <c r="J13" s="9" t="n">
        <v>1</v>
      </c>
      <c r="K13" s="13" t="s">
        <v>16</v>
      </c>
    </row>
    <row r="14" customFormat="false" ht="15.75" hidden="false" customHeight="false" outlineLevel="0" collapsed="false">
      <c r="A14" s="9" t="n">
        <v>48</v>
      </c>
      <c r="B14" s="10" t="s">
        <v>14</v>
      </c>
      <c r="C14" s="11" t="n">
        <v>2201.388</v>
      </c>
      <c r="D14" s="10" t="s">
        <v>20</v>
      </c>
      <c r="E14" s="12" t="n">
        <v>0.5</v>
      </c>
      <c r="F14" s="12" t="n">
        <v>0.5</v>
      </c>
      <c r="G14" s="12" t="n">
        <v>0</v>
      </c>
      <c r="H14" s="9" t="n">
        <v>3</v>
      </c>
      <c r="I14" s="9" t="n">
        <v>24</v>
      </c>
      <c r="J14" s="9" t="n">
        <v>1</v>
      </c>
      <c r="K14" s="13" t="s">
        <v>16</v>
      </c>
    </row>
    <row r="15" customFormat="false" ht="15.75" hidden="false" customHeight="false" outlineLevel="0" collapsed="false">
      <c r="A15" s="9" t="n">
        <v>12</v>
      </c>
      <c r="B15" s="10" t="s">
        <v>14</v>
      </c>
      <c r="C15" s="11" t="n">
        <v>800.737</v>
      </c>
      <c r="D15" s="10" t="s">
        <v>15</v>
      </c>
      <c r="E15" s="12" t="n">
        <v>2.5</v>
      </c>
      <c r="F15" s="12" t="n">
        <v>2.5</v>
      </c>
      <c r="G15" s="12" t="n">
        <v>0</v>
      </c>
      <c r="H15" s="9" t="n">
        <v>1</v>
      </c>
      <c r="I15" s="9" t="n">
        <v>22</v>
      </c>
      <c r="J15" s="9" t="n">
        <v>1</v>
      </c>
      <c r="K15" s="13" t="s">
        <v>13</v>
      </c>
    </row>
    <row r="16" customFormat="false" ht="15.75" hidden="false" customHeight="false" outlineLevel="0" collapsed="false">
      <c r="A16" s="9" t="n">
        <v>24</v>
      </c>
      <c r="B16" s="10" t="s">
        <v>11</v>
      </c>
      <c r="C16" s="11" t="n">
        <v>612.689</v>
      </c>
      <c r="D16" s="10" t="s">
        <v>12</v>
      </c>
      <c r="E16" s="12" t="n">
        <v>8</v>
      </c>
      <c r="F16" s="12" t="n">
        <v>8</v>
      </c>
      <c r="G16" s="12" t="n">
        <v>0</v>
      </c>
      <c r="H16" s="9" t="n">
        <v>4</v>
      </c>
      <c r="I16" s="9" t="n">
        <v>60</v>
      </c>
      <c r="J16" s="9" t="n">
        <v>2</v>
      </c>
      <c r="K16" s="13" t="s">
        <v>16</v>
      </c>
    </row>
    <row r="17" customFormat="false" ht="15.75" hidden="false" customHeight="false" outlineLevel="0" collapsed="false">
      <c r="A17" s="9" t="n">
        <v>15</v>
      </c>
      <c r="B17" s="10" t="s">
        <v>14</v>
      </c>
      <c r="C17" s="11" t="n">
        <v>716.933</v>
      </c>
      <c r="D17" s="10" t="s">
        <v>15</v>
      </c>
      <c r="E17" s="12" t="n">
        <v>2.5</v>
      </c>
      <c r="F17" s="12" t="n">
        <v>2.5</v>
      </c>
      <c r="G17" s="12" t="n">
        <v>0</v>
      </c>
      <c r="H17" s="9" t="n">
        <v>2</v>
      </c>
      <c r="I17" s="9" t="n">
        <v>28</v>
      </c>
      <c r="J17" s="9" t="n">
        <v>1</v>
      </c>
      <c r="K17" s="13" t="s">
        <v>13</v>
      </c>
    </row>
    <row r="18" customFormat="false" ht="15.75" hidden="false" customHeight="false" outlineLevel="0" collapsed="false">
      <c r="A18" s="9" t="n">
        <v>24</v>
      </c>
      <c r="B18" s="10" t="s">
        <v>14</v>
      </c>
      <c r="C18" s="11" t="n">
        <v>655.102</v>
      </c>
      <c r="D18" s="10" t="s">
        <v>15</v>
      </c>
      <c r="E18" s="12" t="n">
        <v>2.5</v>
      </c>
      <c r="F18" s="12" t="n">
        <v>2.5</v>
      </c>
      <c r="G18" s="12" t="n">
        <v>0</v>
      </c>
      <c r="H18" s="9" t="n">
        <v>4</v>
      </c>
      <c r="I18" s="9" t="n">
        <v>32</v>
      </c>
      <c r="J18" s="9" t="n">
        <v>1</v>
      </c>
      <c r="K18" s="13" t="s">
        <v>16</v>
      </c>
    </row>
    <row r="19" customFormat="false" ht="15.75" hidden="false" customHeight="false" outlineLevel="0" collapsed="false">
      <c r="A19" s="9" t="n">
        <v>24</v>
      </c>
      <c r="B19" s="10" t="s">
        <v>11</v>
      </c>
      <c r="C19" s="11" t="n">
        <v>1238.664</v>
      </c>
      <c r="D19" s="10" t="s">
        <v>12</v>
      </c>
      <c r="E19" s="12" t="n">
        <v>8</v>
      </c>
      <c r="F19" s="12" t="n">
        <v>8</v>
      </c>
      <c r="G19" s="12" t="n">
        <v>0</v>
      </c>
      <c r="H19" s="9" t="n">
        <v>4</v>
      </c>
      <c r="I19" s="9" t="n">
        <v>53</v>
      </c>
      <c r="J19" s="9" t="n">
        <v>2</v>
      </c>
      <c r="K19" s="13" t="s">
        <v>13</v>
      </c>
    </row>
    <row r="20" customFormat="false" ht="15.75" hidden="false" customHeight="false" outlineLevel="0" collapsed="false">
      <c r="A20" s="9" t="n">
        <v>30</v>
      </c>
      <c r="B20" s="10" t="s">
        <v>21</v>
      </c>
      <c r="C20" s="11" t="n">
        <v>4124.792</v>
      </c>
      <c r="D20" s="10" t="s">
        <v>20</v>
      </c>
      <c r="E20" s="12" t="n">
        <v>0.5</v>
      </c>
      <c r="F20" s="12" t="n">
        <v>0.5</v>
      </c>
      <c r="G20" s="12" t="n">
        <v>0</v>
      </c>
      <c r="H20" s="9" t="n">
        <v>2</v>
      </c>
      <c r="I20" s="9" t="n">
        <v>25</v>
      </c>
      <c r="J20" s="9" t="n">
        <v>3</v>
      </c>
      <c r="K20" s="13" t="s">
        <v>13</v>
      </c>
    </row>
    <row r="21" customFormat="false" ht="15.75" hidden="false" customHeight="false" outlineLevel="0" collapsed="false">
      <c r="A21" s="9" t="n">
        <v>24</v>
      </c>
      <c r="B21" s="10" t="s">
        <v>14</v>
      </c>
      <c r="C21" s="11" t="n">
        <v>6427.869</v>
      </c>
      <c r="D21" s="10" t="s">
        <v>12</v>
      </c>
      <c r="E21" s="12" t="n">
        <v>8</v>
      </c>
      <c r="F21" s="12" t="n">
        <v>8</v>
      </c>
      <c r="G21" s="12" t="n">
        <v>0</v>
      </c>
      <c r="H21" s="9" t="n">
        <v>4</v>
      </c>
      <c r="I21" s="9" t="n">
        <v>44</v>
      </c>
      <c r="J21" s="9" t="n">
        <v>1</v>
      </c>
      <c r="K21" s="13" t="s">
        <v>16</v>
      </c>
    </row>
    <row r="22" customFormat="false" ht="15.75" hidden="false" customHeight="false" outlineLevel="0" collapsed="false">
      <c r="A22" s="9" t="n">
        <v>24</v>
      </c>
      <c r="B22" s="10" t="s">
        <v>14</v>
      </c>
      <c r="C22" s="11" t="n">
        <v>1752.73</v>
      </c>
      <c r="D22" s="10" t="s">
        <v>12</v>
      </c>
      <c r="E22" s="12" t="n">
        <v>8</v>
      </c>
      <c r="F22" s="12" t="n">
        <v>8</v>
      </c>
      <c r="G22" s="12" t="n">
        <v>0</v>
      </c>
      <c r="H22" s="9" t="n">
        <v>3</v>
      </c>
      <c r="I22" s="9" t="n">
        <v>31</v>
      </c>
      <c r="J22" s="9" t="n">
        <v>1</v>
      </c>
      <c r="K22" s="13" t="s">
        <v>13</v>
      </c>
    </row>
    <row r="23" customFormat="false" ht="15.75" hidden="false" customHeight="false" outlineLevel="0" collapsed="false">
      <c r="A23" s="9" t="n">
        <v>9</v>
      </c>
      <c r="B23" s="10" t="s">
        <v>11</v>
      </c>
      <c r="C23" s="11" t="n">
        <v>1090.474</v>
      </c>
      <c r="D23" s="10" t="s">
        <v>15</v>
      </c>
      <c r="E23" s="12" t="n">
        <v>2.5</v>
      </c>
      <c r="F23" s="12" t="n">
        <v>2.5</v>
      </c>
      <c r="G23" s="12" t="n">
        <v>0</v>
      </c>
      <c r="H23" s="9" t="n">
        <v>4</v>
      </c>
      <c r="I23" s="9" t="n">
        <v>48</v>
      </c>
      <c r="J23" s="9" t="n">
        <v>3</v>
      </c>
      <c r="K23" s="13" t="s">
        <v>13</v>
      </c>
    </row>
    <row r="24" customFormat="false" ht="15.75" hidden="false" customHeight="false" outlineLevel="0" collapsed="false">
      <c r="A24" s="9" t="n">
        <v>6</v>
      </c>
      <c r="B24" s="10" t="s">
        <v>14</v>
      </c>
      <c r="C24" s="11" t="n">
        <v>1352.617</v>
      </c>
      <c r="D24" s="10" t="s">
        <v>15</v>
      </c>
      <c r="E24" s="12" t="n">
        <v>2.5</v>
      </c>
      <c r="F24" s="12" t="n">
        <v>2.5</v>
      </c>
      <c r="G24" s="12" t="n">
        <v>0</v>
      </c>
      <c r="H24" s="9" t="n">
        <v>2</v>
      </c>
      <c r="I24" s="9" t="n">
        <v>44</v>
      </c>
      <c r="J24" s="9" t="n">
        <v>1</v>
      </c>
      <c r="K24" s="13" t="s">
        <v>13</v>
      </c>
    </row>
    <row r="25" customFormat="false" ht="15.75" hidden="false" customHeight="false" outlineLevel="0" collapsed="false">
      <c r="A25" s="9" t="n">
        <v>10</v>
      </c>
      <c r="B25" s="10" t="s">
        <v>11</v>
      </c>
      <c r="C25" s="11" t="n">
        <v>1145.151</v>
      </c>
      <c r="D25" s="10" t="s">
        <v>20</v>
      </c>
      <c r="E25" s="12" t="n">
        <v>0.5</v>
      </c>
      <c r="F25" s="12" t="n">
        <v>0.5</v>
      </c>
      <c r="G25" s="12" t="n">
        <v>0</v>
      </c>
      <c r="H25" s="9" t="n">
        <v>1</v>
      </c>
      <c r="I25" s="9" t="n">
        <v>48</v>
      </c>
      <c r="J25" s="9" t="n">
        <v>2</v>
      </c>
      <c r="K25" s="13" t="s">
        <v>13</v>
      </c>
    </row>
    <row r="26" customFormat="false" ht="15.75" hidden="false" customHeight="false" outlineLevel="0" collapsed="false">
      <c r="A26" s="9" t="n">
        <v>12</v>
      </c>
      <c r="B26" s="10" t="s">
        <v>11</v>
      </c>
      <c r="C26" s="11" t="n">
        <v>921.844</v>
      </c>
      <c r="D26" s="10" t="s">
        <v>20</v>
      </c>
      <c r="E26" s="12" t="n">
        <v>0.5</v>
      </c>
      <c r="F26" s="12" t="n">
        <v>0.5</v>
      </c>
      <c r="G26" s="12" t="n">
        <v>0</v>
      </c>
      <c r="H26" s="9" t="n">
        <v>3</v>
      </c>
      <c r="I26" s="9" t="n">
        <v>44</v>
      </c>
      <c r="J26" s="9" t="n">
        <v>1</v>
      </c>
      <c r="K26" s="13" t="s">
        <v>13</v>
      </c>
    </row>
    <row r="27" customFormat="false" ht="15.75" hidden="false" customHeight="false" outlineLevel="0" collapsed="false">
      <c r="A27" s="9" t="n">
        <v>10</v>
      </c>
      <c r="B27" s="10" t="s">
        <v>11</v>
      </c>
      <c r="C27" s="11" t="n">
        <v>1057.259</v>
      </c>
      <c r="D27" s="10" t="s">
        <v>15</v>
      </c>
      <c r="E27" s="12" t="n">
        <v>2.5</v>
      </c>
      <c r="F27" s="12" t="n">
        <v>2.5</v>
      </c>
      <c r="G27" s="12" t="n">
        <v>0</v>
      </c>
      <c r="H27" s="9" t="n">
        <v>2</v>
      </c>
      <c r="I27" s="9" t="n">
        <v>26</v>
      </c>
      <c r="J27" s="9" t="n">
        <v>2</v>
      </c>
      <c r="K27" s="13" t="s">
        <v>13</v>
      </c>
    </row>
    <row r="28" customFormat="false" ht="15.75" hidden="false" customHeight="false" outlineLevel="0" collapsed="false">
      <c r="A28" s="9" t="n">
        <v>6</v>
      </c>
      <c r="B28" s="10" t="s">
        <v>14</v>
      </c>
      <c r="C28" s="11" t="n">
        <v>702.114</v>
      </c>
      <c r="D28" s="10" t="s">
        <v>15</v>
      </c>
      <c r="E28" s="12" t="n">
        <v>2.5</v>
      </c>
      <c r="F28" s="12" t="n">
        <v>2.5</v>
      </c>
      <c r="G28" s="12" t="n">
        <v>0</v>
      </c>
      <c r="H28" s="9" t="n">
        <v>1</v>
      </c>
      <c r="I28" s="9" t="n">
        <v>36</v>
      </c>
      <c r="J28" s="9" t="n">
        <v>1</v>
      </c>
      <c r="K28" s="13" t="s">
        <v>13</v>
      </c>
    </row>
    <row r="29" customFormat="false" ht="15.75" hidden="false" customHeight="false" outlineLevel="0" collapsed="false">
      <c r="A29" s="9" t="n">
        <v>6</v>
      </c>
      <c r="B29" s="10" t="s">
        <v>21</v>
      </c>
      <c r="C29" s="11" t="n">
        <v>217.686</v>
      </c>
      <c r="D29" s="10" t="s">
        <v>12</v>
      </c>
      <c r="E29" s="12" t="n">
        <v>8</v>
      </c>
      <c r="F29" s="12" t="n">
        <v>8</v>
      </c>
      <c r="G29" s="12" t="n">
        <v>0</v>
      </c>
      <c r="H29" s="9" t="n">
        <v>4</v>
      </c>
      <c r="I29" s="9" t="n">
        <v>39</v>
      </c>
      <c r="J29" s="9" t="n">
        <v>1</v>
      </c>
      <c r="K29" s="13" t="s">
        <v>13</v>
      </c>
    </row>
    <row r="30" customFormat="false" ht="15.75" hidden="false" customHeight="false" outlineLevel="0" collapsed="false">
      <c r="A30" s="9" t="n">
        <v>12</v>
      </c>
      <c r="B30" s="10" t="s">
        <v>22</v>
      </c>
      <c r="C30" s="11" t="n">
        <v>208.999</v>
      </c>
      <c r="D30" s="10" t="s">
        <v>15</v>
      </c>
      <c r="E30" s="12" t="n">
        <v>2.5</v>
      </c>
      <c r="F30" s="12" t="n">
        <v>2.5</v>
      </c>
      <c r="G30" s="12" t="n">
        <v>0</v>
      </c>
      <c r="H30" s="9" t="n">
        <v>3</v>
      </c>
      <c r="I30" s="9" t="n">
        <v>42</v>
      </c>
      <c r="J30" s="9" t="n">
        <v>2</v>
      </c>
      <c r="K30" s="13" t="s">
        <v>13</v>
      </c>
    </row>
    <row r="31" customFormat="false" ht="15.75" hidden="false" customHeight="false" outlineLevel="0" collapsed="false">
      <c r="A31" s="9" t="n">
        <v>7</v>
      </c>
      <c r="B31" s="10" t="s">
        <v>14</v>
      </c>
      <c r="C31" s="11" t="n">
        <v>1234.065</v>
      </c>
      <c r="D31" s="10" t="s">
        <v>15</v>
      </c>
      <c r="E31" s="12" t="n">
        <v>2.5</v>
      </c>
      <c r="F31" s="12" t="n">
        <v>2.5</v>
      </c>
      <c r="G31" s="12" t="n">
        <v>0</v>
      </c>
      <c r="H31" s="9" t="n">
        <v>3</v>
      </c>
      <c r="I31" s="9" t="n">
        <v>34</v>
      </c>
      <c r="J31" s="9" t="n">
        <v>1</v>
      </c>
      <c r="K31" s="13" t="s">
        <v>13</v>
      </c>
    </row>
    <row r="32" customFormat="false" ht="15.75" hidden="false" customHeight="false" outlineLevel="0" collapsed="false">
      <c r="A32" s="9" t="n">
        <v>60</v>
      </c>
      <c r="B32" s="10" t="s">
        <v>18</v>
      </c>
      <c r="C32" s="11" t="n">
        <v>3493.196</v>
      </c>
      <c r="D32" s="10" t="s">
        <v>12</v>
      </c>
      <c r="E32" s="12" t="n">
        <v>8</v>
      </c>
      <c r="F32" s="12" t="n">
        <v>8</v>
      </c>
      <c r="G32" s="12" t="n">
        <v>0</v>
      </c>
      <c r="H32" s="9" t="n">
        <v>3</v>
      </c>
      <c r="I32" s="9" t="n">
        <v>63</v>
      </c>
      <c r="J32" s="9" t="n">
        <v>2</v>
      </c>
      <c r="K32" s="13" t="s">
        <v>16</v>
      </c>
    </row>
    <row r="33" customFormat="false" ht="15.75" hidden="false" customHeight="false" outlineLevel="0" collapsed="false">
      <c r="A33" s="9" t="n">
        <v>18</v>
      </c>
      <c r="B33" s="10" t="s">
        <v>14</v>
      </c>
      <c r="C33" s="11" t="n">
        <v>977.543</v>
      </c>
      <c r="D33" s="10" t="s">
        <v>20</v>
      </c>
      <c r="E33" s="12" t="n">
        <v>0.5</v>
      </c>
      <c r="F33" s="12" t="n">
        <v>0.5</v>
      </c>
      <c r="G33" s="12" t="n">
        <v>0</v>
      </c>
      <c r="H33" s="9" t="n">
        <v>3</v>
      </c>
      <c r="I33" s="9" t="n">
        <v>36</v>
      </c>
      <c r="J33" s="9" t="n">
        <v>1</v>
      </c>
      <c r="K33" s="13" t="s">
        <v>13</v>
      </c>
    </row>
    <row r="34" customFormat="false" ht="15.75" hidden="false" customHeight="false" outlineLevel="0" collapsed="false">
      <c r="A34" s="9" t="n">
        <v>24</v>
      </c>
      <c r="B34" s="10" t="s">
        <v>14</v>
      </c>
      <c r="C34" s="11" t="n">
        <v>2054.22</v>
      </c>
      <c r="D34" s="10" t="s">
        <v>15</v>
      </c>
      <c r="E34" s="12" t="n">
        <v>2.5</v>
      </c>
      <c r="F34" s="12" t="n">
        <v>2.5</v>
      </c>
      <c r="G34" s="12" t="n">
        <v>0</v>
      </c>
      <c r="H34" s="9" t="n">
        <v>2</v>
      </c>
      <c r="I34" s="9" t="n">
        <v>27</v>
      </c>
      <c r="J34" s="9" t="n">
        <v>1</v>
      </c>
      <c r="K34" s="13" t="s">
        <v>13</v>
      </c>
    </row>
    <row r="35" customFormat="false" ht="15.75" hidden="false" customHeight="false" outlineLevel="0" collapsed="false">
      <c r="A35" s="9" t="n">
        <v>18</v>
      </c>
      <c r="B35" s="10" t="s">
        <v>14</v>
      </c>
      <c r="C35" s="11" t="n">
        <v>2997.526</v>
      </c>
      <c r="D35" s="10" t="s">
        <v>15</v>
      </c>
      <c r="E35" s="12" t="n">
        <v>2.5</v>
      </c>
      <c r="F35" s="12" t="n">
        <v>2.5</v>
      </c>
      <c r="G35" s="12" t="n">
        <v>0</v>
      </c>
      <c r="H35" s="9" t="n">
        <v>2</v>
      </c>
      <c r="I35" s="9" t="n">
        <v>30</v>
      </c>
      <c r="J35" s="9" t="n">
        <v>2</v>
      </c>
      <c r="K35" s="13" t="s">
        <v>13</v>
      </c>
    </row>
    <row r="36" customFormat="false" ht="15.75" hidden="false" customHeight="false" outlineLevel="0" collapsed="false">
      <c r="A36" s="9" t="n">
        <v>12</v>
      </c>
      <c r="B36" s="10" t="s">
        <v>11</v>
      </c>
      <c r="C36" s="11" t="n">
        <v>645.904</v>
      </c>
      <c r="D36" s="10" t="s">
        <v>12</v>
      </c>
      <c r="E36" s="12" t="n">
        <v>8</v>
      </c>
      <c r="F36" s="12" t="n">
        <v>8</v>
      </c>
      <c r="G36" s="12" t="n">
        <v>0</v>
      </c>
      <c r="H36" s="9" t="n">
        <v>4</v>
      </c>
      <c r="I36" s="9" t="n">
        <v>57</v>
      </c>
      <c r="J36" s="9" t="n">
        <v>1</v>
      </c>
      <c r="K36" s="13" t="s">
        <v>13</v>
      </c>
    </row>
    <row r="37" customFormat="false" ht="15.75" hidden="false" customHeight="false" outlineLevel="0" collapsed="false">
      <c r="A37" s="9" t="n">
        <v>12</v>
      </c>
      <c r="B37" s="10" t="s">
        <v>14</v>
      </c>
      <c r="C37" s="11" t="n">
        <v>753.214</v>
      </c>
      <c r="D37" s="10" t="s">
        <v>20</v>
      </c>
      <c r="E37" s="12" t="n">
        <v>0.5</v>
      </c>
      <c r="F37" s="12" t="n">
        <v>0.5</v>
      </c>
      <c r="G37" s="12" t="n">
        <v>0</v>
      </c>
      <c r="H37" s="9" t="n">
        <v>4</v>
      </c>
      <c r="I37" s="9" t="n">
        <v>33</v>
      </c>
      <c r="J37" s="9" t="n">
        <v>1</v>
      </c>
      <c r="K37" s="13" t="s">
        <v>13</v>
      </c>
    </row>
    <row r="38" customFormat="false" ht="15.75" hidden="false" customHeight="false" outlineLevel="0" collapsed="false">
      <c r="A38" s="9" t="n">
        <v>45</v>
      </c>
      <c r="B38" s="10" t="s">
        <v>11</v>
      </c>
      <c r="C38" s="11" t="n">
        <v>2425.206</v>
      </c>
      <c r="D38" s="10" t="s">
        <v>20</v>
      </c>
      <c r="E38" s="12" t="n">
        <v>0.5</v>
      </c>
      <c r="F38" s="12" t="n">
        <v>0.5</v>
      </c>
      <c r="G38" s="12" t="n">
        <v>0</v>
      </c>
      <c r="H38" s="9" t="n">
        <v>4</v>
      </c>
      <c r="I38" s="9" t="n">
        <v>25</v>
      </c>
      <c r="J38" s="9" t="n">
        <v>2</v>
      </c>
      <c r="K38" s="13" t="s">
        <v>16</v>
      </c>
    </row>
    <row r="39" customFormat="false" ht="15.75" hidden="false" customHeight="false" outlineLevel="0" collapsed="false">
      <c r="A39" s="9" t="n">
        <v>48</v>
      </c>
      <c r="B39" s="10" t="s">
        <v>11</v>
      </c>
      <c r="C39" s="11" t="n">
        <v>3122.21</v>
      </c>
      <c r="D39" s="10" t="s">
        <v>15</v>
      </c>
      <c r="E39" s="12" t="n">
        <v>2.5</v>
      </c>
      <c r="F39" s="12" t="n">
        <v>2.5</v>
      </c>
      <c r="G39" s="12" t="n">
        <v>0</v>
      </c>
      <c r="H39" s="9" t="n">
        <v>1</v>
      </c>
      <c r="I39" s="9" t="n">
        <v>31</v>
      </c>
      <c r="J39" s="9" t="n">
        <v>1</v>
      </c>
      <c r="K39" s="13" t="s">
        <v>13</v>
      </c>
    </row>
    <row r="40" customFormat="false" ht="15.75" hidden="false" customHeight="false" outlineLevel="0" collapsed="false">
      <c r="A40" s="9" t="n">
        <v>18</v>
      </c>
      <c r="B40" s="10" t="s">
        <v>14</v>
      </c>
      <c r="C40" s="11" t="n">
        <v>1073.1</v>
      </c>
      <c r="D40" s="10" t="s">
        <v>15</v>
      </c>
      <c r="E40" s="12" t="n">
        <v>2.5</v>
      </c>
      <c r="F40" s="12" t="n">
        <v>2.5</v>
      </c>
      <c r="G40" s="12" t="n">
        <v>0</v>
      </c>
      <c r="H40" s="9" t="n">
        <v>4</v>
      </c>
      <c r="I40" s="9" t="n">
        <v>37</v>
      </c>
      <c r="J40" s="9" t="n">
        <v>1</v>
      </c>
      <c r="K40" s="13" t="s">
        <v>16</v>
      </c>
    </row>
    <row r="41" customFormat="false" ht="15.75" hidden="false" customHeight="false" outlineLevel="0" collapsed="false">
      <c r="A41" s="9" t="n">
        <v>10</v>
      </c>
      <c r="B41" s="10" t="s">
        <v>14</v>
      </c>
      <c r="C41" s="11" t="n">
        <v>625.975</v>
      </c>
      <c r="D41" s="10" t="s">
        <v>15</v>
      </c>
      <c r="E41" s="12" t="n">
        <v>2.5</v>
      </c>
      <c r="F41" s="12" t="n">
        <v>2.5</v>
      </c>
      <c r="G41" s="12" t="n">
        <v>0</v>
      </c>
      <c r="H41" s="9" t="n">
        <v>2</v>
      </c>
      <c r="I41" s="9" t="n">
        <v>37</v>
      </c>
      <c r="J41" s="9" t="n">
        <v>1</v>
      </c>
      <c r="K41" s="13" t="s">
        <v>13</v>
      </c>
    </row>
    <row r="42" customFormat="false" ht="15.75" hidden="false" customHeight="false" outlineLevel="0" collapsed="false">
      <c r="A42" s="9" t="n">
        <v>9</v>
      </c>
      <c r="B42" s="10" t="s">
        <v>14</v>
      </c>
      <c r="C42" s="11" t="n">
        <v>234.038</v>
      </c>
      <c r="D42" s="10" t="s">
        <v>15</v>
      </c>
      <c r="E42" s="12" t="n">
        <v>2.5</v>
      </c>
      <c r="F42" s="12" t="n">
        <v>2.5</v>
      </c>
      <c r="G42" s="12" t="n">
        <v>0</v>
      </c>
      <c r="H42" s="9" t="n">
        <v>4</v>
      </c>
      <c r="I42" s="9" t="n">
        <v>24</v>
      </c>
      <c r="J42" s="9" t="n">
        <v>1</v>
      </c>
      <c r="K42" s="13" t="s">
        <v>13</v>
      </c>
    </row>
    <row r="43" customFormat="false" ht="15.75" hidden="false" customHeight="false" outlineLevel="0" collapsed="false">
      <c r="A43" s="9" t="n">
        <v>30</v>
      </c>
      <c r="B43" s="10" t="s">
        <v>14</v>
      </c>
      <c r="C43" s="11" t="n">
        <v>1192.163</v>
      </c>
      <c r="D43" s="10" t="s">
        <v>12</v>
      </c>
      <c r="E43" s="12" t="n">
        <v>8</v>
      </c>
      <c r="F43" s="12" t="n">
        <v>8</v>
      </c>
      <c r="G43" s="12" t="n">
        <v>0</v>
      </c>
      <c r="H43" s="9" t="n">
        <v>4</v>
      </c>
      <c r="I43" s="9" t="n">
        <v>30</v>
      </c>
      <c r="J43" s="9" t="n">
        <v>1</v>
      </c>
      <c r="K43" s="13" t="s">
        <v>13</v>
      </c>
    </row>
    <row r="44" customFormat="false" ht="15.75" hidden="false" customHeight="false" outlineLevel="0" collapsed="false">
      <c r="A44" s="9" t="n">
        <v>12</v>
      </c>
      <c r="B44" s="10" t="s">
        <v>14</v>
      </c>
      <c r="C44" s="11" t="n">
        <v>591.738</v>
      </c>
      <c r="D44" s="10" t="s">
        <v>15</v>
      </c>
      <c r="E44" s="12" t="n">
        <v>2.5</v>
      </c>
      <c r="F44" s="12" t="n">
        <v>2.5</v>
      </c>
      <c r="G44" s="12" t="n">
        <v>0</v>
      </c>
      <c r="H44" s="9" t="n">
        <v>3</v>
      </c>
      <c r="I44" s="9" t="n">
        <v>26</v>
      </c>
      <c r="J44" s="9" t="n">
        <v>1</v>
      </c>
      <c r="K44" s="13" t="s">
        <v>13</v>
      </c>
    </row>
    <row r="45" customFormat="false" ht="15.75" hidden="false" customHeight="false" outlineLevel="0" collapsed="false">
      <c r="A45" s="9" t="n">
        <v>18</v>
      </c>
      <c r="B45" s="10" t="s">
        <v>18</v>
      </c>
      <c r="C45" s="11" t="n">
        <v>3170.244</v>
      </c>
      <c r="D45" s="10" t="s">
        <v>15</v>
      </c>
      <c r="E45" s="12" t="n">
        <v>2.5</v>
      </c>
      <c r="F45" s="12" t="n">
        <v>2.5</v>
      </c>
      <c r="G45" s="12" t="n">
        <v>0</v>
      </c>
      <c r="H45" s="9" t="n">
        <v>2</v>
      </c>
      <c r="I45" s="9" t="n">
        <v>44</v>
      </c>
      <c r="J45" s="9" t="n">
        <v>1</v>
      </c>
      <c r="K45" s="13" t="s">
        <v>13</v>
      </c>
    </row>
    <row r="46" customFormat="false" ht="15.75" hidden="false" customHeight="false" outlineLevel="0" collapsed="false">
      <c r="A46" s="9" t="n">
        <v>30</v>
      </c>
      <c r="B46" s="10" t="s">
        <v>11</v>
      </c>
      <c r="C46" s="11" t="n">
        <v>3161.557</v>
      </c>
      <c r="D46" s="10" t="s">
        <v>17</v>
      </c>
      <c r="E46" s="12" t="n">
        <v>5.5</v>
      </c>
      <c r="F46" s="12" t="n">
        <v>5.5</v>
      </c>
      <c r="G46" s="12" t="n">
        <v>0</v>
      </c>
      <c r="H46" s="9" t="n">
        <v>1</v>
      </c>
      <c r="I46" s="9" t="n">
        <v>24</v>
      </c>
      <c r="J46" s="9" t="n">
        <v>2</v>
      </c>
      <c r="K46" s="13" t="s">
        <v>13</v>
      </c>
    </row>
    <row r="47" customFormat="false" ht="15.75" hidden="false" customHeight="false" outlineLevel="0" collapsed="false">
      <c r="A47" s="9" t="n">
        <v>48</v>
      </c>
      <c r="B47" s="10" t="s">
        <v>11</v>
      </c>
      <c r="C47" s="11" t="n">
        <v>3139.073</v>
      </c>
      <c r="D47" s="10" t="s">
        <v>12</v>
      </c>
      <c r="E47" s="12" t="n">
        <v>8</v>
      </c>
      <c r="F47" s="12" t="n">
        <v>8</v>
      </c>
      <c r="G47" s="12" t="n">
        <v>0</v>
      </c>
      <c r="H47" s="9" t="n">
        <v>4</v>
      </c>
      <c r="I47" s="9" t="n">
        <v>58</v>
      </c>
      <c r="J47" s="9" t="n">
        <v>2</v>
      </c>
      <c r="K47" s="13" t="s">
        <v>16</v>
      </c>
    </row>
    <row r="48" customFormat="false" ht="15.75" hidden="false" customHeight="false" outlineLevel="0" collapsed="false">
      <c r="A48" s="9" t="n">
        <v>11</v>
      </c>
      <c r="B48" s="10" t="s">
        <v>11</v>
      </c>
      <c r="C48" s="11" t="n">
        <v>711.823</v>
      </c>
      <c r="D48" s="10" t="s">
        <v>20</v>
      </c>
      <c r="E48" s="12" t="n">
        <v>0.5</v>
      </c>
      <c r="F48" s="12" t="n">
        <v>0.5</v>
      </c>
      <c r="G48" s="12" t="n">
        <v>0</v>
      </c>
      <c r="H48" s="9" t="n">
        <v>4</v>
      </c>
      <c r="I48" s="9" t="n">
        <v>35</v>
      </c>
      <c r="J48" s="9" t="n">
        <v>2</v>
      </c>
      <c r="K48" s="13" t="s">
        <v>13</v>
      </c>
    </row>
    <row r="49" customFormat="false" ht="15.75" hidden="false" customHeight="false" outlineLevel="0" collapsed="false">
      <c r="A49" s="9" t="n">
        <v>36</v>
      </c>
      <c r="B49" s="10" t="s">
        <v>14</v>
      </c>
      <c r="C49" s="11" t="n">
        <v>1174.789</v>
      </c>
      <c r="D49" s="10" t="s">
        <v>12</v>
      </c>
      <c r="E49" s="12" t="n">
        <v>8</v>
      </c>
      <c r="F49" s="12" t="n">
        <v>8</v>
      </c>
      <c r="G49" s="12" t="n">
        <v>0</v>
      </c>
      <c r="H49" s="9" t="n">
        <v>4</v>
      </c>
      <c r="I49" s="9" t="n">
        <v>39</v>
      </c>
      <c r="J49" s="9" t="n">
        <v>1</v>
      </c>
      <c r="K49" s="13" t="s">
        <v>13</v>
      </c>
    </row>
    <row r="50" customFormat="false" ht="15.75" hidden="false" customHeight="false" outlineLevel="0" collapsed="false">
      <c r="A50" s="9" t="n">
        <v>6</v>
      </c>
      <c r="B50" s="10" t="s">
        <v>14</v>
      </c>
      <c r="C50" s="11" t="n">
        <v>690.872</v>
      </c>
      <c r="D50" s="10" t="s">
        <v>19</v>
      </c>
      <c r="E50" s="12" t="n">
        <v>0</v>
      </c>
      <c r="F50" s="12" t="n">
        <v>0</v>
      </c>
      <c r="G50" s="12" t="n">
        <v>0</v>
      </c>
      <c r="H50" s="9" t="n">
        <v>1</v>
      </c>
      <c r="I50" s="9" t="n">
        <v>23</v>
      </c>
      <c r="J50" s="9" t="n">
        <v>1</v>
      </c>
      <c r="K50" s="13" t="s">
        <v>13</v>
      </c>
    </row>
    <row r="51" customFormat="false" ht="15.75" hidden="false" customHeight="false" outlineLevel="0" collapsed="false">
      <c r="A51" s="9" t="n">
        <v>11</v>
      </c>
      <c r="B51" s="10" t="s">
        <v>11</v>
      </c>
      <c r="C51" s="11" t="n">
        <v>3693.508</v>
      </c>
      <c r="D51" s="10" t="s">
        <v>15</v>
      </c>
      <c r="E51" s="12" t="n">
        <v>2.5</v>
      </c>
      <c r="F51" s="12" t="n">
        <v>2.5</v>
      </c>
      <c r="G51" s="12" t="n">
        <v>0</v>
      </c>
      <c r="H51" s="9" t="n">
        <v>1</v>
      </c>
      <c r="I51" s="9" t="n">
        <v>39</v>
      </c>
      <c r="J51" s="9" t="n">
        <v>2</v>
      </c>
      <c r="K51" s="13" t="s">
        <v>13</v>
      </c>
    </row>
    <row r="52" customFormat="false" ht="15.75" hidden="false" customHeight="false" outlineLevel="0" collapsed="false">
      <c r="A52" s="9" t="n">
        <v>12</v>
      </c>
      <c r="B52" s="10" t="s">
        <v>14</v>
      </c>
      <c r="C52" s="11" t="n">
        <v>1059.303</v>
      </c>
      <c r="D52" s="10" t="s">
        <v>15</v>
      </c>
      <c r="E52" s="12" t="n">
        <v>2.5</v>
      </c>
      <c r="F52" s="12" t="n">
        <v>2.5</v>
      </c>
      <c r="G52" s="12" t="n">
        <v>0</v>
      </c>
      <c r="H52" s="9" t="n">
        <v>4</v>
      </c>
      <c r="I52" s="9" t="n">
        <v>28</v>
      </c>
      <c r="J52" s="9" t="n">
        <v>1</v>
      </c>
      <c r="K52" s="13" t="s">
        <v>13</v>
      </c>
    </row>
    <row r="53" customFormat="false" ht="15.75" hidden="false" customHeight="false" outlineLevel="0" collapsed="false">
      <c r="A53" s="9" t="n">
        <v>24</v>
      </c>
      <c r="B53" s="10" t="s">
        <v>18</v>
      </c>
      <c r="C53" s="11" t="n">
        <v>1192.163</v>
      </c>
      <c r="D53" s="10" t="s">
        <v>20</v>
      </c>
      <c r="E53" s="12" t="n">
        <v>0.5</v>
      </c>
      <c r="F53" s="12" t="n">
        <v>0.5</v>
      </c>
      <c r="G53" s="12" t="n">
        <v>0</v>
      </c>
      <c r="H53" s="9" t="n">
        <v>4</v>
      </c>
      <c r="I53" s="9" t="n">
        <v>29</v>
      </c>
      <c r="J53" s="9" t="n">
        <v>1</v>
      </c>
      <c r="K53" s="13" t="s">
        <v>13</v>
      </c>
    </row>
    <row r="54" customFormat="false" ht="15.75" hidden="false" customHeight="false" outlineLevel="0" collapsed="false">
      <c r="A54" s="9" t="n">
        <v>27</v>
      </c>
      <c r="B54" s="10" t="s">
        <v>18</v>
      </c>
      <c r="C54" s="11" t="n">
        <v>3048.115</v>
      </c>
      <c r="D54" s="10" t="s">
        <v>12</v>
      </c>
      <c r="E54" s="12" t="n">
        <v>8</v>
      </c>
      <c r="F54" s="12" t="n">
        <v>8</v>
      </c>
      <c r="G54" s="12" t="n">
        <v>0</v>
      </c>
      <c r="H54" s="9" t="n">
        <v>1</v>
      </c>
      <c r="I54" s="9" t="n">
        <v>30</v>
      </c>
      <c r="J54" s="9" t="n">
        <v>2</v>
      </c>
      <c r="K54" s="13" t="s">
        <v>13</v>
      </c>
    </row>
    <row r="55" customFormat="false" ht="15.75" hidden="false" customHeight="false" outlineLevel="0" collapsed="false">
      <c r="A55" s="9" t="n">
        <v>12</v>
      </c>
      <c r="B55" s="10" t="s">
        <v>14</v>
      </c>
      <c r="C55" s="11" t="n">
        <v>644.882</v>
      </c>
      <c r="D55" s="10" t="s">
        <v>15</v>
      </c>
      <c r="E55" s="12" t="n">
        <v>2.5</v>
      </c>
      <c r="F55" s="12" t="n">
        <v>2.5</v>
      </c>
      <c r="G55" s="12" t="n">
        <v>0</v>
      </c>
      <c r="H55" s="9" t="n">
        <v>3</v>
      </c>
      <c r="I55" s="9" t="n">
        <v>25</v>
      </c>
      <c r="J55" s="9" t="n">
        <v>1</v>
      </c>
      <c r="K55" s="13" t="s">
        <v>13</v>
      </c>
    </row>
    <row r="56" customFormat="false" ht="15.75" hidden="false" customHeight="false" outlineLevel="0" collapsed="false">
      <c r="A56" s="9" t="n">
        <v>18</v>
      </c>
      <c r="B56" s="10" t="s">
        <v>14</v>
      </c>
      <c r="C56" s="11" t="n">
        <v>1726.158</v>
      </c>
      <c r="D56" s="10" t="s">
        <v>15</v>
      </c>
      <c r="E56" s="12" t="n">
        <v>2.5</v>
      </c>
      <c r="F56" s="12" t="n">
        <v>2.5</v>
      </c>
      <c r="G56" s="12" t="n">
        <v>0</v>
      </c>
      <c r="H56" s="9" t="n">
        <v>2</v>
      </c>
      <c r="I56" s="9" t="n">
        <v>31</v>
      </c>
      <c r="J56" s="9" t="n">
        <v>1</v>
      </c>
      <c r="K56" s="13" t="s">
        <v>13</v>
      </c>
    </row>
    <row r="57" customFormat="false" ht="15.75" hidden="false" customHeight="false" outlineLevel="0" collapsed="false">
      <c r="A57" s="9" t="n">
        <v>36</v>
      </c>
      <c r="B57" s="10" t="s">
        <v>18</v>
      </c>
      <c r="C57" s="11" t="n">
        <v>1136.975</v>
      </c>
      <c r="D57" s="10" t="s">
        <v>12</v>
      </c>
      <c r="E57" s="12" t="n">
        <v>8</v>
      </c>
      <c r="F57" s="12" t="n">
        <v>8</v>
      </c>
      <c r="G57" s="12" t="n">
        <v>0</v>
      </c>
      <c r="H57" s="9" t="n">
        <v>4</v>
      </c>
      <c r="I57" s="9" t="n">
        <v>57</v>
      </c>
      <c r="J57" s="9" t="n">
        <v>2</v>
      </c>
      <c r="K57" s="13" t="s">
        <v>16</v>
      </c>
    </row>
    <row r="58" customFormat="false" ht="15.75" hidden="false" customHeight="false" outlineLevel="0" collapsed="false">
      <c r="A58" s="9" t="n">
        <v>6</v>
      </c>
      <c r="B58" s="10" t="s">
        <v>22</v>
      </c>
      <c r="C58" s="11" t="n">
        <v>400.113</v>
      </c>
      <c r="D58" s="10" t="s">
        <v>15</v>
      </c>
      <c r="E58" s="12" t="n">
        <v>2.5</v>
      </c>
      <c r="F58" s="12" t="n">
        <v>2.5</v>
      </c>
      <c r="G58" s="12" t="n">
        <v>0</v>
      </c>
      <c r="H58" s="9" t="n">
        <v>1</v>
      </c>
      <c r="I58" s="9" t="n">
        <v>26</v>
      </c>
      <c r="J58" s="9" t="n">
        <v>1</v>
      </c>
      <c r="K58" s="13" t="s">
        <v>13</v>
      </c>
    </row>
    <row r="59" customFormat="false" ht="15.75" hidden="false" customHeight="false" outlineLevel="0" collapsed="false">
      <c r="A59" s="9" t="n">
        <v>12</v>
      </c>
      <c r="B59" s="10" t="s">
        <v>14</v>
      </c>
      <c r="C59" s="11" t="n">
        <v>3305.148</v>
      </c>
      <c r="D59" s="10" t="s">
        <v>19</v>
      </c>
      <c r="E59" s="12" t="n">
        <v>0</v>
      </c>
      <c r="F59" s="12" t="n">
        <v>0</v>
      </c>
      <c r="G59" s="12" t="n">
        <v>0</v>
      </c>
      <c r="H59" s="9" t="n">
        <v>2</v>
      </c>
      <c r="I59" s="9" t="n">
        <v>52</v>
      </c>
      <c r="J59" s="9" t="n">
        <v>1</v>
      </c>
      <c r="K59" s="13" t="s">
        <v>16</v>
      </c>
    </row>
    <row r="60" customFormat="false" ht="15.75" hidden="false" customHeight="false" outlineLevel="0" collapsed="false">
      <c r="A60" s="9" t="n">
        <v>36</v>
      </c>
      <c r="B60" s="10" t="s">
        <v>11</v>
      </c>
      <c r="C60" s="11" t="n">
        <v>4888.226</v>
      </c>
      <c r="D60" s="10" t="s">
        <v>15</v>
      </c>
      <c r="E60" s="12" t="n">
        <v>2.5</v>
      </c>
      <c r="F60" s="12" t="n">
        <v>2.5</v>
      </c>
      <c r="G60" s="12" t="n">
        <v>0</v>
      </c>
      <c r="H60" s="9" t="n">
        <v>2</v>
      </c>
      <c r="I60" s="9" t="n">
        <v>31</v>
      </c>
      <c r="J60" s="9" t="n">
        <v>2</v>
      </c>
      <c r="K60" s="13" t="s">
        <v>13</v>
      </c>
    </row>
    <row r="61" customFormat="false" ht="15.75" hidden="false" customHeight="false" outlineLevel="0" collapsed="false">
      <c r="A61" s="9" t="n">
        <v>18</v>
      </c>
      <c r="B61" s="10" t="s">
        <v>14</v>
      </c>
      <c r="C61" s="11" t="n">
        <v>1002.071</v>
      </c>
      <c r="D61" s="10" t="s">
        <v>12</v>
      </c>
      <c r="E61" s="12" t="n">
        <v>8</v>
      </c>
      <c r="F61" s="12" t="n">
        <v>5</v>
      </c>
      <c r="G61" s="12" t="n">
        <v>1</v>
      </c>
      <c r="H61" s="9" t="n">
        <v>3</v>
      </c>
      <c r="I61" s="9" t="n">
        <v>23</v>
      </c>
      <c r="J61" s="9" t="n">
        <v>1</v>
      </c>
      <c r="K61" s="13" t="s">
        <v>13</v>
      </c>
    </row>
    <row r="62" customFormat="false" ht="15.75" hidden="false" customHeight="false" outlineLevel="0" collapsed="false">
      <c r="A62" s="9" t="n">
        <v>36</v>
      </c>
      <c r="B62" s="10" t="s">
        <v>11</v>
      </c>
      <c r="C62" s="11" t="n">
        <v>3183.019</v>
      </c>
      <c r="D62" s="10" t="s">
        <v>20</v>
      </c>
      <c r="E62" s="12" t="n">
        <v>0.5</v>
      </c>
      <c r="F62" s="12" t="n">
        <v>0.5</v>
      </c>
      <c r="G62" s="12" t="n">
        <v>0</v>
      </c>
      <c r="H62" s="9" t="n">
        <v>4</v>
      </c>
      <c r="I62" s="9" t="n">
        <v>23</v>
      </c>
      <c r="J62" s="9" t="n">
        <v>2</v>
      </c>
      <c r="K62" s="13" t="s">
        <v>16</v>
      </c>
    </row>
    <row r="63" customFormat="false" ht="15.75" hidden="false" customHeight="false" outlineLevel="0" collapsed="false">
      <c r="A63" s="9" t="n">
        <v>9</v>
      </c>
      <c r="B63" s="10" t="s">
        <v>14</v>
      </c>
      <c r="C63" s="11" t="n">
        <v>710.801</v>
      </c>
      <c r="D63" s="10" t="s">
        <v>15</v>
      </c>
      <c r="E63" s="12" t="n">
        <v>2.5</v>
      </c>
      <c r="F63" s="12" t="n">
        <v>2.5</v>
      </c>
      <c r="G63" s="12" t="n">
        <v>0</v>
      </c>
      <c r="H63" s="9" t="n">
        <v>2</v>
      </c>
      <c r="I63" s="9" t="n">
        <v>27</v>
      </c>
      <c r="J63" s="9" t="n">
        <v>1</v>
      </c>
      <c r="K63" s="13" t="s">
        <v>13</v>
      </c>
    </row>
    <row r="64" customFormat="false" ht="15.75" hidden="false" customHeight="false" outlineLevel="0" collapsed="false">
      <c r="A64" s="9" t="n">
        <v>15</v>
      </c>
      <c r="B64" s="10" t="s">
        <v>11</v>
      </c>
      <c r="C64" s="11" t="n">
        <v>785.407</v>
      </c>
      <c r="D64" s="10" t="s">
        <v>12</v>
      </c>
      <c r="E64" s="12" t="n">
        <v>8</v>
      </c>
      <c r="F64" s="12" t="n">
        <v>8</v>
      </c>
      <c r="G64" s="12" t="n">
        <v>0</v>
      </c>
      <c r="H64" s="9" t="n">
        <v>4</v>
      </c>
      <c r="I64" s="9" t="n">
        <v>50</v>
      </c>
      <c r="J64" s="9" t="n">
        <v>2</v>
      </c>
      <c r="K64" s="13" t="s">
        <v>13</v>
      </c>
    </row>
    <row r="65" customFormat="false" ht="15.75" hidden="false" customHeight="false" outlineLevel="0" collapsed="false">
      <c r="A65" s="9" t="n">
        <v>36</v>
      </c>
      <c r="B65" s="10" t="s">
        <v>21</v>
      </c>
      <c r="C65" s="11" t="n">
        <v>997.983</v>
      </c>
      <c r="D65" s="10" t="s">
        <v>12</v>
      </c>
      <c r="E65" s="12" t="n">
        <v>8</v>
      </c>
      <c r="F65" s="12" t="n">
        <v>8</v>
      </c>
      <c r="G65" s="12" t="n">
        <v>0</v>
      </c>
      <c r="H65" s="9" t="n">
        <v>4</v>
      </c>
      <c r="I65" s="9" t="n">
        <v>61</v>
      </c>
      <c r="J65" s="9" t="n">
        <v>1</v>
      </c>
      <c r="K65" s="13" t="s">
        <v>16</v>
      </c>
    </row>
    <row r="66" customFormat="false" ht="15.75" hidden="false" customHeight="false" outlineLevel="0" collapsed="false">
      <c r="A66" s="9" t="n">
        <v>48</v>
      </c>
      <c r="B66" s="10" t="s">
        <v>21</v>
      </c>
      <c r="C66" s="11" t="n">
        <v>7369.131</v>
      </c>
      <c r="D66" s="10" t="s">
        <v>15</v>
      </c>
      <c r="E66" s="12" t="n">
        <v>2.5</v>
      </c>
      <c r="F66" s="12" t="n">
        <v>2.5</v>
      </c>
      <c r="G66" s="12" t="n">
        <v>0</v>
      </c>
      <c r="H66" s="9" t="n">
        <v>2</v>
      </c>
      <c r="I66" s="9" t="n">
        <v>25</v>
      </c>
      <c r="J66" s="9" t="n">
        <v>1</v>
      </c>
      <c r="K66" s="13" t="s">
        <v>16</v>
      </c>
    </row>
    <row r="67" customFormat="false" ht="15.75" hidden="false" customHeight="false" outlineLevel="0" collapsed="false">
      <c r="A67" s="9" t="n">
        <v>24</v>
      </c>
      <c r="B67" s="10" t="s">
        <v>14</v>
      </c>
      <c r="C67" s="11" t="n">
        <v>1625.491</v>
      </c>
      <c r="D67" s="10" t="s">
        <v>20</v>
      </c>
      <c r="E67" s="12" t="n">
        <v>0.5</v>
      </c>
      <c r="F67" s="12" t="n">
        <v>0.5</v>
      </c>
      <c r="G67" s="12" t="n">
        <v>0</v>
      </c>
      <c r="H67" s="9" t="n">
        <v>4</v>
      </c>
      <c r="I67" s="9" t="n">
        <v>26</v>
      </c>
      <c r="J67" s="9" t="n">
        <v>1</v>
      </c>
      <c r="K67" s="13" t="s">
        <v>13</v>
      </c>
    </row>
    <row r="68" customFormat="false" ht="15.75" hidden="false" customHeight="false" outlineLevel="0" collapsed="false">
      <c r="A68" s="9" t="n">
        <v>27</v>
      </c>
      <c r="B68" s="10" t="s">
        <v>14</v>
      </c>
      <c r="C68" s="11" t="n">
        <v>2652.09</v>
      </c>
      <c r="D68" s="10" t="s">
        <v>12</v>
      </c>
      <c r="E68" s="12" t="n">
        <v>8</v>
      </c>
      <c r="F68" s="12" t="n">
        <v>8</v>
      </c>
      <c r="G68" s="12" t="n">
        <v>0</v>
      </c>
      <c r="H68" s="9" t="n">
        <v>4</v>
      </c>
      <c r="I68" s="9" t="n">
        <v>48</v>
      </c>
      <c r="J68" s="9" t="n">
        <v>4</v>
      </c>
      <c r="K68" s="13" t="s">
        <v>13</v>
      </c>
    </row>
    <row r="69" customFormat="false" ht="15.75" hidden="false" customHeight="false" outlineLevel="0" collapsed="false">
      <c r="A69" s="9" t="n">
        <v>12</v>
      </c>
      <c r="B69" s="10" t="s">
        <v>14</v>
      </c>
      <c r="C69" s="11" t="n">
        <v>1109.381</v>
      </c>
      <c r="D69" s="10" t="s">
        <v>20</v>
      </c>
      <c r="E69" s="12" t="n">
        <v>0.5</v>
      </c>
      <c r="F69" s="12" t="n">
        <v>0.5</v>
      </c>
      <c r="G69" s="12" t="n">
        <v>0</v>
      </c>
      <c r="H69" s="9" t="n">
        <v>2</v>
      </c>
      <c r="I69" s="9" t="n">
        <v>29</v>
      </c>
      <c r="J69" s="9" t="n">
        <v>1</v>
      </c>
      <c r="K69" s="13" t="s">
        <v>13</v>
      </c>
    </row>
    <row r="70" customFormat="false" ht="15.75" hidden="false" customHeight="false" outlineLevel="0" collapsed="false">
      <c r="A70" s="9" t="n">
        <v>12</v>
      </c>
      <c r="B70" s="10" t="s">
        <v>14</v>
      </c>
      <c r="C70" s="11" t="n">
        <v>514.577</v>
      </c>
      <c r="D70" s="10" t="s">
        <v>15</v>
      </c>
      <c r="E70" s="12" t="n">
        <v>2.5</v>
      </c>
      <c r="F70" s="12" t="n">
        <v>2.5</v>
      </c>
      <c r="G70" s="12" t="n">
        <v>0</v>
      </c>
      <c r="H70" s="9" t="n">
        <v>4</v>
      </c>
      <c r="I70" s="9" t="n">
        <v>22</v>
      </c>
      <c r="J70" s="9" t="n">
        <v>1</v>
      </c>
      <c r="K70" s="13" t="s">
        <v>13</v>
      </c>
    </row>
    <row r="71" customFormat="false" ht="15.75" hidden="false" customHeight="false" outlineLevel="0" collapsed="false">
      <c r="A71" s="9" t="n">
        <v>36</v>
      </c>
      <c r="B71" s="10" t="s">
        <v>14</v>
      </c>
      <c r="C71" s="11" t="n">
        <v>929.509</v>
      </c>
      <c r="D71" s="10" t="s">
        <v>15</v>
      </c>
      <c r="E71" s="12" t="n">
        <v>2.5</v>
      </c>
      <c r="F71" s="12" t="n">
        <v>2.5</v>
      </c>
      <c r="G71" s="12" t="n">
        <v>0</v>
      </c>
      <c r="H71" s="9" t="n">
        <v>4</v>
      </c>
      <c r="I71" s="9" t="n">
        <v>37</v>
      </c>
      <c r="J71" s="9" t="n">
        <v>1</v>
      </c>
      <c r="K71" s="13" t="s">
        <v>16</v>
      </c>
    </row>
    <row r="72" customFormat="false" ht="15.75" hidden="false" customHeight="false" outlineLevel="0" collapsed="false">
      <c r="A72" s="9" t="n">
        <v>36</v>
      </c>
      <c r="B72" s="10" t="s">
        <v>14</v>
      </c>
      <c r="C72" s="11" t="n">
        <v>1223.334</v>
      </c>
      <c r="D72" s="10" t="s">
        <v>15</v>
      </c>
      <c r="E72" s="12" t="n">
        <v>2.5</v>
      </c>
      <c r="F72" s="12" t="n">
        <v>2.5</v>
      </c>
      <c r="G72" s="12" t="n">
        <v>0</v>
      </c>
      <c r="H72" s="9" t="n">
        <v>4</v>
      </c>
      <c r="I72" s="9" t="n">
        <v>25</v>
      </c>
      <c r="J72" s="9" t="n">
        <v>1</v>
      </c>
      <c r="K72" s="13" t="s">
        <v>13</v>
      </c>
    </row>
    <row r="73" customFormat="false" ht="15.75" hidden="false" customHeight="false" outlineLevel="0" collapsed="false">
      <c r="A73" s="9" t="n">
        <v>36</v>
      </c>
      <c r="B73" s="10" t="s">
        <v>14</v>
      </c>
      <c r="C73" s="11" t="n">
        <v>4155.963</v>
      </c>
      <c r="D73" s="10" t="s">
        <v>15</v>
      </c>
      <c r="E73" s="12" t="n">
        <v>2.5</v>
      </c>
      <c r="F73" s="12" t="n">
        <v>2.5</v>
      </c>
      <c r="G73" s="12" t="n">
        <v>0</v>
      </c>
      <c r="H73" s="9" t="n">
        <v>1</v>
      </c>
      <c r="I73" s="9" t="n">
        <v>30</v>
      </c>
      <c r="J73" s="9" t="n">
        <v>1</v>
      </c>
      <c r="K73" s="13" t="s">
        <v>13</v>
      </c>
    </row>
    <row r="74" customFormat="false" ht="15.75" hidden="false" customHeight="false" outlineLevel="0" collapsed="false">
      <c r="A74" s="9" t="n">
        <v>7</v>
      </c>
      <c r="B74" s="10" t="s">
        <v>11</v>
      </c>
      <c r="C74" s="11" t="n">
        <v>373.03</v>
      </c>
      <c r="D74" s="10" t="s">
        <v>12</v>
      </c>
      <c r="E74" s="12" t="n">
        <v>8</v>
      </c>
      <c r="F74" s="12" t="n">
        <v>8</v>
      </c>
      <c r="G74" s="12" t="n">
        <v>0</v>
      </c>
      <c r="H74" s="9" t="n">
        <v>4</v>
      </c>
      <c r="I74" s="9" t="n">
        <v>46</v>
      </c>
      <c r="J74" s="9" t="n">
        <v>2</v>
      </c>
      <c r="K74" s="13" t="s">
        <v>13</v>
      </c>
    </row>
    <row r="75" customFormat="false" ht="15.75" hidden="false" customHeight="false" outlineLevel="0" collapsed="false">
      <c r="A75" s="9" t="n">
        <v>8</v>
      </c>
      <c r="B75" s="10" t="s">
        <v>11</v>
      </c>
      <c r="C75" s="11" t="n">
        <v>594.804</v>
      </c>
      <c r="D75" s="10" t="s">
        <v>12</v>
      </c>
      <c r="E75" s="12" t="n">
        <v>8</v>
      </c>
      <c r="F75" s="12" t="n">
        <v>8</v>
      </c>
      <c r="G75" s="12" t="n">
        <v>0</v>
      </c>
      <c r="H75" s="9" t="n">
        <v>3</v>
      </c>
      <c r="I75" s="9" t="n">
        <v>51</v>
      </c>
      <c r="J75" s="9" t="n">
        <v>2</v>
      </c>
      <c r="K75" s="13" t="s">
        <v>13</v>
      </c>
    </row>
    <row r="76" customFormat="false" ht="15.75" hidden="false" customHeight="false" outlineLevel="0" collapsed="false">
      <c r="A76" s="9" t="n">
        <v>42</v>
      </c>
      <c r="B76" s="10" t="s">
        <v>11</v>
      </c>
      <c r="C76" s="11" t="n">
        <v>3042.494</v>
      </c>
      <c r="D76" s="10" t="s">
        <v>17</v>
      </c>
      <c r="E76" s="12" t="n">
        <v>5.5</v>
      </c>
      <c r="F76" s="12" t="n">
        <v>5.5</v>
      </c>
      <c r="G76" s="12" t="n">
        <v>0</v>
      </c>
      <c r="H76" s="9" t="n">
        <v>2</v>
      </c>
      <c r="I76" s="9" t="n">
        <v>41</v>
      </c>
      <c r="J76" s="9" t="n">
        <v>2</v>
      </c>
      <c r="K76" s="13" t="s">
        <v>13</v>
      </c>
    </row>
    <row r="77" customFormat="false" ht="15.75" hidden="false" customHeight="false" outlineLevel="0" collapsed="false">
      <c r="A77" s="9" t="n">
        <v>36</v>
      </c>
      <c r="B77" s="10" t="s">
        <v>14</v>
      </c>
      <c r="C77" s="11" t="n">
        <v>1010.247</v>
      </c>
      <c r="D77" s="10" t="s">
        <v>12</v>
      </c>
      <c r="E77" s="12" t="n">
        <v>8</v>
      </c>
      <c r="F77" s="12" t="n">
        <v>8</v>
      </c>
      <c r="G77" s="12" t="n">
        <v>0</v>
      </c>
      <c r="H77" s="9" t="n">
        <v>4</v>
      </c>
      <c r="I77" s="9" t="n">
        <v>40</v>
      </c>
      <c r="J77" s="9" t="n">
        <v>1</v>
      </c>
      <c r="K77" s="13" t="s">
        <v>16</v>
      </c>
    </row>
    <row r="78" customFormat="false" ht="15.75" hidden="false" customHeight="false" outlineLevel="0" collapsed="false">
      <c r="A78" s="9" t="n">
        <v>12</v>
      </c>
      <c r="B78" s="10" t="s">
        <v>11</v>
      </c>
      <c r="C78" s="11" t="n">
        <v>779.786</v>
      </c>
      <c r="D78" s="10" t="s">
        <v>12</v>
      </c>
      <c r="E78" s="12" t="n">
        <v>8</v>
      </c>
      <c r="F78" s="12" t="n">
        <v>8</v>
      </c>
      <c r="G78" s="12" t="n">
        <v>0</v>
      </c>
      <c r="H78" s="9" t="n">
        <v>4</v>
      </c>
      <c r="I78" s="9" t="n">
        <v>66</v>
      </c>
      <c r="J78" s="9" t="n">
        <v>2</v>
      </c>
      <c r="K78" s="13" t="s">
        <v>13</v>
      </c>
    </row>
    <row r="79" customFormat="false" ht="15.75" hidden="false" customHeight="false" outlineLevel="0" collapsed="false">
      <c r="A79" s="9" t="n">
        <v>42</v>
      </c>
      <c r="B79" s="10" t="s">
        <v>14</v>
      </c>
      <c r="C79" s="11" t="n">
        <v>2026.115</v>
      </c>
      <c r="D79" s="10" t="s">
        <v>20</v>
      </c>
      <c r="E79" s="12" t="n">
        <v>0.5</v>
      </c>
      <c r="F79" s="12" t="n">
        <v>0.5</v>
      </c>
      <c r="G79" s="12" t="n">
        <v>0</v>
      </c>
      <c r="H79" s="9" t="n">
        <v>4</v>
      </c>
      <c r="I79" s="9" t="n">
        <v>34</v>
      </c>
      <c r="J79" s="9" t="n">
        <v>1</v>
      </c>
      <c r="K79" s="13" t="s">
        <v>16</v>
      </c>
    </row>
    <row r="80" customFormat="false" ht="15.75" hidden="false" customHeight="false" outlineLevel="0" collapsed="false">
      <c r="A80" s="9" t="n">
        <v>11</v>
      </c>
      <c r="B80" s="10" t="s">
        <v>18</v>
      </c>
      <c r="C80" s="11" t="n">
        <v>2437.981</v>
      </c>
      <c r="D80" s="10" t="s">
        <v>17</v>
      </c>
      <c r="E80" s="12" t="n">
        <v>5.5</v>
      </c>
      <c r="F80" s="12" t="n">
        <v>5.5</v>
      </c>
      <c r="G80" s="12" t="n">
        <v>0</v>
      </c>
      <c r="H80" s="9" t="n">
        <v>2</v>
      </c>
      <c r="I80" s="9" t="n">
        <v>51</v>
      </c>
      <c r="J80" s="9" t="n">
        <v>1</v>
      </c>
      <c r="K80" s="13" t="s">
        <v>13</v>
      </c>
    </row>
    <row r="81" customFormat="false" ht="15.75" hidden="false" customHeight="false" outlineLevel="0" collapsed="false">
      <c r="A81" s="9" t="n">
        <v>54</v>
      </c>
      <c r="B81" s="10" t="s">
        <v>21</v>
      </c>
      <c r="C81" s="11" t="n">
        <v>4821.796</v>
      </c>
      <c r="D81" s="10" t="s">
        <v>15</v>
      </c>
      <c r="E81" s="12" t="n">
        <v>2.5</v>
      </c>
      <c r="F81" s="12" t="n">
        <v>2.5</v>
      </c>
      <c r="G81" s="12" t="n">
        <v>0</v>
      </c>
      <c r="H81" s="9" t="n">
        <v>2</v>
      </c>
      <c r="I81" s="9" t="n">
        <v>39</v>
      </c>
      <c r="J81" s="9" t="n">
        <v>1</v>
      </c>
      <c r="K81" s="13" t="s">
        <v>13</v>
      </c>
    </row>
    <row r="82" customFormat="false" ht="15.75" hidden="false" customHeight="false" outlineLevel="0" collapsed="false">
      <c r="A82" s="9" t="n">
        <v>30</v>
      </c>
      <c r="B82" s="10" t="s">
        <v>14</v>
      </c>
      <c r="C82" s="11" t="n">
        <v>1958.152</v>
      </c>
      <c r="D82" s="10" t="s">
        <v>20</v>
      </c>
      <c r="E82" s="12" t="n">
        <v>0.5</v>
      </c>
      <c r="F82" s="12" t="n">
        <v>0.5</v>
      </c>
      <c r="G82" s="12" t="n">
        <v>0</v>
      </c>
      <c r="H82" s="9" t="n">
        <v>2</v>
      </c>
      <c r="I82" s="9" t="n">
        <v>22</v>
      </c>
      <c r="J82" s="9" t="n">
        <v>1</v>
      </c>
      <c r="K82" s="13" t="s">
        <v>13</v>
      </c>
    </row>
    <row r="83" customFormat="false" ht="15.75" hidden="false" customHeight="false" outlineLevel="0" collapsed="false">
      <c r="A83" s="9" t="n">
        <v>24</v>
      </c>
      <c r="B83" s="10" t="s">
        <v>14</v>
      </c>
      <c r="C83" s="11" t="n">
        <v>3036.873</v>
      </c>
      <c r="D83" s="10" t="s">
        <v>20</v>
      </c>
      <c r="E83" s="12" t="n">
        <v>0.5</v>
      </c>
      <c r="F83" s="12" t="n">
        <v>0.5</v>
      </c>
      <c r="G83" s="12" t="n">
        <v>0</v>
      </c>
      <c r="H83" s="9" t="n">
        <v>1</v>
      </c>
      <c r="I83" s="9" t="n">
        <v>44</v>
      </c>
      <c r="J83" s="9" t="n">
        <v>2</v>
      </c>
      <c r="K83" s="13" t="s">
        <v>16</v>
      </c>
    </row>
    <row r="84" customFormat="false" ht="15.75" hidden="false" customHeight="false" outlineLevel="0" collapsed="false">
      <c r="A84" s="9" t="n">
        <v>15</v>
      </c>
      <c r="B84" s="10" t="s">
        <v>14</v>
      </c>
      <c r="C84" s="11" t="n">
        <v>619.843</v>
      </c>
      <c r="D84" s="10" t="s">
        <v>12</v>
      </c>
      <c r="E84" s="12" t="n">
        <v>8</v>
      </c>
      <c r="F84" s="12" t="n">
        <v>8</v>
      </c>
      <c r="G84" s="12" t="n">
        <v>0</v>
      </c>
      <c r="H84" s="9" t="n">
        <v>4</v>
      </c>
      <c r="I84" s="9" t="n">
        <v>47</v>
      </c>
      <c r="J84" s="9" t="n">
        <v>1</v>
      </c>
      <c r="K84" s="13" t="s">
        <v>13</v>
      </c>
    </row>
    <row r="85" customFormat="false" ht="15.75" hidden="false" customHeight="false" outlineLevel="0" collapsed="false">
      <c r="A85" s="9" t="n">
        <v>18</v>
      </c>
      <c r="B85" s="10" t="s">
        <v>14</v>
      </c>
      <c r="C85" s="11" t="n">
        <v>801.248</v>
      </c>
      <c r="D85" s="10" t="s">
        <v>15</v>
      </c>
      <c r="E85" s="12" t="n">
        <v>2.5</v>
      </c>
      <c r="F85" s="12" t="n">
        <v>2.5</v>
      </c>
      <c r="G85" s="12" t="n">
        <v>0</v>
      </c>
      <c r="H85" s="9" t="n">
        <v>3</v>
      </c>
      <c r="I85" s="9" t="n">
        <v>24</v>
      </c>
      <c r="J85" s="9" t="n">
        <v>1</v>
      </c>
      <c r="K85" s="13" t="s">
        <v>13</v>
      </c>
    </row>
    <row r="86" customFormat="false" ht="15.75" hidden="false" customHeight="false" outlineLevel="0" collapsed="false">
      <c r="A86" s="9" t="n">
        <v>24</v>
      </c>
      <c r="B86" s="10" t="s">
        <v>14</v>
      </c>
      <c r="C86" s="11" t="n">
        <v>896.805</v>
      </c>
      <c r="D86" s="10" t="s">
        <v>12</v>
      </c>
      <c r="E86" s="12" t="n">
        <v>8</v>
      </c>
      <c r="F86" s="12" t="n">
        <v>8</v>
      </c>
      <c r="G86" s="12" t="n">
        <v>0</v>
      </c>
      <c r="H86" s="9" t="n">
        <v>4</v>
      </c>
      <c r="I86" s="9" t="n">
        <v>58</v>
      </c>
      <c r="J86" s="9" t="n">
        <v>1</v>
      </c>
      <c r="K86" s="13" t="s">
        <v>13</v>
      </c>
    </row>
    <row r="87" customFormat="false" ht="15.75" hidden="false" customHeight="false" outlineLevel="0" collapsed="false">
      <c r="A87" s="9" t="n">
        <v>10</v>
      </c>
      <c r="B87" s="10" t="s">
        <v>14</v>
      </c>
      <c r="C87" s="11" t="n">
        <v>1182.965</v>
      </c>
      <c r="D87" s="10" t="s">
        <v>12</v>
      </c>
      <c r="E87" s="12" t="n">
        <v>8</v>
      </c>
      <c r="F87" s="12" t="n">
        <v>8</v>
      </c>
      <c r="G87" s="12" t="n">
        <v>0</v>
      </c>
      <c r="H87" s="9" t="n">
        <v>3</v>
      </c>
      <c r="I87" s="9" t="n">
        <v>52</v>
      </c>
      <c r="J87" s="9" t="n">
        <v>1</v>
      </c>
      <c r="K87" s="13" t="s">
        <v>13</v>
      </c>
    </row>
    <row r="88" customFormat="false" ht="15.75" hidden="false" customHeight="false" outlineLevel="0" collapsed="false">
      <c r="A88" s="9" t="n">
        <v>12</v>
      </c>
      <c r="B88" s="10" t="s">
        <v>11</v>
      </c>
      <c r="C88" s="11" t="n">
        <v>721.532</v>
      </c>
      <c r="D88" s="10" t="s">
        <v>15</v>
      </c>
      <c r="E88" s="12" t="n">
        <v>2.5</v>
      </c>
      <c r="F88" s="12" t="n">
        <v>2.5</v>
      </c>
      <c r="G88" s="12" t="n">
        <v>0</v>
      </c>
      <c r="H88" s="9" t="n">
        <v>4</v>
      </c>
      <c r="I88" s="9" t="n">
        <v>29</v>
      </c>
      <c r="J88" s="9" t="n">
        <v>2</v>
      </c>
      <c r="K88" s="13" t="s">
        <v>13</v>
      </c>
    </row>
    <row r="89" customFormat="false" ht="15.75" hidden="false" customHeight="false" outlineLevel="0" collapsed="false">
      <c r="A89" s="9" t="n">
        <v>18</v>
      </c>
      <c r="B89" s="10" t="s">
        <v>11</v>
      </c>
      <c r="C89" s="11" t="n">
        <v>661.745</v>
      </c>
      <c r="D89" s="10" t="s">
        <v>20</v>
      </c>
      <c r="E89" s="12" t="n">
        <v>0.5</v>
      </c>
      <c r="F89" s="12" t="n">
        <v>0.5</v>
      </c>
      <c r="G89" s="12" t="n">
        <v>0</v>
      </c>
      <c r="H89" s="9" t="n">
        <v>4</v>
      </c>
      <c r="I89" s="9" t="n">
        <v>27</v>
      </c>
      <c r="J89" s="9" t="n">
        <v>2</v>
      </c>
      <c r="K89" s="13" t="s">
        <v>13</v>
      </c>
    </row>
    <row r="90" customFormat="false" ht="15.75" hidden="false" customHeight="false" outlineLevel="0" collapsed="false">
      <c r="A90" s="9" t="n">
        <v>36</v>
      </c>
      <c r="B90" s="10" t="s">
        <v>14</v>
      </c>
      <c r="C90" s="11" t="n">
        <v>6444.732</v>
      </c>
      <c r="D90" s="10" t="s">
        <v>15</v>
      </c>
      <c r="E90" s="12" t="n">
        <v>2.5</v>
      </c>
      <c r="F90" s="12" t="n">
        <v>2.5</v>
      </c>
      <c r="G90" s="12" t="n">
        <v>0</v>
      </c>
      <c r="H90" s="9" t="n">
        <v>1</v>
      </c>
      <c r="I90" s="9" t="n">
        <v>47</v>
      </c>
      <c r="J90" s="9" t="n">
        <v>1</v>
      </c>
      <c r="K90" s="13" t="s">
        <v>16</v>
      </c>
    </row>
    <row r="91" customFormat="false" ht="15.75" hidden="false" customHeight="false" outlineLevel="0" collapsed="false">
      <c r="A91" s="9" t="n">
        <v>18</v>
      </c>
      <c r="B91" s="10" t="s">
        <v>14</v>
      </c>
      <c r="C91" s="11" t="n">
        <v>1149.239</v>
      </c>
      <c r="D91" s="10" t="s">
        <v>17</v>
      </c>
      <c r="E91" s="12" t="n">
        <v>5.5</v>
      </c>
      <c r="F91" s="12" t="n">
        <v>5.5</v>
      </c>
      <c r="G91" s="12" t="n">
        <v>0</v>
      </c>
      <c r="H91" s="9" t="n">
        <v>4</v>
      </c>
      <c r="I91" s="9" t="n">
        <v>30</v>
      </c>
      <c r="J91" s="9" t="n">
        <v>1</v>
      </c>
      <c r="K91" s="13" t="s">
        <v>13</v>
      </c>
    </row>
    <row r="92" customFormat="false" ht="15.75" hidden="false" customHeight="false" outlineLevel="0" collapsed="false">
      <c r="A92" s="9" t="n">
        <v>12</v>
      </c>
      <c r="B92" s="10" t="s">
        <v>21</v>
      </c>
      <c r="C92" s="11" t="n">
        <v>566.188</v>
      </c>
      <c r="D92" s="10" t="s">
        <v>17</v>
      </c>
      <c r="E92" s="12" t="n">
        <v>5.5</v>
      </c>
      <c r="F92" s="12" t="n">
        <v>5.5</v>
      </c>
      <c r="G92" s="12" t="n">
        <v>0</v>
      </c>
      <c r="H92" s="9" t="n">
        <v>4</v>
      </c>
      <c r="I92" s="9" t="n">
        <v>28</v>
      </c>
      <c r="J92" s="9" t="n">
        <v>2</v>
      </c>
      <c r="K92" s="13" t="s">
        <v>16</v>
      </c>
    </row>
    <row r="93" customFormat="false" ht="15.75" hidden="false" customHeight="false" outlineLevel="0" collapsed="false">
      <c r="A93" s="9" t="n">
        <v>12</v>
      </c>
      <c r="B93" s="10" t="s">
        <v>11</v>
      </c>
      <c r="C93" s="11" t="n">
        <v>315.798</v>
      </c>
      <c r="D93" s="10" t="s">
        <v>12</v>
      </c>
      <c r="E93" s="12" t="n">
        <v>8</v>
      </c>
      <c r="F93" s="12" t="n">
        <v>8</v>
      </c>
      <c r="G93" s="12" t="n">
        <v>0</v>
      </c>
      <c r="H93" s="9" t="n">
        <v>4</v>
      </c>
      <c r="I93" s="9" t="n">
        <v>56</v>
      </c>
      <c r="J93" s="9" t="n">
        <v>1</v>
      </c>
      <c r="K93" s="13" t="s">
        <v>13</v>
      </c>
    </row>
    <row r="94" customFormat="false" ht="15.75" hidden="false" customHeight="false" outlineLevel="0" collapsed="false">
      <c r="A94" s="9" t="n">
        <v>12</v>
      </c>
      <c r="B94" s="10" t="s">
        <v>11</v>
      </c>
      <c r="C94" s="11" t="n">
        <v>719.999</v>
      </c>
      <c r="D94" s="10" t="s">
        <v>12</v>
      </c>
      <c r="E94" s="12" t="n">
        <v>8</v>
      </c>
      <c r="F94" s="12" t="n">
        <v>8</v>
      </c>
      <c r="G94" s="12" t="n">
        <v>0</v>
      </c>
      <c r="H94" s="9" t="n">
        <v>4</v>
      </c>
      <c r="I94" s="9" t="n">
        <v>54</v>
      </c>
      <c r="J94" s="9" t="n">
        <v>1</v>
      </c>
      <c r="K94" s="13" t="s">
        <v>13</v>
      </c>
    </row>
    <row r="95" customFormat="false" ht="15.75" hidden="false" customHeight="false" outlineLevel="0" collapsed="false">
      <c r="A95" s="9" t="n">
        <v>12</v>
      </c>
      <c r="B95" s="10" t="s">
        <v>11</v>
      </c>
      <c r="C95" s="11" t="n">
        <v>407.267</v>
      </c>
      <c r="D95" s="10" t="s">
        <v>12</v>
      </c>
      <c r="E95" s="12" t="n">
        <v>8</v>
      </c>
      <c r="F95" s="12" t="n">
        <v>8</v>
      </c>
      <c r="G95" s="12" t="n">
        <v>0</v>
      </c>
      <c r="H95" s="9" t="n">
        <v>4</v>
      </c>
      <c r="I95" s="9" t="n">
        <v>33</v>
      </c>
      <c r="J95" s="9" t="n">
        <v>1</v>
      </c>
      <c r="K95" s="13" t="s">
        <v>16</v>
      </c>
    </row>
    <row r="96" customFormat="false" ht="15.75" hidden="false" customHeight="false" outlineLevel="0" collapsed="false">
      <c r="A96" s="9" t="n">
        <v>24</v>
      </c>
      <c r="B96" s="10" t="s">
        <v>11</v>
      </c>
      <c r="C96" s="11" t="n">
        <v>1848.287</v>
      </c>
      <c r="D96" s="10" t="s">
        <v>12</v>
      </c>
      <c r="E96" s="12" t="n">
        <v>8</v>
      </c>
      <c r="F96" s="12" t="n">
        <v>2</v>
      </c>
      <c r="G96" s="12" t="n">
        <v>1</v>
      </c>
      <c r="H96" s="9" t="n">
        <v>4</v>
      </c>
      <c r="I96" s="9" t="n">
        <v>20</v>
      </c>
      <c r="J96" s="9" t="n">
        <v>2</v>
      </c>
      <c r="K96" s="13" t="s">
        <v>13</v>
      </c>
    </row>
    <row r="97" customFormat="false" ht="15.75" hidden="false" customHeight="false" outlineLevel="0" collapsed="false">
      <c r="A97" s="9" t="n">
        <v>12</v>
      </c>
      <c r="B97" s="10" t="s">
        <v>14</v>
      </c>
      <c r="C97" s="11" t="n">
        <v>673.498</v>
      </c>
      <c r="D97" s="10" t="s">
        <v>12</v>
      </c>
      <c r="E97" s="12" t="n">
        <v>8</v>
      </c>
      <c r="F97" s="12" t="n">
        <v>8</v>
      </c>
      <c r="G97" s="12" t="n">
        <v>0</v>
      </c>
      <c r="H97" s="9" t="n">
        <v>4</v>
      </c>
      <c r="I97" s="9" t="n">
        <v>54</v>
      </c>
      <c r="J97" s="9" t="n">
        <v>1</v>
      </c>
      <c r="K97" s="13" t="s">
        <v>13</v>
      </c>
    </row>
    <row r="98" customFormat="false" ht="15.75" hidden="false" customHeight="false" outlineLevel="0" collapsed="false">
      <c r="A98" s="9" t="n">
        <v>54</v>
      </c>
      <c r="B98" s="10" t="s">
        <v>21</v>
      </c>
      <c r="C98" s="11" t="n">
        <v>8147.895</v>
      </c>
      <c r="D98" s="10" t="s">
        <v>20</v>
      </c>
      <c r="E98" s="12" t="n">
        <v>0.5</v>
      </c>
      <c r="F98" s="12" t="n">
        <v>0.5</v>
      </c>
      <c r="G98" s="12" t="n">
        <v>0</v>
      </c>
      <c r="H98" s="9" t="n">
        <v>3</v>
      </c>
      <c r="I98" s="9" t="n">
        <v>58</v>
      </c>
      <c r="J98" s="9" t="n">
        <v>1</v>
      </c>
      <c r="K98" s="13" t="s">
        <v>16</v>
      </c>
    </row>
    <row r="99" customFormat="false" ht="15.75" hidden="false" customHeight="false" outlineLevel="0" collapsed="false">
      <c r="A99" s="9" t="n">
        <v>12</v>
      </c>
      <c r="B99" s="10" t="s">
        <v>11</v>
      </c>
      <c r="C99" s="11" t="n">
        <v>1028.132</v>
      </c>
      <c r="D99" s="10" t="s">
        <v>17</v>
      </c>
      <c r="E99" s="12" t="n">
        <v>5.5</v>
      </c>
      <c r="F99" s="12" t="n">
        <v>5.5</v>
      </c>
      <c r="G99" s="12" t="n">
        <v>0</v>
      </c>
      <c r="H99" s="9" t="n">
        <v>4</v>
      </c>
      <c r="I99" s="9" t="n">
        <v>61</v>
      </c>
      <c r="J99" s="9" t="n">
        <v>1</v>
      </c>
      <c r="K99" s="13" t="s">
        <v>13</v>
      </c>
    </row>
    <row r="100" customFormat="false" ht="15.75" hidden="false" customHeight="false" outlineLevel="0" collapsed="false">
      <c r="A100" s="9" t="n">
        <v>18</v>
      </c>
      <c r="B100" s="10" t="s">
        <v>14</v>
      </c>
      <c r="C100" s="11" t="n">
        <v>1339.842</v>
      </c>
      <c r="D100" s="10" t="s">
        <v>15</v>
      </c>
      <c r="E100" s="12" t="n">
        <v>2.5</v>
      </c>
      <c r="F100" s="12" t="n">
        <v>2.5</v>
      </c>
      <c r="G100" s="12" t="n">
        <v>0</v>
      </c>
      <c r="H100" s="9" t="n">
        <v>4</v>
      </c>
      <c r="I100" s="9" t="n">
        <v>34</v>
      </c>
      <c r="J100" s="9" t="n">
        <v>1</v>
      </c>
      <c r="K100" s="13" t="s">
        <v>13</v>
      </c>
    </row>
    <row r="101" customFormat="false" ht="15.75" hidden="false" customHeight="false" outlineLevel="0" collapsed="false">
      <c r="A101" s="9" t="n">
        <v>36</v>
      </c>
      <c r="B101" s="10" t="s">
        <v>11</v>
      </c>
      <c r="C101" s="11" t="n">
        <v>1194.207</v>
      </c>
      <c r="D101" s="10" t="s">
        <v>12</v>
      </c>
      <c r="E101" s="12" t="n">
        <v>8</v>
      </c>
      <c r="F101" s="12" t="n">
        <v>8</v>
      </c>
      <c r="G101" s="12" t="n">
        <v>0</v>
      </c>
      <c r="H101" s="9" t="n">
        <v>4</v>
      </c>
      <c r="I101" s="9" t="n">
        <v>36</v>
      </c>
      <c r="J101" s="9" t="n">
        <v>1</v>
      </c>
      <c r="K101" s="13" t="s">
        <v>13</v>
      </c>
    </row>
    <row r="102" customFormat="false" ht="15.75" hidden="false" customHeight="false" outlineLevel="0" collapsed="false">
      <c r="A102" s="9" t="n">
        <v>20</v>
      </c>
      <c r="B102" s="10" t="s">
        <v>18</v>
      </c>
      <c r="C102" s="11" t="n">
        <v>3606.127</v>
      </c>
      <c r="D102" s="10" t="s">
        <v>17</v>
      </c>
      <c r="E102" s="12" t="n">
        <v>5.5</v>
      </c>
      <c r="F102" s="12" t="n">
        <v>5.5</v>
      </c>
      <c r="G102" s="12" t="n">
        <v>0</v>
      </c>
      <c r="H102" s="9" t="n">
        <v>3</v>
      </c>
      <c r="I102" s="9" t="n">
        <v>36</v>
      </c>
      <c r="J102" s="9" t="n">
        <v>2</v>
      </c>
      <c r="K102" s="13" t="s">
        <v>13</v>
      </c>
    </row>
    <row r="103" customFormat="false" ht="15.75" hidden="false" customHeight="false" outlineLevel="0" collapsed="false">
      <c r="A103" s="9" t="n">
        <v>24</v>
      </c>
      <c r="B103" s="10" t="s">
        <v>14</v>
      </c>
      <c r="C103" s="11" t="n">
        <v>750.659</v>
      </c>
      <c r="D103" s="10" t="s">
        <v>12</v>
      </c>
      <c r="E103" s="12" t="n">
        <v>8</v>
      </c>
      <c r="F103" s="12" t="n">
        <v>8</v>
      </c>
      <c r="G103" s="12" t="n">
        <v>0</v>
      </c>
      <c r="H103" s="9" t="n">
        <v>4</v>
      </c>
      <c r="I103" s="9" t="n">
        <v>41</v>
      </c>
      <c r="J103" s="9" t="n">
        <v>1</v>
      </c>
      <c r="K103" s="13" t="s">
        <v>13</v>
      </c>
    </row>
    <row r="104" customFormat="false" ht="15.75" hidden="false" customHeight="false" outlineLevel="0" collapsed="false">
      <c r="A104" s="9" t="n">
        <v>36</v>
      </c>
      <c r="B104" s="10" t="s">
        <v>14</v>
      </c>
      <c r="C104" s="11" t="n">
        <v>1187.053</v>
      </c>
      <c r="D104" s="10" t="s">
        <v>17</v>
      </c>
      <c r="E104" s="12" t="n">
        <v>5.5</v>
      </c>
      <c r="F104" s="12" t="n">
        <v>5.5</v>
      </c>
      <c r="G104" s="12" t="n">
        <v>0</v>
      </c>
      <c r="H104" s="9" t="n">
        <v>4</v>
      </c>
      <c r="I104" s="9" t="n">
        <v>24</v>
      </c>
      <c r="J104" s="9" t="n">
        <v>1</v>
      </c>
      <c r="K104" s="13" t="s">
        <v>13</v>
      </c>
    </row>
    <row r="105" customFormat="false" ht="15.75" hidden="false" customHeight="false" outlineLevel="0" collapsed="false">
      <c r="A105" s="9" t="n">
        <v>6</v>
      </c>
      <c r="B105" s="10" t="s">
        <v>18</v>
      </c>
      <c r="C105" s="11" t="n">
        <v>476.252</v>
      </c>
      <c r="D105" s="10" t="s">
        <v>15</v>
      </c>
      <c r="E105" s="12" t="n">
        <v>2.5</v>
      </c>
      <c r="F105" s="12" t="n">
        <v>2.5</v>
      </c>
      <c r="G105" s="12" t="n">
        <v>0</v>
      </c>
      <c r="H105" s="9" t="n">
        <v>3</v>
      </c>
      <c r="I105" s="9" t="n">
        <v>24</v>
      </c>
      <c r="J105" s="9" t="n">
        <v>1</v>
      </c>
      <c r="K105" s="13" t="s">
        <v>13</v>
      </c>
    </row>
    <row r="106" customFormat="false" ht="15.75" hidden="false" customHeight="false" outlineLevel="0" collapsed="false">
      <c r="A106" s="9" t="n">
        <v>9</v>
      </c>
      <c r="B106" s="10" t="s">
        <v>11</v>
      </c>
      <c r="C106" s="11" t="n">
        <v>980.609</v>
      </c>
      <c r="D106" s="10" t="s">
        <v>17</v>
      </c>
      <c r="E106" s="12" t="n">
        <v>5.5</v>
      </c>
      <c r="F106" s="12" t="n">
        <v>5.5</v>
      </c>
      <c r="G106" s="12" t="n">
        <v>0</v>
      </c>
      <c r="H106" s="9" t="n">
        <v>4</v>
      </c>
      <c r="I106" s="9" t="n">
        <v>35</v>
      </c>
      <c r="J106" s="9" t="n">
        <v>1</v>
      </c>
      <c r="K106" s="13" t="s">
        <v>13</v>
      </c>
    </row>
    <row r="107" customFormat="false" ht="15.75" hidden="false" customHeight="false" outlineLevel="0" collapsed="false">
      <c r="A107" s="9" t="n">
        <v>12</v>
      </c>
      <c r="B107" s="10" t="s">
        <v>14</v>
      </c>
      <c r="C107" s="11" t="n">
        <v>1249.395</v>
      </c>
      <c r="D107" s="10" t="s">
        <v>20</v>
      </c>
      <c r="E107" s="12" t="n">
        <v>0.5</v>
      </c>
      <c r="F107" s="12" t="n">
        <v>0.5</v>
      </c>
      <c r="G107" s="12" t="n">
        <v>0</v>
      </c>
      <c r="H107" s="9" t="n">
        <v>2</v>
      </c>
      <c r="I107" s="9" t="n">
        <v>26</v>
      </c>
      <c r="J107" s="9" t="n">
        <v>1</v>
      </c>
      <c r="K107" s="13" t="s">
        <v>13</v>
      </c>
    </row>
    <row r="108" customFormat="false" ht="15.75" hidden="false" customHeight="false" outlineLevel="0" collapsed="false">
      <c r="A108" s="9" t="n">
        <v>24</v>
      </c>
      <c r="B108" s="10" t="s">
        <v>11</v>
      </c>
      <c r="C108" s="11" t="n">
        <v>6100.318</v>
      </c>
      <c r="D108" s="10" t="s">
        <v>15</v>
      </c>
      <c r="E108" s="12" t="n">
        <v>2.5</v>
      </c>
      <c r="F108" s="12" t="n">
        <v>2.5</v>
      </c>
      <c r="G108" s="12" t="n">
        <v>0</v>
      </c>
      <c r="H108" s="9" t="n">
        <v>2</v>
      </c>
      <c r="I108" s="9" t="n">
        <v>39</v>
      </c>
      <c r="J108" s="9" t="n">
        <v>2</v>
      </c>
      <c r="K108" s="13" t="s">
        <v>16</v>
      </c>
    </row>
    <row r="109" customFormat="false" ht="15.75" hidden="false" customHeight="false" outlineLevel="0" collapsed="false">
      <c r="A109" s="9" t="n">
        <v>18</v>
      </c>
      <c r="B109" s="10" t="s">
        <v>22</v>
      </c>
      <c r="C109" s="11" t="n">
        <v>3300.038</v>
      </c>
      <c r="D109" s="10" t="s">
        <v>12</v>
      </c>
      <c r="E109" s="12" t="n">
        <v>8</v>
      </c>
      <c r="F109" s="12" t="n">
        <v>8</v>
      </c>
      <c r="G109" s="12" t="n">
        <v>0</v>
      </c>
      <c r="H109" s="9" t="n">
        <v>2</v>
      </c>
      <c r="I109" s="9" t="n">
        <v>39</v>
      </c>
      <c r="J109" s="9" t="n">
        <v>2</v>
      </c>
      <c r="K109" s="13" t="s">
        <v>16</v>
      </c>
    </row>
    <row r="110" customFormat="false" ht="15.75" hidden="false" customHeight="false" outlineLevel="0" collapsed="false">
      <c r="A110" s="9" t="n">
        <v>12</v>
      </c>
      <c r="B110" s="10" t="s">
        <v>14</v>
      </c>
      <c r="C110" s="11" t="n">
        <v>3105.858</v>
      </c>
      <c r="D110" s="10" t="s">
        <v>17</v>
      </c>
      <c r="E110" s="12" t="n">
        <v>5.5</v>
      </c>
      <c r="F110" s="12" t="n">
        <v>5.5</v>
      </c>
      <c r="G110" s="12" t="n">
        <v>0</v>
      </c>
      <c r="H110" s="9" t="n">
        <v>2</v>
      </c>
      <c r="I110" s="9" t="n">
        <v>32</v>
      </c>
      <c r="J110" s="9" t="n">
        <v>1</v>
      </c>
      <c r="K110" s="13" t="s">
        <v>13</v>
      </c>
    </row>
    <row r="111" customFormat="false" ht="15.75" hidden="false" customHeight="false" outlineLevel="0" collapsed="false">
      <c r="A111" s="9" t="n">
        <v>24</v>
      </c>
      <c r="B111" s="10" t="s">
        <v>14</v>
      </c>
      <c r="C111" s="11" t="n">
        <v>3945.431</v>
      </c>
      <c r="D111" s="10" t="s">
        <v>20</v>
      </c>
      <c r="E111" s="12" t="n">
        <v>0.5</v>
      </c>
      <c r="F111" s="12" t="n">
        <v>0.5</v>
      </c>
      <c r="G111" s="12" t="n">
        <v>0</v>
      </c>
      <c r="H111" s="9" t="n">
        <v>1</v>
      </c>
      <c r="I111" s="9" t="n">
        <v>30</v>
      </c>
      <c r="J111" s="9" t="n">
        <v>1</v>
      </c>
      <c r="K111" s="13" t="s">
        <v>13</v>
      </c>
    </row>
    <row r="112" customFormat="false" ht="15.75" hidden="false" customHeight="false" outlineLevel="0" collapsed="false">
      <c r="A112" s="9" t="n">
        <v>14</v>
      </c>
      <c r="B112" s="10" t="s">
        <v>14</v>
      </c>
      <c r="C112" s="11" t="n">
        <v>720.51</v>
      </c>
      <c r="D112" s="10" t="s">
        <v>12</v>
      </c>
      <c r="E112" s="12" t="n">
        <v>8</v>
      </c>
      <c r="F112" s="12" t="n">
        <v>8</v>
      </c>
      <c r="G112" s="12" t="n">
        <v>0</v>
      </c>
      <c r="H112" s="9" t="n">
        <v>1</v>
      </c>
      <c r="I112" s="9" t="n">
        <v>35</v>
      </c>
      <c r="J112" s="9" t="n">
        <v>1</v>
      </c>
      <c r="K112" s="13" t="s">
        <v>13</v>
      </c>
    </row>
    <row r="113" customFormat="false" ht="15.75" hidden="false" customHeight="false" outlineLevel="0" collapsed="false">
      <c r="A113" s="9" t="n">
        <v>6</v>
      </c>
      <c r="B113" s="10" t="s">
        <v>18</v>
      </c>
      <c r="C113" s="11" t="n">
        <v>740.439</v>
      </c>
      <c r="D113" s="10" t="s">
        <v>12</v>
      </c>
      <c r="E113" s="12" t="n">
        <v>8</v>
      </c>
      <c r="F113" s="12" t="n">
        <v>8</v>
      </c>
      <c r="G113" s="12" t="n">
        <v>0</v>
      </c>
      <c r="H113" s="9" t="n">
        <v>1</v>
      </c>
      <c r="I113" s="9" t="n">
        <v>31</v>
      </c>
      <c r="J113" s="9" t="n">
        <v>2</v>
      </c>
      <c r="K113" s="13" t="s">
        <v>13</v>
      </c>
    </row>
    <row r="114" customFormat="false" ht="15.75" hidden="false" customHeight="false" outlineLevel="0" collapsed="false">
      <c r="A114" s="9" t="n">
        <v>15</v>
      </c>
      <c r="B114" s="10" t="s">
        <v>14</v>
      </c>
      <c r="C114" s="11" t="n">
        <v>200.312</v>
      </c>
      <c r="D114" s="10" t="s">
        <v>20</v>
      </c>
      <c r="E114" s="12" t="n">
        <v>0.5</v>
      </c>
      <c r="F114" s="12" t="n">
        <v>0.5</v>
      </c>
      <c r="G114" s="12" t="n">
        <v>0</v>
      </c>
      <c r="H114" s="9" t="n">
        <v>4</v>
      </c>
      <c r="I114" s="9" t="n">
        <v>23</v>
      </c>
      <c r="J114" s="9" t="n">
        <v>1</v>
      </c>
      <c r="K114" s="13" t="s">
        <v>13</v>
      </c>
    </row>
    <row r="115" customFormat="false" ht="15.75" hidden="false" customHeight="false" outlineLevel="0" collapsed="false">
      <c r="A115" s="9" t="n">
        <v>18</v>
      </c>
      <c r="B115" s="10" t="s">
        <v>14</v>
      </c>
      <c r="C115" s="11" t="n">
        <v>3198.86</v>
      </c>
      <c r="D115" s="10" t="s">
        <v>17</v>
      </c>
      <c r="E115" s="12" t="n">
        <v>5.5</v>
      </c>
      <c r="F115" s="12" t="n">
        <v>5.5</v>
      </c>
      <c r="G115" s="12" t="n">
        <v>0</v>
      </c>
      <c r="H115" s="9" t="n">
        <v>3</v>
      </c>
      <c r="I115" s="9" t="n">
        <v>28</v>
      </c>
      <c r="J115" s="9" t="n">
        <v>1</v>
      </c>
      <c r="K115" s="13" t="s">
        <v>13</v>
      </c>
    </row>
    <row r="116" customFormat="false" ht="15.75" hidden="false" customHeight="false" outlineLevel="0" collapsed="false">
      <c r="A116" s="9" t="n">
        <v>36</v>
      </c>
      <c r="B116" s="10" t="s">
        <v>11</v>
      </c>
      <c r="C116" s="11" t="n">
        <v>4013.905</v>
      </c>
      <c r="D116" s="10" t="s">
        <v>15</v>
      </c>
      <c r="E116" s="12" t="n">
        <v>2.5</v>
      </c>
      <c r="F116" s="12" t="n">
        <v>2.5</v>
      </c>
      <c r="G116" s="12" t="n">
        <v>0</v>
      </c>
      <c r="H116" s="9" t="n">
        <v>4</v>
      </c>
      <c r="I116" s="9" t="n">
        <v>25</v>
      </c>
      <c r="J116" s="9" t="n">
        <v>2</v>
      </c>
      <c r="K116" s="13" t="s">
        <v>16</v>
      </c>
    </row>
    <row r="117" customFormat="false" ht="15.75" hidden="false" customHeight="false" outlineLevel="0" collapsed="false">
      <c r="A117" s="9" t="n">
        <v>12</v>
      </c>
      <c r="B117" s="10" t="s">
        <v>14</v>
      </c>
      <c r="C117" s="11" t="n">
        <v>858.48</v>
      </c>
      <c r="D117" s="10" t="s">
        <v>12</v>
      </c>
      <c r="E117" s="12" t="n">
        <v>8</v>
      </c>
      <c r="F117" s="12" t="n">
        <v>8</v>
      </c>
      <c r="G117" s="12" t="n">
        <v>0</v>
      </c>
      <c r="H117" s="9" t="n">
        <v>3</v>
      </c>
      <c r="I117" s="9" t="n">
        <v>35</v>
      </c>
      <c r="J117" s="9" t="n">
        <v>1</v>
      </c>
      <c r="K117" s="13" t="s">
        <v>13</v>
      </c>
    </row>
    <row r="118" customFormat="false" ht="15.75" hidden="false" customHeight="false" outlineLevel="0" collapsed="false">
      <c r="A118" s="9" t="n">
        <v>48</v>
      </c>
      <c r="B118" s="10" t="s">
        <v>11</v>
      </c>
      <c r="C118" s="11" t="n">
        <v>1828.358</v>
      </c>
      <c r="D118" s="10" t="s">
        <v>12</v>
      </c>
      <c r="E118" s="12" t="n">
        <v>8</v>
      </c>
      <c r="F118" s="12" t="n">
        <v>8</v>
      </c>
      <c r="G118" s="12" t="n">
        <v>0</v>
      </c>
      <c r="H118" s="9" t="n">
        <v>4</v>
      </c>
      <c r="I118" s="9" t="n">
        <v>47</v>
      </c>
      <c r="J118" s="9" t="n">
        <v>1</v>
      </c>
      <c r="K118" s="13" t="s">
        <v>13</v>
      </c>
    </row>
    <row r="119" customFormat="false" ht="15.75" hidden="false" customHeight="false" outlineLevel="0" collapsed="false">
      <c r="A119" s="9" t="n">
        <v>42</v>
      </c>
      <c r="B119" s="10" t="s">
        <v>14</v>
      </c>
      <c r="C119" s="11" t="n">
        <v>3665.914</v>
      </c>
      <c r="D119" s="10" t="s">
        <v>17</v>
      </c>
      <c r="E119" s="12" t="n">
        <v>5.5</v>
      </c>
      <c r="F119" s="12" t="n">
        <v>5.5</v>
      </c>
      <c r="G119" s="12" t="n">
        <v>0</v>
      </c>
      <c r="H119" s="9" t="n">
        <v>4</v>
      </c>
      <c r="I119" s="9" t="n">
        <v>30</v>
      </c>
      <c r="J119" s="9" t="n">
        <v>1</v>
      </c>
      <c r="K119" s="13" t="s">
        <v>16</v>
      </c>
    </row>
    <row r="120" customFormat="false" ht="15.75" hidden="false" customHeight="false" outlineLevel="0" collapsed="false">
      <c r="A120" s="9" t="n">
        <v>10</v>
      </c>
      <c r="B120" s="10" t="s">
        <v>11</v>
      </c>
      <c r="C120" s="11" t="n">
        <v>1089.452</v>
      </c>
      <c r="D120" s="10" t="s">
        <v>20</v>
      </c>
      <c r="E120" s="12" t="n">
        <v>0.5</v>
      </c>
      <c r="F120" s="12" t="n">
        <v>0.5</v>
      </c>
      <c r="G120" s="12" t="n">
        <v>0</v>
      </c>
      <c r="H120" s="9" t="n">
        <v>2</v>
      </c>
      <c r="I120" s="9" t="n">
        <v>27</v>
      </c>
      <c r="J120" s="9" t="n">
        <v>2</v>
      </c>
      <c r="K120" s="13" t="s">
        <v>13</v>
      </c>
    </row>
    <row r="121" customFormat="false" ht="15.75" hidden="false" customHeight="false" outlineLevel="0" collapsed="false">
      <c r="A121" s="9" t="n">
        <v>33</v>
      </c>
      <c r="B121" s="10" t="s">
        <v>11</v>
      </c>
      <c r="C121" s="11" t="n">
        <v>2187.591</v>
      </c>
      <c r="D121" s="10" t="s">
        <v>15</v>
      </c>
      <c r="E121" s="12" t="n">
        <v>2.5</v>
      </c>
      <c r="F121" s="12" t="n">
        <v>2.5</v>
      </c>
      <c r="G121" s="12" t="n">
        <v>0</v>
      </c>
      <c r="H121" s="9" t="n">
        <v>1</v>
      </c>
      <c r="I121" s="9" t="n">
        <v>23</v>
      </c>
      <c r="J121" s="9" t="n">
        <v>2</v>
      </c>
      <c r="K121" s="13" t="s">
        <v>16</v>
      </c>
    </row>
    <row r="122" customFormat="false" ht="15.75" hidden="false" customHeight="false" outlineLevel="0" collapsed="false">
      <c r="A122" s="9" t="n">
        <v>12</v>
      </c>
      <c r="B122" s="10" t="s">
        <v>11</v>
      </c>
      <c r="C122" s="11" t="n">
        <v>1209.026</v>
      </c>
      <c r="D122" s="10" t="s">
        <v>17</v>
      </c>
      <c r="E122" s="12" t="n">
        <v>5.5</v>
      </c>
      <c r="F122" s="12" t="n">
        <v>5.5</v>
      </c>
      <c r="G122" s="12" t="n">
        <v>0</v>
      </c>
      <c r="H122" s="9" t="n">
        <v>3</v>
      </c>
      <c r="I122" s="9" t="n">
        <v>36</v>
      </c>
      <c r="J122" s="9" t="n">
        <v>1</v>
      </c>
      <c r="K122" s="13" t="s">
        <v>13</v>
      </c>
    </row>
    <row r="123" customFormat="false" ht="15.75" hidden="false" customHeight="false" outlineLevel="0" collapsed="false">
      <c r="A123" s="9" t="n">
        <v>21</v>
      </c>
      <c r="B123" s="10" t="s">
        <v>14</v>
      </c>
      <c r="C123" s="11" t="n">
        <v>937.685</v>
      </c>
      <c r="D123" s="10" t="s">
        <v>15</v>
      </c>
      <c r="E123" s="12" t="n">
        <v>2.5</v>
      </c>
      <c r="F123" s="12" t="n">
        <v>2.5</v>
      </c>
      <c r="G123" s="12" t="n">
        <v>0</v>
      </c>
      <c r="H123" s="9" t="n">
        <v>3</v>
      </c>
      <c r="I123" s="9" t="n">
        <v>25</v>
      </c>
      <c r="J123" s="9" t="n">
        <v>2</v>
      </c>
      <c r="K123" s="13" t="s">
        <v>16</v>
      </c>
    </row>
    <row r="124" customFormat="false" ht="15.75" hidden="false" customHeight="false" outlineLevel="0" collapsed="false">
      <c r="A124" s="9" t="n">
        <v>24</v>
      </c>
      <c r="B124" s="10" t="s">
        <v>11</v>
      </c>
      <c r="C124" s="11" t="n">
        <v>1976.548</v>
      </c>
      <c r="D124" s="10" t="s">
        <v>12</v>
      </c>
      <c r="E124" s="12" t="n">
        <v>8</v>
      </c>
      <c r="F124" s="12" t="n">
        <v>8</v>
      </c>
      <c r="G124" s="12" t="n">
        <v>0</v>
      </c>
      <c r="H124" s="9" t="n">
        <v>4</v>
      </c>
      <c r="I124" s="9" t="n">
        <v>41</v>
      </c>
      <c r="J124" s="9" t="n">
        <v>2</v>
      </c>
      <c r="K124" s="13" t="s">
        <v>13</v>
      </c>
    </row>
    <row r="125" customFormat="false" ht="15.75" hidden="false" customHeight="false" outlineLevel="0" collapsed="false">
      <c r="A125" s="9" t="n">
        <v>12</v>
      </c>
      <c r="B125" s="10" t="s">
        <v>14</v>
      </c>
      <c r="C125" s="11" t="n">
        <v>903.448</v>
      </c>
      <c r="D125" s="10" t="s">
        <v>15</v>
      </c>
      <c r="E125" s="12" t="n">
        <v>2.5</v>
      </c>
      <c r="F125" s="12" t="n">
        <v>2.5</v>
      </c>
      <c r="G125" s="12" t="n">
        <v>0</v>
      </c>
      <c r="H125" s="9" t="n">
        <v>3</v>
      </c>
      <c r="I125" s="9" t="n">
        <v>24</v>
      </c>
      <c r="J125" s="9" t="n">
        <v>1</v>
      </c>
      <c r="K125" s="13" t="s">
        <v>13</v>
      </c>
    </row>
    <row r="126" customFormat="false" ht="15.75" hidden="false" customHeight="false" outlineLevel="0" collapsed="false">
      <c r="A126" s="9" t="n">
        <v>10</v>
      </c>
      <c r="B126" s="10" t="s">
        <v>11</v>
      </c>
      <c r="C126" s="11" t="n">
        <v>399.091</v>
      </c>
      <c r="D126" s="10" t="s">
        <v>12</v>
      </c>
      <c r="E126" s="12" t="n">
        <v>8</v>
      </c>
      <c r="F126" s="12" t="n">
        <v>8</v>
      </c>
      <c r="G126" s="12" t="n">
        <v>0</v>
      </c>
      <c r="H126" s="9" t="n">
        <v>4</v>
      </c>
      <c r="I126" s="9" t="n">
        <v>63</v>
      </c>
      <c r="J126" s="9" t="n">
        <v>2</v>
      </c>
      <c r="K126" s="13" t="s">
        <v>13</v>
      </c>
    </row>
    <row r="127" customFormat="false" ht="15.75" hidden="false" customHeight="false" outlineLevel="0" collapsed="false">
      <c r="A127" s="9" t="n">
        <v>18</v>
      </c>
      <c r="B127" s="10" t="s">
        <v>14</v>
      </c>
      <c r="C127" s="11" t="n">
        <v>983.164</v>
      </c>
      <c r="D127" s="10" t="s">
        <v>20</v>
      </c>
      <c r="E127" s="12" t="n">
        <v>0.5</v>
      </c>
      <c r="F127" s="12" t="n">
        <v>0.5</v>
      </c>
      <c r="G127" s="12" t="n">
        <v>0</v>
      </c>
      <c r="H127" s="9" t="n">
        <v>4</v>
      </c>
      <c r="I127" s="9" t="n">
        <v>27</v>
      </c>
      <c r="J127" s="9" t="n">
        <v>1</v>
      </c>
      <c r="K127" s="13" t="s">
        <v>16</v>
      </c>
    </row>
    <row r="128" customFormat="false" ht="15.75" hidden="false" customHeight="false" outlineLevel="0" collapsed="false">
      <c r="A128" s="9" t="n">
        <v>12</v>
      </c>
      <c r="B128" s="10" t="s">
        <v>11</v>
      </c>
      <c r="C128" s="11" t="n">
        <v>1083.831</v>
      </c>
      <c r="D128" s="10" t="s">
        <v>15</v>
      </c>
      <c r="E128" s="12" t="n">
        <v>2.5</v>
      </c>
      <c r="F128" s="12" t="n">
        <v>2.5</v>
      </c>
      <c r="G128" s="12" t="n">
        <v>0</v>
      </c>
      <c r="H128" s="9" t="n">
        <v>4</v>
      </c>
      <c r="I128" s="9" t="n">
        <v>30</v>
      </c>
      <c r="J128" s="9" t="n">
        <v>2</v>
      </c>
      <c r="K128" s="13" t="s">
        <v>13</v>
      </c>
    </row>
    <row r="129" customFormat="false" ht="15.75" hidden="false" customHeight="false" outlineLevel="0" collapsed="false">
      <c r="A129" s="9" t="n">
        <v>12</v>
      </c>
      <c r="B129" s="10" t="s">
        <v>14</v>
      </c>
      <c r="C129" s="11" t="n">
        <v>358.211</v>
      </c>
      <c r="D129" s="10" t="s">
        <v>15</v>
      </c>
      <c r="E129" s="12" t="n">
        <v>2.5</v>
      </c>
      <c r="F129" s="12" t="n">
        <v>2.5</v>
      </c>
      <c r="G129" s="12" t="n">
        <v>0</v>
      </c>
      <c r="H129" s="9" t="n">
        <v>4</v>
      </c>
      <c r="I129" s="9" t="n">
        <v>40</v>
      </c>
      <c r="J129" s="9" t="n">
        <v>1</v>
      </c>
      <c r="K129" s="13" t="s">
        <v>13</v>
      </c>
    </row>
    <row r="130" customFormat="false" ht="15.75" hidden="false" customHeight="false" outlineLevel="0" collapsed="false">
      <c r="A130" s="9" t="n">
        <v>12</v>
      </c>
      <c r="B130" s="10" t="s">
        <v>14</v>
      </c>
      <c r="C130" s="11" t="n">
        <v>326.529</v>
      </c>
      <c r="D130" s="10" t="s">
        <v>15</v>
      </c>
      <c r="E130" s="12" t="n">
        <v>2.5</v>
      </c>
      <c r="F130" s="12" t="n">
        <v>2.5</v>
      </c>
      <c r="G130" s="12" t="n">
        <v>0</v>
      </c>
      <c r="H130" s="9" t="n">
        <v>4</v>
      </c>
      <c r="I130" s="9" t="n">
        <v>30</v>
      </c>
      <c r="J130" s="9" t="n">
        <v>1</v>
      </c>
      <c r="K130" s="13" t="s">
        <v>16</v>
      </c>
    </row>
    <row r="131" customFormat="false" ht="15.75" hidden="false" customHeight="false" outlineLevel="0" collapsed="false">
      <c r="A131" s="9" t="n">
        <v>12</v>
      </c>
      <c r="B131" s="10" t="s">
        <v>11</v>
      </c>
      <c r="C131" s="11" t="n">
        <v>950.46</v>
      </c>
      <c r="D131" s="10" t="s">
        <v>19</v>
      </c>
      <c r="E131" s="12" t="n">
        <v>0</v>
      </c>
      <c r="F131" s="12" t="n">
        <v>0</v>
      </c>
      <c r="G131" s="12" t="n">
        <v>0</v>
      </c>
      <c r="H131" s="9" t="n">
        <v>4</v>
      </c>
      <c r="I131" s="9" t="n">
        <v>34</v>
      </c>
      <c r="J131" s="9" t="n">
        <v>2</v>
      </c>
      <c r="K131" s="13" t="s">
        <v>13</v>
      </c>
    </row>
    <row r="132" customFormat="false" ht="15.75" hidden="false" customHeight="false" outlineLevel="0" collapsed="false">
      <c r="A132" s="9" t="n">
        <v>12</v>
      </c>
      <c r="B132" s="10" t="s">
        <v>11</v>
      </c>
      <c r="C132" s="11" t="n">
        <v>1787.989</v>
      </c>
      <c r="D132" s="10" t="s">
        <v>15</v>
      </c>
      <c r="E132" s="12" t="n">
        <v>2.5</v>
      </c>
      <c r="F132" s="12" t="n">
        <v>2.5</v>
      </c>
      <c r="G132" s="12" t="n">
        <v>0</v>
      </c>
      <c r="H132" s="9" t="n">
        <v>3</v>
      </c>
      <c r="I132" s="9" t="n">
        <v>29</v>
      </c>
      <c r="J132" s="9" t="n">
        <v>2</v>
      </c>
      <c r="K132" s="13" t="s">
        <v>16</v>
      </c>
    </row>
    <row r="133" customFormat="false" ht="15.75" hidden="false" customHeight="false" outlineLevel="0" collapsed="false">
      <c r="A133" s="9" t="n">
        <v>48</v>
      </c>
      <c r="B133" s="10" t="s">
        <v>14</v>
      </c>
      <c r="C133" s="11" t="n">
        <v>4336.857</v>
      </c>
      <c r="D133" s="10" t="s">
        <v>17</v>
      </c>
      <c r="E133" s="12" t="n">
        <v>5.5</v>
      </c>
      <c r="F133" s="12" t="n">
        <v>5.5</v>
      </c>
      <c r="G133" s="12" t="n">
        <v>0</v>
      </c>
      <c r="H133" s="9" t="n">
        <v>1</v>
      </c>
      <c r="I133" s="9" t="n">
        <v>24</v>
      </c>
      <c r="J133" s="9" t="n">
        <v>1</v>
      </c>
      <c r="K133" s="13" t="s">
        <v>13</v>
      </c>
    </row>
    <row r="134" customFormat="false" ht="15.75" hidden="false" customHeight="false" outlineLevel="0" collapsed="false">
      <c r="A134" s="9" t="n">
        <v>36</v>
      </c>
      <c r="B134" s="10" t="s">
        <v>18</v>
      </c>
      <c r="C134" s="11" t="n">
        <v>3519.257</v>
      </c>
      <c r="D134" s="10" t="s">
        <v>15</v>
      </c>
      <c r="E134" s="12" t="n">
        <v>2.5</v>
      </c>
      <c r="F134" s="12" t="n">
        <v>2.5</v>
      </c>
      <c r="G134" s="12" t="n">
        <v>0</v>
      </c>
      <c r="H134" s="9" t="n">
        <v>4</v>
      </c>
      <c r="I134" s="9" t="n">
        <v>29</v>
      </c>
      <c r="J134" s="9" t="n">
        <v>1</v>
      </c>
      <c r="K134" s="13" t="s">
        <v>16</v>
      </c>
    </row>
    <row r="135" customFormat="false" ht="15.75" hidden="false" customHeight="false" outlineLevel="0" collapsed="false">
      <c r="A135" s="9" t="n">
        <v>15</v>
      </c>
      <c r="B135" s="10" t="s">
        <v>14</v>
      </c>
      <c r="C135" s="11" t="n">
        <v>1383.788</v>
      </c>
      <c r="D135" s="10" t="s">
        <v>20</v>
      </c>
      <c r="E135" s="12" t="n">
        <v>0.5</v>
      </c>
      <c r="F135" s="12" t="n">
        <v>0.5</v>
      </c>
      <c r="G135" s="12" t="n">
        <v>0</v>
      </c>
      <c r="H135" s="9" t="n">
        <v>2</v>
      </c>
      <c r="I135" s="9" t="n">
        <v>27</v>
      </c>
      <c r="J135" s="9" t="n">
        <v>2</v>
      </c>
      <c r="K135" s="13" t="s">
        <v>13</v>
      </c>
    </row>
    <row r="136" customFormat="false" ht="15.75" hidden="false" customHeight="false" outlineLevel="0" collapsed="false">
      <c r="A136" s="9" t="n">
        <v>18</v>
      </c>
      <c r="B136" s="10" t="s">
        <v>14</v>
      </c>
      <c r="C136" s="11" t="n">
        <v>1013.824</v>
      </c>
      <c r="D136" s="10" t="s">
        <v>15</v>
      </c>
      <c r="E136" s="12" t="n">
        <v>2.5</v>
      </c>
      <c r="F136" s="12" t="n">
        <v>2.5</v>
      </c>
      <c r="G136" s="12" t="n">
        <v>0</v>
      </c>
      <c r="H136" s="9" t="n">
        <v>4</v>
      </c>
      <c r="I136" s="9" t="n">
        <v>47</v>
      </c>
      <c r="J136" s="9" t="n">
        <v>2</v>
      </c>
      <c r="K136" s="13" t="s">
        <v>13</v>
      </c>
    </row>
    <row r="137" customFormat="false" ht="15.75" hidden="false" customHeight="false" outlineLevel="0" collapsed="false">
      <c r="A137" s="9" t="n">
        <v>60</v>
      </c>
      <c r="B137" s="10" t="s">
        <v>14</v>
      </c>
      <c r="C137" s="11" t="n">
        <v>5183.584</v>
      </c>
      <c r="D137" s="10" t="s">
        <v>17</v>
      </c>
      <c r="E137" s="12" t="n">
        <v>5.5</v>
      </c>
      <c r="F137" s="12" t="n">
        <v>3</v>
      </c>
      <c r="G137" s="12" t="n">
        <v>1</v>
      </c>
      <c r="H137" s="9" t="n">
        <v>2</v>
      </c>
      <c r="I137" s="9" t="n">
        <v>21</v>
      </c>
      <c r="J137" s="9" t="n">
        <v>1</v>
      </c>
      <c r="K137" s="13" t="s">
        <v>13</v>
      </c>
    </row>
    <row r="138" customFormat="false" ht="15.75" hidden="false" customHeight="false" outlineLevel="0" collapsed="false">
      <c r="A138" s="9" t="n">
        <v>12</v>
      </c>
      <c r="B138" s="10" t="s">
        <v>11</v>
      </c>
      <c r="C138" s="11" t="n">
        <v>633.64</v>
      </c>
      <c r="D138" s="10" t="s">
        <v>12</v>
      </c>
      <c r="E138" s="12" t="n">
        <v>8</v>
      </c>
      <c r="F138" s="12" t="n">
        <v>8</v>
      </c>
      <c r="G138" s="12" t="n">
        <v>0</v>
      </c>
      <c r="H138" s="9" t="n">
        <v>4</v>
      </c>
      <c r="I138" s="9" t="n">
        <v>38</v>
      </c>
      <c r="J138" s="9" t="n">
        <v>2</v>
      </c>
      <c r="K138" s="13" t="s">
        <v>13</v>
      </c>
    </row>
    <row r="139" customFormat="false" ht="15.75" hidden="false" customHeight="false" outlineLevel="0" collapsed="false">
      <c r="A139" s="9" t="n">
        <v>27</v>
      </c>
      <c r="B139" s="10" t="s">
        <v>18</v>
      </c>
      <c r="C139" s="11" t="n">
        <v>4401.243</v>
      </c>
      <c r="D139" s="10" t="s">
        <v>15</v>
      </c>
      <c r="E139" s="12" t="n">
        <v>2.5</v>
      </c>
      <c r="F139" s="12" t="n">
        <v>2.5</v>
      </c>
      <c r="G139" s="12" t="n">
        <v>0</v>
      </c>
      <c r="H139" s="9" t="n">
        <v>2</v>
      </c>
      <c r="I139" s="9" t="n">
        <v>27</v>
      </c>
      <c r="J139" s="9" t="n">
        <v>2</v>
      </c>
      <c r="K139" s="13" t="s">
        <v>13</v>
      </c>
    </row>
    <row r="140" customFormat="false" ht="15.75" hidden="false" customHeight="false" outlineLevel="0" collapsed="false">
      <c r="A140" s="9" t="n">
        <v>12</v>
      </c>
      <c r="B140" s="10" t="s">
        <v>14</v>
      </c>
      <c r="C140" s="11" t="n">
        <v>391.426</v>
      </c>
      <c r="D140" s="10" t="s">
        <v>15</v>
      </c>
      <c r="E140" s="12" t="n">
        <v>2.5</v>
      </c>
      <c r="F140" s="12" t="n">
        <v>2.5</v>
      </c>
      <c r="G140" s="12" t="n">
        <v>0</v>
      </c>
      <c r="H140" s="9" t="n">
        <v>4</v>
      </c>
      <c r="I140" s="9" t="n">
        <v>66</v>
      </c>
      <c r="J140" s="9" t="n">
        <v>1</v>
      </c>
      <c r="K140" s="13" t="s">
        <v>16</v>
      </c>
    </row>
    <row r="141" customFormat="false" ht="15.75" hidden="false" customHeight="false" outlineLevel="0" collapsed="false">
      <c r="A141" s="9" t="n">
        <v>15</v>
      </c>
      <c r="B141" s="10" t="s">
        <v>11</v>
      </c>
      <c r="C141" s="11" t="n">
        <v>1394.008</v>
      </c>
      <c r="D141" s="10" t="s">
        <v>17</v>
      </c>
      <c r="E141" s="12" t="n">
        <v>5.5</v>
      </c>
      <c r="F141" s="12" t="n">
        <v>5.5</v>
      </c>
      <c r="G141" s="12" t="n">
        <v>0</v>
      </c>
      <c r="H141" s="9" t="n">
        <v>4</v>
      </c>
      <c r="I141" s="9" t="n">
        <v>35</v>
      </c>
      <c r="J141" s="9" t="n">
        <v>3</v>
      </c>
      <c r="K141" s="13" t="s">
        <v>13</v>
      </c>
    </row>
    <row r="142" customFormat="false" ht="15.75" hidden="false" customHeight="false" outlineLevel="0" collapsed="false">
      <c r="A142" s="9" t="n">
        <v>12</v>
      </c>
      <c r="B142" s="10" t="s">
        <v>14</v>
      </c>
      <c r="C142" s="11" t="n">
        <v>961.191</v>
      </c>
      <c r="D142" s="10" t="s">
        <v>15</v>
      </c>
      <c r="E142" s="12" t="n">
        <v>2.5</v>
      </c>
      <c r="F142" s="12" t="n">
        <v>2.5</v>
      </c>
      <c r="G142" s="12" t="n">
        <v>0</v>
      </c>
      <c r="H142" s="9" t="n">
        <v>2</v>
      </c>
      <c r="I142" s="9" t="n">
        <v>44</v>
      </c>
      <c r="J142" s="9" t="n">
        <v>1</v>
      </c>
      <c r="K142" s="13" t="s">
        <v>13</v>
      </c>
    </row>
    <row r="143" customFormat="false" ht="15.75" hidden="false" customHeight="false" outlineLevel="0" collapsed="false">
      <c r="A143" s="9" t="n">
        <v>6</v>
      </c>
      <c r="B143" s="10" t="s">
        <v>14</v>
      </c>
      <c r="C143" s="11" t="n">
        <v>362.299</v>
      </c>
      <c r="D143" s="10" t="s">
        <v>20</v>
      </c>
      <c r="E143" s="12" t="n">
        <v>0.5</v>
      </c>
      <c r="F143" s="12" t="n">
        <v>0.5</v>
      </c>
      <c r="G143" s="12" t="n">
        <v>0</v>
      </c>
      <c r="H143" s="9" t="n">
        <v>2</v>
      </c>
      <c r="I143" s="9" t="n">
        <v>27</v>
      </c>
      <c r="J143" s="9" t="n">
        <v>1</v>
      </c>
      <c r="K143" s="13" t="s">
        <v>13</v>
      </c>
    </row>
    <row r="144" customFormat="false" ht="15.75" hidden="false" customHeight="false" outlineLevel="0" collapsed="false">
      <c r="A144" s="9" t="n">
        <v>36</v>
      </c>
      <c r="B144" s="10" t="s">
        <v>14</v>
      </c>
      <c r="C144" s="11" t="n">
        <v>2450.245</v>
      </c>
      <c r="D144" s="10" t="s">
        <v>20</v>
      </c>
      <c r="E144" s="12" t="n">
        <v>0.5</v>
      </c>
      <c r="F144" s="12" t="n">
        <v>0.5</v>
      </c>
      <c r="G144" s="12" t="n">
        <v>0</v>
      </c>
      <c r="H144" s="9" t="n">
        <v>4</v>
      </c>
      <c r="I144" s="9" t="n">
        <v>30</v>
      </c>
      <c r="J144" s="9" t="n">
        <v>1</v>
      </c>
      <c r="K144" s="13" t="s">
        <v>13</v>
      </c>
    </row>
    <row r="145" customFormat="false" ht="15.75" hidden="false" customHeight="false" outlineLevel="0" collapsed="false">
      <c r="A145" s="9" t="n">
        <v>27</v>
      </c>
      <c r="B145" s="10" t="s">
        <v>14</v>
      </c>
      <c r="C145" s="11" t="n">
        <v>1745.576</v>
      </c>
      <c r="D145" s="10" t="s">
        <v>15</v>
      </c>
      <c r="E145" s="12" t="n">
        <v>2.5</v>
      </c>
      <c r="F145" s="12" t="n">
        <v>2.5</v>
      </c>
      <c r="G145" s="12" t="n">
        <v>0</v>
      </c>
      <c r="H145" s="9" t="n">
        <v>3</v>
      </c>
      <c r="I145" s="9" t="n">
        <v>27</v>
      </c>
      <c r="J145" s="9" t="n">
        <v>1</v>
      </c>
      <c r="K145" s="13" t="s">
        <v>13</v>
      </c>
    </row>
    <row r="146" customFormat="false" ht="15.75" hidden="false" customHeight="false" outlineLevel="0" collapsed="false">
      <c r="A146" s="9" t="n">
        <v>18</v>
      </c>
      <c r="B146" s="10" t="s">
        <v>14</v>
      </c>
      <c r="C146" s="11" t="n">
        <v>1258.082</v>
      </c>
      <c r="D146" s="10" t="s">
        <v>15</v>
      </c>
      <c r="E146" s="12" t="n">
        <v>2.5</v>
      </c>
      <c r="F146" s="12" t="n">
        <v>2.5</v>
      </c>
      <c r="G146" s="12" t="n">
        <v>0</v>
      </c>
      <c r="H146" s="9" t="n">
        <v>2</v>
      </c>
      <c r="I146" s="9" t="n">
        <v>22</v>
      </c>
      <c r="J146" s="9" t="n">
        <v>1</v>
      </c>
      <c r="K146" s="13" t="s">
        <v>16</v>
      </c>
    </row>
    <row r="147" customFormat="false" ht="15.75" hidden="false" customHeight="false" outlineLevel="0" collapsed="false">
      <c r="A147" s="9" t="n">
        <v>21</v>
      </c>
      <c r="B147" s="10" t="s">
        <v>11</v>
      </c>
      <c r="C147" s="11" t="n">
        <v>1169.168</v>
      </c>
      <c r="D147" s="10" t="s">
        <v>20</v>
      </c>
      <c r="E147" s="12" t="n">
        <v>0.5</v>
      </c>
      <c r="F147" s="12" t="n">
        <v>0.5</v>
      </c>
      <c r="G147" s="12" t="n">
        <v>0</v>
      </c>
      <c r="H147" s="9" t="n">
        <v>4</v>
      </c>
      <c r="I147" s="9" t="n">
        <v>23</v>
      </c>
      <c r="J147" s="9" t="n">
        <v>1</v>
      </c>
      <c r="K147" s="13" t="s">
        <v>13</v>
      </c>
    </row>
    <row r="148" customFormat="false" ht="15.75" hidden="false" customHeight="false" outlineLevel="0" collapsed="false">
      <c r="A148" s="9" t="n">
        <v>48</v>
      </c>
      <c r="B148" s="10" t="s">
        <v>22</v>
      </c>
      <c r="C148" s="11" t="n">
        <v>1822.226</v>
      </c>
      <c r="D148" s="10" t="s">
        <v>17</v>
      </c>
      <c r="E148" s="12" t="n">
        <v>5.5</v>
      </c>
      <c r="F148" s="12" t="n">
        <v>5.5</v>
      </c>
      <c r="G148" s="12" t="n">
        <v>0</v>
      </c>
      <c r="H148" s="9" t="n">
        <v>4</v>
      </c>
      <c r="I148" s="9" t="n">
        <v>30</v>
      </c>
      <c r="J148" s="9" t="n">
        <v>1</v>
      </c>
      <c r="K148" s="13" t="s">
        <v>13</v>
      </c>
    </row>
    <row r="149" customFormat="false" ht="15.75" hidden="false" customHeight="false" outlineLevel="0" collapsed="false">
      <c r="A149" s="9" t="n">
        <v>6</v>
      </c>
      <c r="B149" s="10" t="s">
        <v>11</v>
      </c>
      <c r="C149" s="11" t="n">
        <v>439.46</v>
      </c>
      <c r="D149" s="10" t="s">
        <v>12</v>
      </c>
      <c r="E149" s="12" t="n">
        <v>8</v>
      </c>
      <c r="F149" s="12" t="n">
        <v>8</v>
      </c>
      <c r="G149" s="12" t="n">
        <v>0</v>
      </c>
      <c r="H149" s="9" t="n">
        <v>1</v>
      </c>
      <c r="I149" s="9" t="n">
        <v>39</v>
      </c>
      <c r="J149" s="9" t="n">
        <v>2</v>
      </c>
      <c r="K149" s="13" t="s">
        <v>13</v>
      </c>
    </row>
    <row r="150" customFormat="false" ht="15.75" hidden="false" customHeight="false" outlineLevel="0" collapsed="false">
      <c r="A150" s="9" t="n">
        <v>12</v>
      </c>
      <c r="B150" s="10" t="s">
        <v>11</v>
      </c>
      <c r="C150" s="11" t="n">
        <v>348.502</v>
      </c>
      <c r="D150" s="10" t="s">
        <v>17</v>
      </c>
      <c r="E150" s="12" t="n">
        <v>5.5</v>
      </c>
      <c r="F150" s="12" t="n">
        <v>5.5</v>
      </c>
      <c r="G150" s="12" t="n">
        <v>0</v>
      </c>
      <c r="H150" s="9" t="n">
        <v>4</v>
      </c>
      <c r="I150" s="9" t="n">
        <v>51</v>
      </c>
      <c r="J150" s="9" t="n">
        <v>2</v>
      </c>
      <c r="K150" s="13" t="s">
        <v>13</v>
      </c>
    </row>
    <row r="151" customFormat="false" ht="15.75" hidden="false" customHeight="false" outlineLevel="0" collapsed="false">
      <c r="A151" s="9" t="n">
        <v>36</v>
      </c>
      <c r="B151" s="10" t="s">
        <v>11</v>
      </c>
      <c r="C151" s="11" t="n">
        <v>2744.581</v>
      </c>
      <c r="D151" s="10" t="s">
        <v>15</v>
      </c>
      <c r="E151" s="12" t="n">
        <v>2.5</v>
      </c>
      <c r="F151" s="12" t="n">
        <v>2.5</v>
      </c>
      <c r="G151" s="12" t="n">
        <v>0</v>
      </c>
      <c r="H151" s="9" t="n">
        <v>3</v>
      </c>
      <c r="I151" s="9" t="n">
        <v>28</v>
      </c>
      <c r="J151" s="9" t="n">
        <v>2</v>
      </c>
      <c r="K151" s="13" t="s">
        <v>13</v>
      </c>
    </row>
    <row r="152" customFormat="false" ht="15.75" hidden="false" customHeight="false" outlineLevel="0" collapsed="false">
      <c r="A152" s="9" t="n">
        <v>18</v>
      </c>
      <c r="B152" s="10" t="s">
        <v>11</v>
      </c>
      <c r="C152" s="11" t="n">
        <v>808.402</v>
      </c>
      <c r="D152" s="10" t="s">
        <v>12</v>
      </c>
      <c r="E152" s="12" t="n">
        <v>8</v>
      </c>
      <c r="F152" s="12" t="n">
        <v>8</v>
      </c>
      <c r="G152" s="12" t="n">
        <v>0</v>
      </c>
      <c r="H152" s="9" t="n">
        <v>4</v>
      </c>
      <c r="I152" s="9" t="n">
        <v>46</v>
      </c>
      <c r="J152" s="9" t="n">
        <v>2</v>
      </c>
      <c r="K152" s="13" t="s">
        <v>13</v>
      </c>
    </row>
    <row r="153" customFormat="false" ht="15.75" hidden="false" customHeight="false" outlineLevel="0" collapsed="false">
      <c r="A153" s="9" t="n">
        <v>6</v>
      </c>
      <c r="B153" s="10" t="s">
        <v>14</v>
      </c>
      <c r="C153" s="11" t="n">
        <v>687.806</v>
      </c>
      <c r="D153" s="10" t="s">
        <v>12</v>
      </c>
      <c r="E153" s="12" t="n">
        <v>8</v>
      </c>
      <c r="F153" s="12" t="n">
        <v>8</v>
      </c>
      <c r="G153" s="12" t="n">
        <v>0</v>
      </c>
      <c r="H153" s="9" t="n">
        <v>2</v>
      </c>
      <c r="I153" s="9" t="n">
        <v>42</v>
      </c>
      <c r="J153" s="9" t="n">
        <v>1</v>
      </c>
      <c r="K153" s="13" t="s">
        <v>13</v>
      </c>
    </row>
    <row r="154" customFormat="false" ht="15.75" hidden="false" customHeight="false" outlineLevel="0" collapsed="false">
      <c r="A154" s="9" t="n">
        <v>10</v>
      </c>
      <c r="B154" s="10" t="s">
        <v>14</v>
      </c>
      <c r="C154" s="11" t="n">
        <v>983.164</v>
      </c>
      <c r="D154" s="10" t="s">
        <v>15</v>
      </c>
      <c r="E154" s="12" t="n">
        <v>2.5</v>
      </c>
      <c r="F154" s="12" t="n">
        <v>2.5</v>
      </c>
      <c r="G154" s="12" t="n">
        <v>0</v>
      </c>
      <c r="H154" s="9" t="n">
        <v>1</v>
      </c>
      <c r="I154" s="9" t="n">
        <v>38</v>
      </c>
      <c r="J154" s="9" t="n">
        <v>1</v>
      </c>
      <c r="K154" s="13" t="s">
        <v>13</v>
      </c>
    </row>
    <row r="155" customFormat="false" ht="15.75" hidden="false" customHeight="false" outlineLevel="0" collapsed="false">
      <c r="A155" s="9" t="n">
        <v>36</v>
      </c>
      <c r="B155" s="10" t="s">
        <v>14</v>
      </c>
      <c r="C155" s="11" t="n">
        <v>2988.328</v>
      </c>
      <c r="D155" s="10" t="s">
        <v>15</v>
      </c>
      <c r="E155" s="12" t="n">
        <v>2.5</v>
      </c>
      <c r="F155" s="12" t="n">
        <v>2.5</v>
      </c>
      <c r="G155" s="12" t="n">
        <v>0</v>
      </c>
      <c r="H155" s="9" t="n">
        <v>4</v>
      </c>
      <c r="I155" s="9" t="n">
        <v>24</v>
      </c>
      <c r="J155" s="9" t="n">
        <v>1</v>
      </c>
      <c r="K155" s="13" t="s">
        <v>13</v>
      </c>
    </row>
    <row r="156" customFormat="false" ht="15.75" hidden="false" customHeight="false" outlineLevel="0" collapsed="false">
      <c r="A156" s="9" t="n">
        <v>24</v>
      </c>
      <c r="B156" s="10" t="s">
        <v>11</v>
      </c>
      <c r="C156" s="11" t="n">
        <v>3964.338</v>
      </c>
      <c r="D156" s="10" t="s">
        <v>12</v>
      </c>
      <c r="E156" s="12" t="n">
        <v>8</v>
      </c>
      <c r="F156" s="12" t="n">
        <v>8</v>
      </c>
      <c r="G156" s="12" t="n">
        <v>0</v>
      </c>
      <c r="H156" s="9" t="n">
        <v>2</v>
      </c>
      <c r="I156" s="9" t="n">
        <v>29</v>
      </c>
      <c r="J156" s="9" t="n">
        <v>1</v>
      </c>
      <c r="K156" s="13" t="s">
        <v>13</v>
      </c>
    </row>
    <row r="157" customFormat="false" ht="15.75" hidden="false" customHeight="false" outlineLevel="0" collapsed="false">
      <c r="A157" s="9" t="n">
        <v>24</v>
      </c>
      <c r="B157" s="10" t="s">
        <v>18</v>
      </c>
      <c r="C157" s="11" t="n">
        <v>3560.137</v>
      </c>
      <c r="D157" s="10" t="s">
        <v>17</v>
      </c>
      <c r="E157" s="12" t="n">
        <v>5.5</v>
      </c>
      <c r="F157" s="12" t="n">
        <v>5.5</v>
      </c>
      <c r="G157" s="12" t="n">
        <v>0</v>
      </c>
      <c r="H157" s="9" t="n">
        <v>4</v>
      </c>
      <c r="I157" s="9" t="n">
        <v>36</v>
      </c>
      <c r="J157" s="9" t="n">
        <v>1</v>
      </c>
      <c r="K157" s="13" t="s">
        <v>13</v>
      </c>
    </row>
    <row r="158" customFormat="false" ht="15.75" hidden="false" customHeight="false" outlineLevel="0" collapsed="false">
      <c r="A158" s="9" t="n">
        <v>12</v>
      </c>
      <c r="B158" s="10" t="s">
        <v>14</v>
      </c>
      <c r="C158" s="11" t="n">
        <v>655.102</v>
      </c>
      <c r="D158" s="10" t="s">
        <v>15</v>
      </c>
      <c r="E158" s="12" t="n">
        <v>2.5</v>
      </c>
      <c r="F158" s="12" t="n">
        <v>2</v>
      </c>
      <c r="G158" s="12" t="n">
        <v>1</v>
      </c>
      <c r="H158" s="9" t="n">
        <v>2</v>
      </c>
      <c r="I158" s="9" t="n">
        <v>20</v>
      </c>
      <c r="J158" s="9" t="n">
        <v>1</v>
      </c>
      <c r="K158" s="13" t="s">
        <v>16</v>
      </c>
    </row>
    <row r="159" customFormat="false" ht="15.75" hidden="false" customHeight="false" outlineLevel="0" collapsed="false">
      <c r="A159" s="9" t="n">
        <v>9</v>
      </c>
      <c r="B159" s="10" t="s">
        <v>11</v>
      </c>
      <c r="C159" s="11" t="n">
        <v>658.168</v>
      </c>
      <c r="D159" s="10" t="s">
        <v>12</v>
      </c>
      <c r="E159" s="12" t="n">
        <v>8</v>
      </c>
      <c r="F159" s="12" t="n">
        <v>8</v>
      </c>
      <c r="G159" s="12" t="n">
        <v>0</v>
      </c>
      <c r="H159" s="9" t="n">
        <v>3</v>
      </c>
      <c r="I159" s="9" t="n">
        <v>48</v>
      </c>
      <c r="J159" s="9" t="n">
        <v>2</v>
      </c>
      <c r="K159" s="13" t="s">
        <v>13</v>
      </c>
    </row>
    <row r="160" customFormat="false" ht="15.75" hidden="false" customHeight="false" outlineLevel="0" collapsed="false">
      <c r="A160" s="9" t="n">
        <v>12</v>
      </c>
      <c r="B160" s="10" t="s">
        <v>22</v>
      </c>
      <c r="C160" s="11" t="n">
        <v>173.229</v>
      </c>
      <c r="D160" s="10" t="s">
        <v>12</v>
      </c>
      <c r="E160" s="12" t="n">
        <v>8</v>
      </c>
      <c r="F160" s="12" t="n">
        <v>8</v>
      </c>
      <c r="G160" s="12" t="n">
        <v>0</v>
      </c>
      <c r="H160" s="9" t="n">
        <v>4</v>
      </c>
      <c r="I160" s="9" t="n">
        <v>45</v>
      </c>
      <c r="J160" s="9" t="n">
        <v>1</v>
      </c>
      <c r="K160" s="13" t="s">
        <v>13</v>
      </c>
    </row>
    <row r="161" customFormat="false" ht="15.75" hidden="false" customHeight="false" outlineLevel="0" collapsed="false">
      <c r="A161" s="9" t="n">
        <v>24</v>
      </c>
      <c r="B161" s="10" t="s">
        <v>14</v>
      </c>
      <c r="C161" s="11" t="n">
        <v>1794.632</v>
      </c>
      <c r="D161" s="10" t="s">
        <v>17</v>
      </c>
      <c r="E161" s="12" t="n">
        <v>5.5</v>
      </c>
      <c r="F161" s="12" t="n">
        <v>5.5</v>
      </c>
      <c r="G161" s="12" t="n">
        <v>0</v>
      </c>
      <c r="H161" s="9" t="n">
        <v>2</v>
      </c>
      <c r="I161" s="9" t="n">
        <v>38</v>
      </c>
      <c r="J161" s="9" t="n">
        <v>2</v>
      </c>
      <c r="K161" s="13" t="s">
        <v>13</v>
      </c>
    </row>
    <row r="162" customFormat="false" ht="15.75" hidden="false" customHeight="false" outlineLevel="0" collapsed="false">
      <c r="A162" s="9" t="n">
        <v>6</v>
      </c>
      <c r="B162" s="10" t="s">
        <v>11</v>
      </c>
      <c r="C162" s="11" t="n">
        <v>969.878</v>
      </c>
      <c r="D162" s="10" t="s">
        <v>15</v>
      </c>
      <c r="E162" s="12" t="n">
        <v>2.5</v>
      </c>
      <c r="F162" s="12" t="n">
        <v>2.5</v>
      </c>
      <c r="G162" s="12" t="n">
        <v>0</v>
      </c>
      <c r="H162" s="9" t="n">
        <v>1</v>
      </c>
      <c r="I162" s="9" t="n">
        <v>34</v>
      </c>
      <c r="J162" s="9" t="n">
        <v>2</v>
      </c>
      <c r="K162" s="13" t="s">
        <v>13</v>
      </c>
    </row>
    <row r="163" customFormat="false" ht="15.75" hidden="false" customHeight="false" outlineLevel="0" collapsed="false">
      <c r="A163" s="9" t="n">
        <v>24</v>
      </c>
      <c r="B163" s="10" t="s">
        <v>11</v>
      </c>
      <c r="C163" s="11" t="n">
        <v>1467.592</v>
      </c>
      <c r="D163" s="10" t="s">
        <v>12</v>
      </c>
      <c r="E163" s="12" t="n">
        <v>8</v>
      </c>
      <c r="F163" s="12" t="n">
        <v>8</v>
      </c>
      <c r="G163" s="12" t="n">
        <v>0</v>
      </c>
      <c r="H163" s="9" t="n">
        <v>3</v>
      </c>
      <c r="I163" s="9" t="n">
        <v>36</v>
      </c>
      <c r="J163" s="9" t="n">
        <v>1</v>
      </c>
      <c r="K163" s="13" t="s">
        <v>13</v>
      </c>
    </row>
    <row r="164" customFormat="false" ht="15.75" hidden="false" customHeight="false" outlineLevel="0" collapsed="false">
      <c r="A164" s="9" t="n">
        <v>18</v>
      </c>
      <c r="B164" s="10" t="s">
        <v>11</v>
      </c>
      <c r="C164" s="11" t="n">
        <v>539.105</v>
      </c>
      <c r="D164" s="10" t="s">
        <v>20</v>
      </c>
      <c r="E164" s="12" t="n">
        <v>0.5</v>
      </c>
      <c r="F164" s="12" t="n">
        <v>0.5</v>
      </c>
      <c r="G164" s="12" t="n">
        <v>0</v>
      </c>
      <c r="H164" s="9" t="n">
        <v>4</v>
      </c>
      <c r="I164" s="9" t="n">
        <v>30</v>
      </c>
      <c r="J164" s="9" t="n">
        <v>2</v>
      </c>
      <c r="K164" s="13" t="s">
        <v>13</v>
      </c>
    </row>
    <row r="165" customFormat="false" ht="15.75" hidden="false" customHeight="false" outlineLevel="0" collapsed="false">
      <c r="A165" s="9" t="n">
        <v>15</v>
      </c>
      <c r="B165" s="10" t="s">
        <v>14</v>
      </c>
      <c r="C165" s="11" t="n">
        <v>644.882</v>
      </c>
      <c r="D165" s="10" t="s">
        <v>17</v>
      </c>
      <c r="E165" s="12" t="n">
        <v>5.5</v>
      </c>
      <c r="F165" s="12" t="n">
        <v>5.5</v>
      </c>
      <c r="G165" s="12" t="n">
        <v>0</v>
      </c>
      <c r="H165" s="9" t="n">
        <v>4</v>
      </c>
      <c r="I165" s="9" t="n">
        <v>36</v>
      </c>
      <c r="J165" s="9" t="n">
        <v>2</v>
      </c>
      <c r="K165" s="13" t="s">
        <v>13</v>
      </c>
    </row>
    <row r="166" customFormat="false" ht="15.75" hidden="false" customHeight="false" outlineLevel="0" collapsed="false">
      <c r="A166" s="9" t="n">
        <v>10</v>
      </c>
      <c r="B166" s="10" t="s">
        <v>14</v>
      </c>
      <c r="C166" s="11" t="n">
        <v>3734.388</v>
      </c>
      <c r="D166" s="10" t="s">
        <v>19</v>
      </c>
      <c r="E166" s="12" t="n">
        <v>0</v>
      </c>
      <c r="F166" s="12" t="n">
        <v>0</v>
      </c>
      <c r="G166" s="12" t="n">
        <v>0</v>
      </c>
      <c r="H166" s="9" t="n">
        <v>2</v>
      </c>
      <c r="I166" s="9" t="n">
        <v>70</v>
      </c>
      <c r="J166" s="9" t="n">
        <v>1</v>
      </c>
      <c r="K166" s="13" t="s">
        <v>13</v>
      </c>
    </row>
    <row r="167" customFormat="false" ht="15.75" hidden="false" customHeight="false" outlineLevel="0" collapsed="false">
      <c r="A167" s="9" t="n">
        <v>36</v>
      </c>
      <c r="B167" s="10" t="s">
        <v>14</v>
      </c>
      <c r="C167" s="11" t="n">
        <v>464.499</v>
      </c>
      <c r="D167" s="10" t="s">
        <v>12</v>
      </c>
      <c r="E167" s="12" t="n">
        <v>8</v>
      </c>
      <c r="F167" s="12" t="n">
        <v>8</v>
      </c>
      <c r="G167" s="12" t="n">
        <v>0</v>
      </c>
      <c r="H167" s="9" t="n">
        <v>4</v>
      </c>
      <c r="I167" s="9" t="n">
        <v>36</v>
      </c>
      <c r="J167" s="9" t="n">
        <v>1</v>
      </c>
      <c r="K167" s="13" t="s">
        <v>13</v>
      </c>
    </row>
    <row r="168" customFormat="false" ht="15.75" hidden="false" customHeight="false" outlineLevel="0" collapsed="false">
      <c r="A168" s="9" t="n">
        <v>6</v>
      </c>
      <c r="B168" s="10" t="s">
        <v>14</v>
      </c>
      <c r="C168" s="11" t="n">
        <v>1521.758</v>
      </c>
      <c r="D168" s="10" t="s">
        <v>15</v>
      </c>
      <c r="E168" s="12" t="n">
        <v>2.5</v>
      </c>
      <c r="F168" s="12" t="n">
        <v>2.5</v>
      </c>
      <c r="G168" s="12" t="n">
        <v>0</v>
      </c>
      <c r="H168" s="9" t="n">
        <v>1</v>
      </c>
      <c r="I168" s="9" t="n">
        <v>32</v>
      </c>
      <c r="J168" s="9" t="n">
        <v>1</v>
      </c>
      <c r="K168" s="13" t="s">
        <v>13</v>
      </c>
    </row>
    <row r="169" customFormat="false" ht="15.75" hidden="false" customHeight="false" outlineLevel="0" collapsed="false">
      <c r="A169" s="9" t="n">
        <v>18</v>
      </c>
      <c r="B169" s="10" t="s">
        <v>14</v>
      </c>
      <c r="C169" s="11" t="n">
        <v>577.941</v>
      </c>
      <c r="D169" s="10" t="s">
        <v>19</v>
      </c>
      <c r="E169" s="12" t="n">
        <v>0</v>
      </c>
      <c r="F169" s="12" t="n">
        <v>0</v>
      </c>
      <c r="G169" s="12" t="n">
        <v>0</v>
      </c>
      <c r="H169" s="9" t="n">
        <v>4</v>
      </c>
      <c r="I169" s="9" t="n">
        <v>33</v>
      </c>
      <c r="J169" s="9" t="n">
        <v>1</v>
      </c>
      <c r="K169" s="13" t="s">
        <v>16</v>
      </c>
    </row>
    <row r="170" customFormat="false" ht="15.75" hidden="false" customHeight="false" outlineLevel="0" collapsed="false">
      <c r="A170" s="9" t="n">
        <v>11</v>
      </c>
      <c r="B170" s="10" t="s">
        <v>14</v>
      </c>
      <c r="C170" s="11" t="n">
        <v>805.847</v>
      </c>
      <c r="D170" s="10" t="s">
        <v>20</v>
      </c>
      <c r="E170" s="12" t="n">
        <v>0.5</v>
      </c>
      <c r="F170" s="12" t="n">
        <v>0.5</v>
      </c>
      <c r="G170" s="12" t="n">
        <v>0</v>
      </c>
      <c r="H170" s="9" t="n">
        <v>4</v>
      </c>
      <c r="I170" s="9" t="n">
        <v>20</v>
      </c>
      <c r="J170" s="9" t="n">
        <v>1</v>
      </c>
      <c r="K170" s="13" t="s">
        <v>13</v>
      </c>
    </row>
    <row r="171" customFormat="false" ht="15.75" hidden="false" customHeight="false" outlineLevel="0" collapsed="false">
      <c r="A171" s="9" t="n">
        <v>24</v>
      </c>
      <c r="B171" s="10" t="s">
        <v>14</v>
      </c>
      <c r="C171" s="11" t="n">
        <v>2029.692</v>
      </c>
      <c r="D171" s="10" t="s">
        <v>17</v>
      </c>
      <c r="E171" s="12" t="n">
        <v>5.5</v>
      </c>
      <c r="F171" s="12" t="n">
        <v>5.5</v>
      </c>
      <c r="G171" s="12" t="n">
        <v>0</v>
      </c>
      <c r="H171" s="9" t="n">
        <v>2</v>
      </c>
      <c r="I171" s="9" t="n">
        <v>25</v>
      </c>
      <c r="J171" s="9" t="n">
        <v>1</v>
      </c>
      <c r="K171" s="13" t="s">
        <v>13</v>
      </c>
    </row>
    <row r="172" customFormat="false" ht="15.75" hidden="false" customHeight="false" outlineLevel="0" collapsed="false">
      <c r="A172" s="9" t="n">
        <v>24</v>
      </c>
      <c r="B172" s="10" t="s">
        <v>11</v>
      </c>
      <c r="C172" s="11" t="n">
        <v>988.785</v>
      </c>
      <c r="D172" s="10" t="s">
        <v>12</v>
      </c>
      <c r="E172" s="12" t="n">
        <v>8</v>
      </c>
      <c r="F172" s="12" t="n">
        <v>8</v>
      </c>
      <c r="G172" s="12" t="n">
        <v>0</v>
      </c>
      <c r="H172" s="9" t="n">
        <v>4</v>
      </c>
      <c r="I172" s="9" t="n">
        <v>31</v>
      </c>
      <c r="J172" s="9" t="n">
        <v>2</v>
      </c>
      <c r="K172" s="13" t="s">
        <v>16</v>
      </c>
    </row>
    <row r="173" customFormat="false" ht="15.75" hidden="false" customHeight="false" outlineLevel="0" collapsed="false">
      <c r="A173" s="9" t="n">
        <v>15</v>
      </c>
      <c r="B173" s="10" t="s">
        <v>21</v>
      </c>
      <c r="C173" s="11" t="n">
        <v>485.45</v>
      </c>
      <c r="D173" s="10" t="s">
        <v>12</v>
      </c>
      <c r="E173" s="12" t="n">
        <v>8</v>
      </c>
      <c r="F173" s="12" t="n">
        <v>8</v>
      </c>
      <c r="G173" s="12" t="n">
        <v>0</v>
      </c>
      <c r="H173" s="9" t="n">
        <v>4</v>
      </c>
      <c r="I173" s="9" t="n">
        <v>33</v>
      </c>
      <c r="J173" s="9" t="n">
        <v>2</v>
      </c>
      <c r="K173" s="13" t="s">
        <v>16</v>
      </c>
    </row>
    <row r="174" customFormat="false" ht="15.75" hidden="false" customHeight="false" outlineLevel="0" collapsed="false">
      <c r="A174" s="9" t="n">
        <v>12</v>
      </c>
      <c r="B174" s="10" t="s">
        <v>14</v>
      </c>
      <c r="C174" s="11" t="n">
        <v>389.893</v>
      </c>
      <c r="D174" s="10" t="s">
        <v>15</v>
      </c>
      <c r="E174" s="12" t="n">
        <v>2.5</v>
      </c>
      <c r="F174" s="12" t="n">
        <v>2.5</v>
      </c>
      <c r="G174" s="12" t="n">
        <v>0</v>
      </c>
      <c r="H174" s="9" t="n">
        <v>4</v>
      </c>
      <c r="I174" s="9" t="n">
        <v>26</v>
      </c>
      <c r="J174" s="9" t="n">
        <v>1</v>
      </c>
      <c r="K174" s="13" t="s">
        <v>13</v>
      </c>
    </row>
    <row r="175" customFormat="false" ht="15.75" hidden="false" customHeight="false" outlineLevel="0" collapsed="false">
      <c r="A175" s="9" t="n">
        <v>24</v>
      </c>
      <c r="B175" s="10" t="s">
        <v>18</v>
      </c>
      <c r="C175" s="11" t="n">
        <v>1054.704</v>
      </c>
      <c r="D175" s="10" t="s">
        <v>19</v>
      </c>
      <c r="E175" s="12" t="n">
        <v>0</v>
      </c>
      <c r="F175" s="12" t="n">
        <v>0</v>
      </c>
      <c r="G175" s="12" t="n">
        <v>0</v>
      </c>
      <c r="H175" s="9" t="n">
        <v>3</v>
      </c>
      <c r="I175" s="9" t="n">
        <v>34</v>
      </c>
      <c r="J175" s="9" t="n">
        <v>1</v>
      </c>
      <c r="K175" s="13" t="s">
        <v>16</v>
      </c>
    </row>
    <row r="176" customFormat="false" ht="15.75" hidden="false" customHeight="false" outlineLevel="0" collapsed="false">
      <c r="A176" s="9" t="n">
        <v>8</v>
      </c>
      <c r="B176" s="10" t="s">
        <v>14</v>
      </c>
      <c r="C176" s="11" t="n">
        <v>722.554</v>
      </c>
      <c r="D176" s="10" t="s">
        <v>15</v>
      </c>
      <c r="E176" s="12" t="n">
        <v>2.5</v>
      </c>
      <c r="F176" s="12" t="n">
        <v>2.5</v>
      </c>
      <c r="G176" s="12" t="n">
        <v>0</v>
      </c>
      <c r="H176" s="9" t="n">
        <v>4</v>
      </c>
      <c r="I176" s="9" t="n">
        <v>33</v>
      </c>
      <c r="J176" s="9" t="n">
        <v>1</v>
      </c>
      <c r="K176" s="13" t="s">
        <v>13</v>
      </c>
    </row>
    <row r="177" customFormat="false" ht="15.75" hidden="false" customHeight="false" outlineLevel="0" collapsed="false">
      <c r="A177" s="9" t="n">
        <v>21</v>
      </c>
      <c r="B177" s="10" t="s">
        <v>18</v>
      </c>
      <c r="C177" s="11" t="n">
        <v>1744.554</v>
      </c>
      <c r="D177" s="10" t="s">
        <v>20</v>
      </c>
      <c r="E177" s="12" t="n">
        <v>0.5</v>
      </c>
      <c r="F177" s="12" t="n">
        <v>0.5</v>
      </c>
      <c r="G177" s="12" t="n">
        <v>0</v>
      </c>
      <c r="H177" s="9" t="n">
        <v>2</v>
      </c>
      <c r="I177" s="9" t="n">
        <v>26</v>
      </c>
      <c r="J177" s="9" t="n">
        <v>2</v>
      </c>
      <c r="K177" s="13" t="s">
        <v>16</v>
      </c>
    </row>
    <row r="178" customFormat="false" ht="15.75" hidden="false" customHeight="false" outlineLevel="0" collapsed="false">
      <c r="A178" s="9" t="n">
        <v>30</v>
      </c>
      <c r="B178" s="10" t="s">
        <v>22</v>
      </c>
      <c r="C178" s="11" t="n">
        <v>3824.835</v>
      </c>
      <c r="D178" s="10" t="s">
        <v>19</v>
      </c>
      <c r="E178" s="12" t="n">
        <v>0</v>
      </c>
      <c r="F178" s="12" t="n">
        <v>0</v>
      </c>
      <c r="G178" s="12" t="n">
        <v>0</v>
      </c>
      <c r="H178" s="9" t="n">
        <v>4</v>
      </c>
      <c r="I178" s="9" t="n">
        <v>53</v>
      </c>
      <c r="J178" s="9" t="n">
        <v>1</v>
      </c>
      <c r="K178" s="13" t="s">
        <v>16</v>
      </c>
    </row>
    <row r="179" customFormat="false" ht="15.75" hidden="false" customHeight="false" outlineLevel="0" collapsed="false">
      <c r="A179" s="9" t="n">
        <v>12</v>
      </c>
      <c r="B179" s="10" t="s">
        <v>14</v>
      </c>
      <c r="C179" s="11" t="n">
        <v>1316.847</v>
      </c>
      <c r="D179" s="10" t="s">
        <v>15</v>
      </c>
      <c r="E179" s="12" t="n">
        <v>2.5</v>
      </c>
      <c r="F179" s="12" t="n">
        <v>2.5</v>
      </c>
      <c r="G179" s="12" t="n">
        <v>0</v>
      </c>
      <c r="H179" s="9" t="n">
        <v>2</v>
      </c>
      <c r="I179" s="9" t="n">
        <v>42</v>
      </c>
      <c r="J179" s="9" t="n">
        <v>1</v>
      </c>
      <c r="K179" s="13" t="s">
        <v>13</v>
      </c>
    </row>
    <row r="180" customFormat="false" ht="15.75" hidden="false" customHeight="false" outlineLevel="0" collapsed="false">
      <c r="A180" s="9" t="n">
        <v>6</v>
      </c>
      <c r="B180" s="10" t="s">
        <v>11</v>
      </c>
      <c r="C180" s="11" t="n">
        <v>172.718</v>
      </c>
      <c r="D180" s="10" t="s">
        <v>12</v>
      </c>
      <c r="E180" s="12" t="n">
        <v>8</v>
      </c>
      <c r="F180" s="12" t="n">
        <v>8</v>
      </c>
      <c r="G180" s="12" t="n">
        <v>0</v>
      </c>
      <c r="H180" s="9" t="n">
        <v>4</v>
      </c>
      <c r="I180" s="9" t="n">
        <v>52</v>
      </c>
      <c r="J180" s="9" t="n">
        <v>2</v>
      </c>
      <c r="K180" s="13" t="s">
        <v>13</v>
      </c>
    </row>
    <row r="181" customFormat="false" ht="15.75" hidden="false" customHeight="false" outlineLevel="0" collapsed="false">
      <c r="A181" s="9" t="n">
        <v>12</v>
      </c>
      <c r="B181" s="10" t="s">
        <v>14</v>
      </c>
      <c r="C181" s="11" t="n">
        <v>1003.093</v>
      </c>
      <c r="D181" s="10" t="s">
        <v>17</v>
      </c>
      <c r="E181" s="12" t="n">
        <v>5.5</v>
      </c>
      <c r="F181" s="12" t="n">
        <v>5.5</v>
      </c>
      <c r="G181" s="12" t="n">
        <v>0</v>
      </c>
      <c r="H181" s="9" t="n">
        <v>4</v>
      </c>
      <c r="I181" s="9" t="n">
        <v>31</v>
      </c>
      <c r="J181" s="9" t="n">
        <v>2</v>
      </c>
      <c r="K181" s="13" t="s">
        <v>13</v>
      </c>
    </row>
    <row r="182" customFormat="false" ht="15.75" hidden="false" customHeight="false" outlineLevel="0" collapsed="false">
      <c r="A182" s="9" t="n">
        <v>21</v>
      </c>
      <c r="B182" s="10" t="s">
        <v>11</v>
      </c>
      <c r="C182" s="11" t="n">
        <v>291.781</v>
      </c>
      <c r="D182" s="10" t="s">
        <v>12</v>
      </c>
      <c r="E182" s="12" t="n">
        <v>8</v>
      </c>
      <c r="F182" s="12" t="n">
        <v>8</v>
      </c>
      <c r="G182" s="12" t="n">
        <v>0</v>
      </c>
      <c r="H182" s="9" t="n">
        <v>4</v>
      </c>
      <c r="I182" s="9" t="n">
        <v>65</v>
      </c>
      <c r="J182" s="9" t="n">
        <v>2</v>
      </c>
      <c r="K182" s="13" t="s">
        <v>13</v>
      </c>
    </row>
    <row r="183" customFormat="false" ht="15.75" hidden="false" customHeight="false" outlineLevel="0" collapsed="false">
      <c r="A183" s="9" t="n">
        <v>36</v>
      </c>
      <c r="B183" s="10" t="s">
        <v>18</v>
      </c>
      <c r="C183" s="11" t="n">
        <v>4891.292</v>
      </c>
      <c r="D183" s="10" t="s">
        <v>20</v>
      </c>
      <c r="E183" s="12" t="n">
        <v>0.5</v>
      </c>
      <c r="F183" s="12" t="n">
        <v>0.5</v>
      </c>
      <c r="G183" s="12" t="n">
        <v>0</v>
      </c>
      <c r="H183" s="9" t="n">
        <v>1</v>
      </c>
      <c r="I183" s="9" t="n">
        <v>28</v>
      </c>
      <c r="J183" s="9" t="n">
        <v>2</v>
      </c>
      <c r="K183" s="13" t="s">
        <v>16</v>
      </c>
    </row>
    <row r="184" customFormat="false" ht="15.75" hidden="false" customHeight="false" outlineLevel="0" collapsed="false">
      <c r="A184" s="9" t="n">
        <v>36</v>
      </c>
      <c r="B184" s="10" t="s">
        <v>18</v>
      </c>
      <c r="C184" s="11" t="n">
        <v>2276.505</v>
      </c>
      <c r="D184" s="10" t="s">
        <v>15</v>
      </c>
      <c r="E184" s="12" t="n">
        <v>2.5</v>
      </c>
      <c r="F184" s="12" t="n">
        <v>2.5</v>
      </c>
      <c r="G184" s="12" t="n">
        <v>0</v>
      </c>
      <c r="H184" s="9" t="n">
        <v>2</v>
      </c>
      <c r="I184" s="9" t="n">
        <v>30</v>
      </c>
      <c r="J184" s="9" t="n">
        <v>2</v>
      </c>
      <c r="K184" s="13" t="s">
        <v>16</v>
      </c>
    </row>
    <row r="185" customFormat="false" ht="15.75" hidden="false" customHeight="false" outlineLevel="0" collapsed="false">
      <c r="A185" s="9" t="n">
        <v>21</v>
      </c>
      <c r="B185" s="10" t="s">
        <v>22</v>
      </c>
      <c r="C185" s="11" t="n">
        <v>841.617</v>
      </c>
      <c r="D185" s="10" t="s">
        <v>15</v>
      </c>
      <c r="E185" s="12" t="n">
        <v>2.5</v>
      </c>
      <c r="F185" s="12" t="n">
        <v>2.5</v>
      </c>
      <c r="G185" s="12" t="n">
        <v>0</v>
      </c>
      <c r="H185" s="9" t="n">
        <v>4</v>
      </c>
      <c r="I185" s="9" t="n">
        <v>40</v>
      </c>
      <c r="J185" s="9" t="n">
        <v>2</v>
      </c>
      <c r="K185" s="13" t="s">
        <v>16</v>
      </c>
    </row>
    <row r="186" customFormat="false" ht="15.75" hidden="false" customHeight="false" outlineLevel="0" collapsed="false">
      <c r="A186" s="9" t="n">
        <v>24</v>
      </c>
      <c r="B186" s="10" t="s">
        <v>11</v>
      </c>
      <c r="C186" s="11" t="n">
        <v>1930.047</v>
      </c>
      <c r="D186" s="10" t="s">
        <v>15</v>
      </c>
      <c r="E186" s="12" t="n">
        <v>2.5</v>
      </c>
      <c r="F186" s="12" t="n">
        <v>2.5</v>
      </c>
      <c r="G186" s="12" t="n">
        <v>0</v>
      </c>
      <c r="H186" s="9" t="n">
        <v>4</v>
      </c>
      <c r="I186" s="9" t="n">
        <v>50</v>
      </c>
      <c r="J186" s="9" t="n">
        <v>1</v>
      </c>
      <c r="K186" s="13" t="s">
        <v>13</v>
      </c>
    </row>
    <row r="187" customFormat="false" ht="15.75" hidden="false" customHeight="false" outlineLevel="0" collapsed="false">
      <c r="A187" s="9" t="n">
        <v>18</v>
      </c>
      <c r="B187" s="10" t="s">
        <v>11</v>
      </c>
      <c r="C187" s="11" t="n">
        <v>451.724</v>
      </c>
      <c r="D187" s="10" t="s">
        <v>12</v>
      </c>
      <c r="E187" s="12" t="n">
        <v>8</v>
      </c>
      <c r="F187" s="12" t="n">
        <v>8</v>
      </c>
      <c r="G187" s="12" t="n">
        <v>0</v>
      </c>
      <c r="H187" s="9" t="n">
        <v>4</v>
      </c>
      <c r="I187" s="9" t="n">
        <v>36</v>
      </c>
      <c r="J187" s="9" t="n">
        <v>1</v>
      </c>
      <c r="K187" s="13" t="s">
        <v>16</v>
      </c>
    </row>
    <row r="188" customFormat="false" ht="15.75" hidden="false" customHeight="false" outlineLevel="0" collapsed="false">
      <c r="A188" s="9" t="n">
        <v>15</v>
      </c>
      <c r="B188" s="10" t="s">
        <v>11</v>
      </c>
      <c r="C188" s="11" t="n">
        <v>694.96</v>
      </c>
      <c r="D188" s="10" t="s">
        <v>15</v>
      </c>
      <c r="E188" s="12" t="n">
        <v>2.5</v>
      </c>
      <c r="F188" s="12" t="n">
        <v>2.5</v>
      </c>
      <c r="G188" s="12" t="n">
        <v>0</v>
      </c>
      <c r="H188" s="9" t="n">
        <v>4</v>
      </c>
      <c r="I188" s="9" t="n">
        <v>31</v>
      </c>
      <c r="J188" s="9" t="n">
        <v>2</v>
      </c>
      <c r="K188" s="13" t="s">
        <v>13</v>
      </c>
    </row>
    <row r="189" customFormat="false" ht="15.75" hidden="false" customHeight="false" outlineLevel="0" collapsed="false">
      <c r="A189" s="9" t="n">
        <v>9</v>
      </c>
      <c r="B189" s="10" t="s">
        <v>22</v>
      </c>
      <c r="C189" s="11" t="n">
        <v>2620.919</v>
      </c>
      <c r="D189" s="10" t="s">
        <v>12</v>
      </c>
      <c r="E189" s="12" t="n">
        <v>8</v>
      </c>
      <c r="F189" s="12" t="n">
        <v>8</v>
      </c>
      <c r="G189" s="12" t="n">
        <v>0</v>
      </c>
      <c r="H189" s="9" t="n">
        <v>2</v>
      </c>
      <c r="I189" s="9" t="n">
        <v>74</v>
      </c>
      <c r="J189" s="9" t="n">
        <v>1</v>
      </c>
      <c r="K189" s="13" t="s">
        <v>16</v>
      </c>
    </row>
    <row r="190" customFormat="false" ht="15.75" hidden="false" customHeight="false" outlineLevel="0" collapsed="false">
      <c r="A190" s="9" t="n">
        <v>16</v>
      </c>
      <c r="B190" s="10" t="s">
        <v>11</v>
      </c>
      <c r="C190" s="11" t="n">
        <v>600.425</v>
      </c>
      <c r="D190" s="10" t="s">
        <v>19</v>
      </c>
      <c r="E190" s="12" t="n">
        <v>0</v>
      </c>
      <c r="F190" s="12" t="n">
        <v>0</v>
      </c>
      <c r="G190" s="12" t="n">
        <v>0</v>
      </c>
      <c r="H190" s="9" t="n">
        <v>2</v>
      </c>
      <c r="I190" s="9" t="n">
        <v>68</v>
      </c>
      <c r="J190" s="9" t="n">
        <v>3</v>
      </c>
      <c r="K190" s="13" t="s">
        <v>13</v>
      </c>
    </row>
    <row r="191" customFormat="false" ht="15.75" hidden="false" customHeight="false" outlineLevel="0" collapsed="false">
      <c r="A191" s="9" t="n">
        <v>12</v>
      </c>
      <c r="B191" s="10" t="s">
        <v>14</v>
      </c>
      <c r="C191" s="11" t="n">
        <v>344.414</v>
      </c>
      <c r="D191" s="10" t="s">
        <v>17</v>
      </c>
      <c r="E191" s="12" t="n">
        <v>5.5</v>
      </c>
      <c r="F191" s="12" t="n">
        <v>2</v>
      </c>
      <c r="G191" s="12" t="n">
        <v>1</v>
      </c>
      <c r="H191" s="9" t="n">
        <v>4</v>
      </c>
      <c r="I191" s="9" t="n">
        <v>20</v>
      </c>
      <c r="J191" s="9" t="n">
        <v>1</v>
      </c>
      <c r="K191" s="13" t="s">
        <v>16</v>
      </c>
    </row>
    <row r="192" customFormat="false" ht="15.75" hidden="false" customHeight="false" outlineLevel="0" collapsed="false">
      <c r="A192" s="9" t="n">
        <v>18</v>
      </c>
      <c r="B192" s="10" t="s">
        <v>21</v>
      </c>
      <c r="C192" s="11" t="n">
        <v>1657.684</v>
      </c>
      <c r="D192" s="10" t="s">
        <v>15</v>
      </c>
      <c r="E192" s="12" t="n">
        <v>2.5</v>
      </c>
      <c r="F192" s="12" t="n">
        <v>2.5</v>
      </c>
      <c r="G192" s="12" t="n">
        <v>0</v>
      </c>
      <c r="H192" s="9" t="n">
        <v>1</v>
      </c>
      <c r="I192" s="9" t="n">
        <v>33</v>
      </c>
      <c r="J192" s="9" t="n">
        <v>2</v>
      </c>
      <c r="K192" s="13" t="s">
        <v>13</v>
      </c>
    </row>
    <row r="193" customFormat="false" ht="15.75" hidden="false" customHeight="false" outlineLevel="0" collapsed="false">
      <c r="A193" s="9" t="n">
        <v>24</v>
      </c>
      <c r="B193" s="10" t="s">
        <v>14</v>
      </c>
      <c r="C193" s="11" t="n">
        <v>2346.001</v>
      </c>
      <c r="D193" s="10" t="s">
        <v>15</v>
      </c>
      <c r="E193" s="12" t="n">
        <v>2.5</v>
      </c>
      <c r="F193" s="12" t="n">
        <v>2.5</v>
      </c>
      <c r="G193" s="12" t="n">
        <v>0</v>
      </c>
      <c r="H193" s="9" t="n">
        <v>2</v>
      </c>
      <c r="I193" s="9" t="n">
        <v>54</v>
      </c>
      <c r="J193" s="9" t="n">
        <v>3</v>
      </c>
      <c r="K193" s="13" t="s">
        <v>16</v>
      </c>
    </row>
    <row r="194" customFormat="false" ht="15.75" hidden="false" customHeight="false" outlineLevel="0" collapsed="false">
      <c r="A194" s="9" t="n">
        <v>48</v>
      </c>
      <c r="B194" s="10" t="s">
        <v>21</v>
      </c>
      <c r="C194" s="11" t="n">
        <v>1964.284</v>
      </c>
      <c r="D194" s="10" t="s">
        <v>17</v>
      </c>
      <c r="E194" s="12" t="n">
        <v>5.5</v>
      </c>
      <c r="F194" s="12" t="n">
        <v>5.5</v>
      </c>
      <c r="G194" s="12" t="n">
        <v>0</v>
      </c>
      <c r="H194" s="9" t="n">
        <v>4</v>
      </c>
      <c r="I194" s="9" t="n">
        <v>34</v>
      </c>
      <c r="J194" s="9" t="n">
        <v>1</v>
      </c>
      <c r="K194" s="13" t="s">
        <v>16</v>
      </c>
    </row>
    <row r="195" customFormat="false" ht="15.75" hidden="false" customHeight="false" outlineLevel="0" collapsed="false">
      <c r="A195" s="9" t="n">
        <v>27</v>
      </c>
      <c r="B195" s="10" t="s">
        <v>14</v>
      </c>
      <c r="C195" s="11" t="n">
        <v>2000.565</v>
      </c>
      <c r="D195" s="10" t="s">
        <v>15</v>
      </c>
      <c r="E195" s="12" t="n">
        <v>2.5</v>
      </c>
      <c r="F195" s="12" t="n">
        <v>2.5</v>
      </c>
      <c r="G195" s="12" t="n">
        <v>0</v>
      </c>
      <c r="H195" s="9" t="n">
        <v>4</v>
      </c>
      <c r="I195" s="9" t="n">
        <v>36</v>
      </c>
      <c r="J195" s="9" t="n">
        <v>1</v>
      </c>
      <c r="K195" s="13" t="s">
        <v>16</v>
      </c>
    </row>
    <row r="196" customFormat="false" ht="15.75" hidden="false" customHeight="false" outlineLevel="0" collapsed="false">
      <c r="A196" s="9" t="n">
        <v>6</v>
      </c>
      <c r="B196" s="10" t="s">
        <v>14</v>
      </c>
      <c r="C196" s="11" t="n">
        <v>1077.188</v>
      </c>
      <c r="D196" s="10" t="s">
        <v>17</v>
      </c>
      <c r="E196" s="12" t="n">
        <v>5.5</v>
      </c>
      <c r="F196" s="12" t="n">
        <v>5.5</v>
      </c>
      <c r="G196" s="12" t="n">
        <v>0</v>
      </c>
      <c r="H196" s="9" t="n">
        <v>2</v>
      </c>
      <c r="I196" s="9" t="n">
        <v>29</v>
      </c>
      <c r="J196" s="9" t="n">
        <v>1</v>
      </c>
      <c r="K196" s="13" t="s">
        <v>13</v>
      </c>
    </row>
    <row r="197" customFormat="false" ht="15.75" hidden="false" customHeight="false" outlineLevel="0" collapsed="false">
      <c r="A197" s="9" t="n">
        <v>45</v>
      </c>
      <c r="B197" s="10" t="s">
        <v>14</v>
      </c>
      <c r="C197" s="11" t="n">
        <v>1548.841</v>
      </c>
      <c r="D197" s="10" t="s">
        <v>15</v>
      </c>
      <c r="E197" s="12" t="n">
        <v>2.5</v>
      </c>
      <c r="F197" s="12" t="n">
        <v>2.5</v>
      </c>
      <c r="G197" s="12" t="n">
        <v>0</v>
      </c>
      <c r="H197" s="9" t="n">
        <v>4</v>
      </c>
      <c r="I197" s="9" t="n">
        <v>21</v>
      </c>
      <c r="J197" s="9" t="n">
        <v>1</v>
      </c>
      <c r="K197" s="13" t="s">
        <v>16</v>
      </c>
    </row>
    <row r="198" customFormat="false" ht="15.75" hidden="false" customHeight="false" outlineLevel="0" collapsed="false">
      <c r="A198" s="9" t="n">
        <v>9</v>
      </c>
      <c r="B198" s="10" t="s">
        <v>11</v>
      </c>
      <c r="C198" s="11" t="n">
        <v>767.011</v>
      </c>
      <c r="D198" s="10" t="s">
        <v>12</v>
      </c>
      <c r="E198" s="12" t="n">
        <v>8</v>
      </c>
      <c r="F198" s="12" t="n">
        <v>8</v>
      </c>
      <c r="G198" s="12" t="n">
        <v>0</v>
      </c>
      <c r="H198" s="9" t="n">
        <v>2</v>
      </c>
      <c r="I198" s="9" t="n">
        <v>34</v>
      </c>
      <c r="J198" s="9" t="n">
        <v>2</v>
      </c>
      <c r="K198" s="13" t="s">
        <v>16</v>
      </c>
    </row>
    <row r="199" customFormat="false" ht="15.75" hidden="false" customHeight="false" outlineLevel="0" collapsed="false">
      <c r="A199" s="9" t="n">
        <v>6</v>
      </c>
      <c r="B199" s="10" t="s">
        <v>11</v>
      </c>
      <c r="C199" s="11" t="n">
        <v>706.202</v>
      </c>
      <c r="D199" s="10" t="s">
        <v>15</v>
      </c>
      <c r="E199" s="12" t="n">
        <v>2.5</v>
      </c>
      <c r="F199" s="12" t="n">
        <v>2.5</v>
      </c>
      <c r="G199" s="12" t="n">
        <v>0</v>
      </c>
      <c r="H199" s="9" t="n">
        <v>1</v>
      </c>
      <c r="I199" s="9" t="n">
        <v>28</v>
      </c>
      <c r="J199" s="9" t="n">
        <v>2</v>
      </c>
      <c r="K199" s="13" t="s">
        <v>13</v>
      </c>
    </row>
    <row r="200" customFormat="false" ht="15.75" hidden="false" customHeight="false" outlineLevel="0" collapsed="false">
      <c r="A200" s="9" t="n">
        <v>12</v>
      </c>
      <c r="B200" s="10" t="s">
        <v>14</v>
      </c>
      <c r="C200" s="11" t="n">
        <v>485.961</v>
      </c>
      <c r="D200" s="10" t="s">
        <v>20</v>
      </c>
      <c r="E200" s="12" t="n">
        <v>0.5</v>
      </c>
      <c r="F200" s="12" t="n">
        <v>0.5</v>
      </c>
      <c r="G200" s="12" t="n">
        <v>0</v>
      </c>
      <c r="H200" s="9" t="n">
        <v>4</v>
      </c>
      <c r="I200" s="9" t="n">
        <v>27</v>
      </c>
      <c r="J200" s="9" t="n">
        <v>4</v>
      </c>
      <c r="K200" s="13" t="s">
        <v>16</v>
      </c>
    </row>
    <row r="201" customFormat="false" ht="15.75" hidden="false" customHeight="false" outlineLevel="0" collapsed="false">
      <c r="A201" s="9" t="n">
        <v>24</v>
      </c>
      <c r="B201" s="10" t="s">
        <v>14</v>
      </c>
      <c r="C201" s="11" t="n">
        <v>1410.36</v>
      </c>
      <c r="D201" s="10" t="s">
        <v>12</v>
      </c>
      <c r="E201" s="12" t="n">
        <v>8</v>
      </c>
      <c r="F201" s="12" t="n">
        <v>8</v>
      </c>
      <c r="G201" s="12" t="n">
        <v>0</v>
      </c>
      <c r="H201" s="9" t="n">
        <v>4</v>
      </c>
      <c r="I201" s="9" t="n">
        <v>36</v>
      </c>
      <c r="J201" s="9" t="n">
        <v>1</v>
      </c>
      <c r="K201" s="13" t="s">
        <v>13</v>
      </c>
    </row>
    <row r="202" customFormat="false" ht="15.75" hidden="false" customHeight="false" outlineLevel="0" collapsed="false">
      <c r="A202" s="9" t="n">
        <v>18</v>
      </c>
      <c r="B202" s="10" t="s">
        <v>18</v>
      </c>
      <c r="C202" s="11" t="n">
        <v>2195.767</v>
      </c>
      <c r="D202" s="10" t="s">
        <v>12</v>
      </c>
      <c r="E202" s="12" t="n">
        <v>8</v>
      </c>
      <c r="F202" s="12" t="n">
        <v>8</v>
      </c>
      <c r="G202" s="12" t="n">
        <v>0</v>
      </c>
      <c r="H202" s="9" t="n">
        <v>4</v>
      </c>
      <c r="I202" s="9" t="n">
        <v>40</v>
      </c>
      <c r="J202" s="9" t="n">
        <v>1</v>
      </c>
      <c r="K202" s="13" t="s">
        <v>16</v>
      </c>
    </row>
    <row r="203" customFormat="false" ht="15.75" hidden="false" customHeight="false" outlineLevel="0" collapsed="false">
      <c r="A203" s="9" t="n">
        <v>9</v>
      </c>
      <c r="B203" s="10" t="s">
        <v>11</v>
      </c>
      <c r="C203" s="11" t="n">
        <v>478.296</v>
      </c>
      <c r="D203" s="10" t="s">
        <v>12</v>
      </c>
      <c r="E203" s="12" t="n">
        <v>8</v>
      </c>
      <c r="F203" s="12" t="n">
        <v>8</v>
      </c>
      <c r="G203" s="12" t="n">
        <v>0</v>
      </c>
      <c r="H203" s="9" t="n">
        <v>4</v>
      </c>
      <c r="I203" s="9" t="n">
        <v>52</v>
      </c>
      <c r="J203" s="9" t="n">
        <v>2</v>
      </c>
      <c r="K203" s="13" t="s">
        <v>13</v>
      </c>
    </row>
    <row r="204" customFormat="false" ht="15.75" hidden="false" customHeight="false" outlineLevel="0" collapsed="false">
      <c r="A204" s="9" t="n">
        <v>12</v>
      </c>
      <c r="B204" s="10" t="s">
        <v>14</v>
      </c>
      <c r="C204" s="11" t="n">
        <v>596.848</v>
      </c>
      <c r="D204" s="10" t="s">
        <v>15</v>
      </c>
      <c r="E204" s="12" t="n">
        <v>2.5</v>
      </c>
      <c r="F204" s="12" t="n">
        <v>2.5</v>
      </c>
      <c r="G204" s="12" t="n">
        <v>0</v>
      </c>
      <c r="H204" s="9" t="n">
        <v>4</v>
      </c>
      <c r="I204" s="9" t="n">
        <v>27</v>
      </c>
      <c r="J204" s="9" t="n">
        <v>1</v>
      </c>
      <c r="K204" s="13" t="s">
        <v>13</v>
      </c>
    </row>
    <row r="205" customFormat="false" ht="15.75" hidden="false" customHeight="false" outlineLevel="0" collapsed="false">
      <c r="A205" s="9" t="n">
        <v>27</v>
      </c>
      <c r="B205" s="10" t="s">
        <v>18</v>
      </c>
      <c r="C205" s="11" t="n">
        <v>2614.787</v>
      </c>
      <c r="D205" s="10" t="s">
        <v>17</v>
      </c>
      <c r="E205" s="12" t="n">
        <v>5.5</v>
      </c>
      <c r="F205" s="12" t="n">
        <v>5.5</v>
      </c>
      <c r="G205" s="12" t="n">
        <v>0</v>
      </c>
      <c r="H205" s="9" t="n">
        <v>3</v>
      </c>
      <c r="I205" s="9" t="n">
        <v>26</v>
      </c>
      <c r="J205" s="9" t="n">
        <v>2</v>
      </c>
      <c r="K205" s="13" t="s">
        <v>13</v>
      </c>
    </row>
    <row r="206" customFormat="false" ht="15.75" hidden="false" customHeight="false" outlineLevel="0" collapsed="false">
      <c r="A206" s="9" t="n">
        <v>12</v>
      </c>
      <c r="B206" s="10" t="s">
        <v>14</v>
      </c>
      <c r="C206" s="11" t="n">
        <v>460.922</v>
      </c>
      <c r="D206" s="10" t="s">
        <v>17</v>
      </c>
      <c r="E206" s="12" t="n">
        <v>5.5</v>
      </c>
      <c r="F206" s="12" t="n">
        <v>3</v>
      </c>
      <c r="G206" s="12" t="n">
        <v>1</v>
      </c>
      <c r="H206" s="9" t="n">
        <v>4</v>
      </c>
      <c r="I206" s="9" t="n">
        <v>21</v>
      </c>
      <c r="J206" s="9" t="n">
        <v>1</v>
      </c>
      <c r="K206" s="13" t="s">
        <v>16</v>
      </c>
    </row>
    <row r="207" customFormat="false" ht="15.75" hidden="false" customHeight="false" outlineLevel="0" collapsed="false">
      <c r="A207" s="9" t="n">
        <v>12</v>
      </c>
      <c r="B207" s="10" t="s">
        <v>11</v>
      </c>
      <c r="C207" s="11" t="n">
        <v>763.945</v>
      </c>
      <c r="D207" s="10" t="s">
        <v>12</v>
      </c>
      <c r="E207" s="12" t="n">
        <v>8</v>
      </c>
      <c r="F207" s="12" t="n">
        <v>8</v>
      </c>
      <c r="G207" s="12" t="n">
        <v>0</v>
      </c>
      <c r="H207" s="9" t="n">
        <v>4</v>
      </c>
      <c r="I207" s="9" t="n">
        <v>38</v>
      </c>
      <c r="J207" s="9" t="n">
        <v>2</v>
      </c>
      <c r="K207" s="13" t="s">
        <v>13</v>
      </c>
    </row>
    <row r="208" customFormat="false" ht="15.75" hidden="false" customHeight="false" outlineLevel="0" collapsed="false">
      <c r="A208" s="9" t="n">
        <v>30</v>
      </c>
      <c r="B208" s="10" t="s">
        <v>11</v>
      </c>
      <c r="C208" s="11" t="n">
        <v>5428.353</v>
      </c>
      <c r="D208" s="10" t="s">
        <v>12</v>
      </c>
      <c r="E208" s="12" t="n">
        <v>8</v>
      </c>
      <c r="F208" s="12" t="n">
        <v>8</v>
      </c>
      <c r="G208" s="12" t="n">
        <v>0</v>
      </c>
      <c r="H208" s="9" t="n">
        <v>3</v>
      </c>
      <c r="I208" s="9" t="n">
        <v>38</v>
      </c>
      <c r="J208" s="9" t="n">
        <v>3</v>
      </c>
      <c r="K208" s="13" t="s">
        <v>13</v>
      </c>
    </row>
    <row r="209" customFormat="false" ht="15.75" hidden="false" customHeight="false" outlineLevel="0" collapsed="false">
      <c r="A209" s="9" t="n">
        <v>12</v>
      </c>
      <c r="B209" s="10" t="s">
        <v>11</v>
      </c>
      <c r="C209" s="11" t="n">
        <v>988.785</v>
      </c>
      <c r="D209" s="10" t="s">
        <v>12</v>
      </c>
      <c r="E209" s="12" t="n">
        <v>8</v>
      </c>
      <c r="F209" s="12" t="n">
        <v>8</v>
      </c>
      <c r="G209" s="12" t="n">
        <v>0</v>
      </c>
      <c r="H209" s="9" t="n">
        <v>4</v>
      </c>
      <c r="I209" s="9" t="n">
        <v>43</v>
      </c>
      <c r="J209" s="9" t="n">
        <v>3</v>
      </c>
      <c r="K209" s="13" t="s">
        <v>13</v>
      </c>
    </row>
    <row r="210" customFormat="false" ht="15.75" hidden="false" customHeight="false" outlineLevel="0" collapsed="false">
      <c r="A210" s="9" t="n">
        <v>12</v>
      </c>
      <c r="B210" s="10" t="s">
        <v>11</v>
      </c>
      <c r="C210" s="11" t="n">
        <v>727.664</v>
      </c>
      <c r="D210" s="10" t="s">
        <v>17</v>
      </c>
      <c r="E210" s="12" t="n">
        <v>5.5</v>
      </c>
      <c r="F210" s="12" t="n">
        <v>5.5</v>
      </c>
      <c r="G210" s="12" t="n">
        <v>0</v>
      </c>
      <c r="H210" s="9" t="n">
        <v>4</v>
      </c>
      <c r="I210" s="9" t="n">
        <v>26</v>
      </c>
      <c r="J210" s="9" t="n">
        <v>1</v>
      </c>
      <c r="K210" s="13" t="s">
        <v>13</v>
      </c>
    </row>
    <row r="211" customFormat="false" ht="15.75" hidden="false" customHeight="false" outlineLevel="0" collapsed="false">
      <c r="A211" s="9" t="n">
        <v>24</v>
      </c>
      <c r="B211" s="10" t="s">
        <v>14</v>
      </c>
      <c r="C211" s="11" t="n">
        <v>3356.248</v>
      </c>
      <c r="D211" s="10" t="s">
        <v>15</v>
      </c>
      <c r="E211" s="12" t="n">
        <v>2.5</v>
      </c>
      <c r="F211" s="12" t="n">
        <v>2.5</v>
      </c>
      <c r="G211" s="12" t="n">
        <v>0</v>
      </c>
      <c r="H211" s="9" t="n">
        <v>2</v>
      </c>
      <c r="I211" s="9" t="n">
        <v>21</v>
      </c>
      <c r="J211" s="9" t="n">
        <v>1</v>
      </c>
      <c r="K211" s="13" t="s">
        <v>13</v>
      </c>
    </row>
    <row r="212" customFormat="false" ht="15.75" hidden="false" customHeight="false" outlineLevel="0" collapsed="false">
      <c r="A212" s="9" t="n">
        <v>12</v>
      </c>
      <c r="B212" s="10" t="s">
        <v>14</v>
      </c>
      <c r="C212" s="11" t="n">
        <v>722.043</v>
      </c>
      <c r="D212" s="10" t="s">
        <v>17</v>
      </c>
      <c r="E212" s="12" t="n">
        <v>5.5</v>
      </c>
      <c r="F212" s="12" t="n">
        <v>5.5</v>
      </c>
      <c r="G212" s="12" t="n">
        <v>0</v>
      </c>
      <c r="H212" s="9" t="n">
        <v>3</v>
      </c>
      <c r="I212" s="9" t="n">
        <v>55</v>
      </c>
      <c r="J212" s="9" t="n">
        <v>1</v>
      </c>
      <c r="K212" s="13" t="s">
        <v>13</v>
      </c>
    </row>
    <row r="213" customFormat="false" ht="15.75" hidden="false" customHeight="false" outlineLevel="0" collapsed="false">
      <c r="A213" s="9" t="n">
        <v>9</v>
      </c>
      <c r="B213" s="10" t="s">
        <v>11</v>
      </c>
      <c r="C213" s="11" t="n">
        <v>1570.814</v>
      </c>
      <c r="D213" s="10" t="s">
        <v>15</v>
      </c>
      <c r="E213" s="12" t="n">
        <v>2.5</v>
      </c>
      <c r="F213" s="12" t="n">
        <v>2.5</v>
      </c>
      <c r="G213" s="12" t="n">
        <v>0</v>
      </c>
      <c r="H213" s="9" t="n">
        <v>1</v>
      </c>
      <c r="I213" s="9" t="n">
        <v>33</v>
      </c>
      <c r="J213" s="9" t="n">
        <v>2</v>
      </c>
      <c r="K213" s="13" t="s">
        <v>13</v>
      </c>
    </row>
    <row r="214" customFormat="false" ht="15.75" hidden="false" customHeight="false" outlineLevel="0" collapsed="false">
      <c r="A214" s="9" t="n">
        <v>36</v>
      </c>
      <c r="B214" s="10" t="s">
        <v>14</v>
      </c>
      <c r="C214" s="11" t="n">
        <v>1959.685</v>
      </c>
      <c r="D214" s="10" t="s">
        <v>12</v>
      </c>
      <c r="E214" s="12" t="n">
        <v>8</v>
      </c>
      <c r="F214" s="12" t="n">
        <v>8</v>
      </c>
      <c r="G214" s="12" t="n">
        <v>0</v>
      </c>
      <c r="H214" s="9" t="n">
        <v>2</v>
      </c>
      <c r="I214" s="9" t="n">
        <v>45</v>
      </c>
      <c r="J214" s="9" t="n">
        <v>1</v>
      </c>
      <c r="K214" s="13" t="s">
        <v>13</v>
      </c>
    </row>
    <row r="215" customFormat="false" ht="15.75" hidden="false" customHeight="false" outlineLevel="0" collapsed="false">
      <c r="A215" s="9" t="n">
        <v>27</v>
      </c>
      <c r="B215" s="10" t="s">
        <v>21</v>
      </c>
      <c r="C215" s="11" t="n">
        <v>2704.723</v>
      </c>
      <c r="D215" s="10" t="s">
        <v>19</v>
      </c>
      <c r="E215" s="12" t="n">
        <v>0</v>
      </c>
      <c r="F215" s="12" t="n">
        <v>0</v>
      </c>
      <c r="G215" s="12" t="n">
        <v>0</v>
      </c>
      <c r="H215" s="9" t="n">
        <v>2</v>
      </c>
      <c r="I215" s="9" t="n">
        <v>50</v>
      </c>
      <c r="J215" s="9" t="n">
        <v>2</v>
      </c>
      <c r="K215" s="13" t="s">
        <v>16</v>
      </c>
    </row>
    <row r="216" customFormat="false" ht="15.75" hidden="false" customHeight="false" outlineLevel="0" collapsed="false">
      <c r="A216" s="9" t="n">
        <v>30</v>
      </c>
      <c r="B216" s="10" t="s">
        <v>18</v>
      </c>
      <c r="C216" s="11" t="n">
        <v>974.988</v>
      </c>
      <c r="D216" s="10" t="s">
        <v>12</v>
      </c>
      <c r="E216" s="12" t="n">
        <v>8</v>
      </c>
      <c r="F216" s="12" t="n">
        <v>8</v>
      </c>
      <c r="G216" s="12" t="n">
        <v>0</v>
      </c>
      <c r="H216" s="9" t="n">
        <v>4</v>
      </c>
      <c r="I216" s="9" t="n">
        <v>66</v>
      </c>
      <c r="J216" s="9" t="n">
        <v>1</v>
      </c>
      <c r="K216" s="13" t="s">
        <v>16</v>
      </c>
    </row>
    <row r="217" customFormat="false" ht="15.75" hidden="false" customHeight="false" outlineLevel="0" collapsed="false">
      <c r="A217" s="9" t="n">
        <v>36</v>
      </c>
      <c r="B217" s="10" t="s">
        <v>11</v>
      </c>
      <c r="C217" s="11" t="n">
        <v>1707.762</v>
      </c>
      <c r="D217" s="10" t="s">
        <v>12</v>
      </c>
      <c r="E217" s="12" t="n">
        <v>8</v>
      </c>
      <c r="F217" s="12" t="n">
        <v>8</v>
      </c>
      <c r="G217" s="12" t="n">
        <v>0</v>
      </c>
      <c r="H217" s="9" t="n">
        <v>4</v>
      </c>
      <c r="I217" s="9" t="n">
        <v>51</v>
      </c>
      <c r="J217" s="9" t="n">
        <v>1</v>
      </c>
      <c r="K217" s="13" t="s">
        <v>13</v>
      </c>
    </row>
    <row r="218" customFormat="false" ht="15.75" hidden="false" customHeight="false" outlineLevel="0" collapsed="false">
      <c r="A218" s="9" t="n">
        <v>6</v>
      </c>
      <c r="B218" s="10" t="s">
        <v>11</v>
      </c>
      <c r="C218" s="11" t="n">
        <v>476.252</v>
      </c>
      <c r="D218" s="10" t="s">
        <v>17</v>
      </c>
      <c r="E218" s="12" t="n">
        <v>5.5</v>
      </c>
      <c r="F218" s="12" t="n">
        <v>5.5</v>
      </c>
      <c r="G218" s="12" t="n">
        <v>0</v>
      </c>
      <c r="H218" s="9" t="n">
        <v>1</v>
      </c>
      <c r="I218" s="9" t="n">
        <v>39</v>
      </c>
      <c r="J218" s="9" t="n">
        <v>2</v>
      </c>
      <c r="K218" s="13" t="s">
        <v>13</v>
      </c>
    </row>
    <row r="219" customFormat="false" ht="15.75" hidden="false" customHeight="false" outlineLevel="0" collapsed="false">
      <c r="A219" s="9" t="n">
        <v>18</v>
      </c>
      <c r="B219" s="10" t="s">
        <v>21</v>
      </c>
      <c r="C219" s="11" t="n">
        <v>1586.144</v>
      </c>
      <c r="D219" s="10" t="s">
        <v>17</v>
      </c>
      <c r="E219" s="12" t="n">
        <v>5.5</v>
      </c>
      <c r="F219" s="12" t="n">
        <v>5.5</v>
      </c>
      <c r="G219" s="12" t="n">
        <v>0</v>
      </c>
      <c r="H219" s="9" t="n">
        <v>3</v>
      </c>
      <c r="I219" s="9" t="n">
        <v>31</v>
      </c>
      <c r="J219" s="9" t="n">
        <v>1</v>
      </c>
      <c r="K219" s="13" t="s">
        <v>13</v>
      </c>
    </row>
    <row r="220" customFormat="false" ht="15.75" hidden="false" customHeight="false" outlineLevel="0" collapsed="false">
      <c r="A220" s="9" t="n">
        <v>36</v>
      </c>
      <c r="B220" s="10" t="s">
        <v>14</v>
      </c>
      <c r="C220" s="11" t="n">
        <v>1999.543</v>
      </c>
      <c r="D220" s="10" t="s">
        <v>15</v>
      </c>
      <c r="E220" s="12" t="n">
        <v>2.5</v>
      </c>
      <c r="F220" s="12" t="n">
        <v>2.5</v>
      </c>
      <c r="G220" s="12" t="n">
        <v>0</v>
      </c>
      <c r="H220" s="9" t="n">
        <v>2</v>
      </c>
      <c r="I220" s="9" t="n">
        <v>23</v>
      </c>
      <c r="J220" s="9" t="n">
        <v>1</v>
      </c>
      <c r="K220" s="13" t="s">
        <v>13</v>
      </c>
    </row>
    <row r="221" customFormat="false" ht="15.75" hidden="false" customHeight="false" outlineLevel="0" collapsed="false">
      <c r="A221" s="9" t="n">
        <v>24</v>
      </c>
      <c r="B221" s="10" t="s">
        <v>14</v>
      </c>
      <c r="C221" s="11" t="n">
        <v>1543.731</v>
      </c>
      <c r="D221" s="10" t="s">
        <v>15</v>
      </c>
      <c r="E221" s="12" t="n">
        <v>2.5</v>
      </c>
      <c r="F221" s="12" t="n">
        <v>2.5</v>
      </c>
      <c r="G221" s="12" t="n">
        <v>0</v>
      </c>
      <c r="H221" s="9" t="n">
        <v>2</v>
      </c>
      <c r="I221" s="9" t="n">
        <v>24</v>
      </c>
      <c r="J221" s="9" t="n">
        <v>1</v>
      </c>
      <c r="K221" s="13" t="s">
        <v>13</v>
      </c>
    </row>
    <row r="222" customFormat="false" ht="15.75" hidden="false" customHeight="false" outlineLevel="0" collapsed="false">
      <c r="A222" s="9" t="n">
        <v>10</v>
      </c>
      <c r="B222" s="10" t="s">
        <v>14</v>
      </c>
      <c r="C222" s="11" t="n">
        <v>697.004</v>
      </c>
      <c r="D222" s="10" t="s">
        <v>15</v>
      </c>
      <c r="E222" s="12" t="n">
        <v>2.5</v>
      </c>
      <c r="F222" s="12" t="n">
        <v>2.5</v>
      </c>
      <c r="G222" s="12" t="n">
        <v>0</v>
      </c>
      <c r="H222" s="9" t="n">
        <v>2</v>
      </c>
      <c r="I222" s="9" t="n">
        <v>64</v>
      </c>
      <c r="J222" s="9" t="n">
        <v>1</v>
      </c>
      <c r="K222" s="13" t="s">
        <v>13</v>
      </c>
    </row>
    <row r="223" customFormat="false" ht="15.75" hidden="false" customHeight="false" outlineLevel="0" collapsed="false">
      <c r="A223" s="9" t="n">
        <v>12</v>
      </c>
      <c r="B223" s="10" t="s">
        <v>14</v>
      </c>
      <c r="C223" s="11" t="n">
        <v>319.375</v>
      </c>
      <c r="D223" s="10" t="s">
        <v>20</v>
      </c>
      <c r="E223" s="12" t="n">
        <v>0.5</v>
      </c>
      <c r="F223" s="12" t="n">
        <v>0.5</v>
      </c>
      <c r="G223" s="12" t="n">
        <v>0</v>
      </c>
      <c r="H223" s="9" t="n">
        <v>4</v>
      </c>
      <c r="I223" s="9" t="n">
        <v>26</v>
      </c>
      <c r="J223" s="9" t="n">
        <v>1</v>
      </c>
      <c r="K223" s="13" t="s">
        <v>13</v>
      </c>
    </row>
    <row r="224" customFormat="false" ht="15.75" hidden="false" customHeight="false" outlineLevel="0" collapsed="false">
      <c r="A224" s="9" t="n">
        <v>12</v>
      </c>
      <c r="B224" s="10" t="s">
        <v>14</v>
      </c>
      <c r="C224" s="11" t="n">
        <v>613.2</v>
      </c>
      <c r="D224" s="10" t="s">
        <v>15</v>
      </c>
      <c r="E224" s="12" t="n">
        <v>2.5</v>
      </c>
      <c r="F224" s="12" t="n">
        <v>2.5</v>
      </c>
      <c r="G224" s="12" t="n">
        <v>0</v>
      </c>
      <c r="H224" s="9" t="n">
        <v>4</v>
      </c>
      <c r="I224" s="9" t="n">
        <v>23</v>
      </c>
      <c r="J224" s="9" t="n">
        <v>1</v>
      </c>
      <c r="K224" s="13" t="s">
        <v>13</v>
      </c>
    </row>
    <row r="225" customFormat="false" ht="15.75" hidden="false" customHeight="false" outlineLevel="0" collapsed="false">
      <c r="A225" s="9" t="n">
        <v>12</v>
      </c>
      <c r="B225" s="10" t="s">
        <v>14</v>
      </c>
      <c r="C225" s="11" t="n">
        <v>361.277</v>
      </c>
      <c r="D225" s="10" t="s">
        <v>15</v>
      </c>
      <c r="E225" s="12" t="n">
        <v>2.5</v>
      </c>
      <c r="F225" s="12" t="n">
        <v>2.5</v>
      </c>
      <c r="G225" s="12" t="n">
        <v>0</v>
      </c>
      <c r="H225" s="9" t="n">
        <v>4</v>
      </c>
      <c r="I225" s="9" t="n">
        <v>30</v>
      </c>
      <c r="J225" s="9" t="n">
        <v>2</v>
      </c>
      <c r="K225" s="13" t="s">
        <v>13</v>
      </c>
    </row>
    <row r="226" customFormat="false" ht="15.75" hidden="false" customHeight="false" outlineLevel="0" collapsed="false">
      <c r="A226" s="9" t="n">
        <v>24</v>
      </c>
      <c r="B226" s="10" t="s">
        <v>18</v>
      </c>
      <c r="C226" s="11" t="n">
        <v>1521.758</v>
      </c>
      <c r="D226" s="10" t="s">
        <v>15</v>
      </c>
      <c r="E226" s="12" t="n">
        <v>2.5</v>
      </c>
      <c r="F226" s="12" t="n">
        <v>2.5</v>
      </c>
      <c r="G226" s="12" t="n">
        <v>0</v>
      </c>
      <c r="H226" s="9" t="n">
        <v>4</v>
      </c>
      <c r="I226" s="9" t="n">
        <v>32</v>
      </c>
      <c r="J226" s="9" t="n">
        <v>2</v>
      </c>
      <c r="K226" s="13" t="s">
        <v>13</v>
      </c>
    </row>
    <row r="227" customFormat="false" ht="15.75" hidden="false" customHeight="false" outlineLevel="0" collapsed="false">
      <c r="A227" s="9" t="n">
        <v>15</v>
      </c>
      <c r="B227" s="10" t="s">
        <v>14</v>
      </c>
      <c r="C227" s="11" t="n">
        <v>2379.727</v>
      </c>
      <c r="D227" s="10" t="s">
        <v>15</v>
      </c>
      <c r="E227" s="12" t="n">
        <v>2.5</v>
      </c>
      <c r="F227" s="12" t="n">
        <v>2.5</v>
      </c>
      <c r="G227" s="12" t="n">
        <v>0</v>
      </c>
      <c r="H227" s="9" t="n">
        <v>3</v>
      </c>
      <c r="I227" s="9" t="n">
        <v>30</v>
      </c>
      <c r="J227" s="9" t="n">
        <v>1</v>
      </c>
      <c r="K227" s="13" t="s">
        <v>13</v>
      </c>
    </row>
    <row r="228" customFormat="false" ht="15.75" hidden="false" customHeight="false" outlineLevel="0" collapsed="false">
      <c r="A228" s="9" t="n">
        <v>36</v>
      </c>
      <c r="B228" s="10" t="s">
        <v>21</v>
      </c>
      <c r="C228" s="11" t="n">
        <v>1335.243</v>
      </c>
      <c r="D228" s="10" t="s">
        <v>15</v>
      </c>
      <c r="E228" s="12" t="n">
        <v>2.5</v>
      </c>
      <c r="F228" s="12" t="n">
        <v>2.5</v>
      </c>
      <c r="G228" s="12" t="n">
        <v>0</v>
      </c>
      <c r="H228" s="9" t="n">
        <v>4</v>
      </c>
      <c r="I228" s="9" t="n">
        <v>27</v>
      </c>
      <c r="J228" s="9" t="n">
        <v>2</v>
      </c>
      <c r="K228" s="13" t="s">
        <v>13</v>
      </c>
    </row>
    <row r="229" customFormat="false" ht="15.75" hidden="false" customHeight="false" outlineLevel="0" collapsed="false">
      <c r="A229" s="9" t="n">
        <v>48</v>
      </c>
      <c r="B229" s="10" t="s">
        <v>14</v>
      </c>
      <c r="C229" s="11" t="n">
        <v>5601.071</v>
      </c>
      <c r="D229" s="10" t="s">
        <v>17</v>
      </c>
      <c r="E229" s="12" t="n">
        <v>5.5</v>
      </c>
      <c r="F229" s="12" t="n">
        <v>5.5</v>
      </c>
      <c r="G229" s="12" t="n">
        <v>0</v>
      </c>
      <c r="H229" s="9" t="n">
        <v>1</v>
      </c>
      <c r="I229" s="9" t="n">
        <v>27</v>
      </c>
      <c r="J229" s="9" t="n">
        <v>2</v>
      </c>
      <c r="K229" s="13" t="s">
        <v>16</v>
      </c>
    </row>
    <row r="230" customFormat="false" ht="15.75" hidden="false" customHeight="false" outlineLevel="0" collapsed="false">
      <c r="A230" s="9" t="n">
        <v>12</v>
      </c>
      <c r="B230" s="10" t="s">
        <v>14</v>
      </c>
      <c r="C230" s="11" t="n">
        <v>4019.015</v>
      </c>
      <c r="D230" s="10" t="s">
        <v>12</v>
      </c>
      <c r="E230" s="12" t="n">
        <v>8</v>
      </c>
      <c r="F230" s="12" t="n">
        <v>8</v>
      </c>
      <c r="G230" s="12" t="n">
        <v>0</v>
      </c>
      <c r="H230" s="9" t="n">
        <v>4</v>
      </c>
      <c r="I230" s="9" t="n">
        <v>53</v>
      </c>
      <c r="J230" s="9" t="n">
        <v>1</v>
      </c>
      <c r="K230" s="13" t="s">
        <v>16</v>
      </c>
    </row>
    <row r="231" customFormat="false" ht="15.75" hidden="false" customHeight="false" outlineLevel="0" collapsed="false">
      <c r="A231" s="9" t="n">
        <v>9</v>
      </c>
      <c r="B231" s="10" t="s">
        <v>14</v>
      </c>
      <c r="C231" s="11" t="n">
        <v>755.258</v>
      </c>
      <c r="D231" s="10" t="s">
        <v>17</v>
      </c>
      <c r="E231" s="12" t="n">
        <v>5.5</v>
      </c>
      <c r="F231" s="12" t="n">
        <v>4</v>
      </c>
      <c r="G231" s="12" t="n">
        <v>1</v>
      </c>
      <c r="H231" s="9" t="n">
        <v>4</v>
      </c>
      <c r="I231" s="9" t="n">
        <v>22</v>
      </c>
      <c r="J231" s="9" t="n">
        <v>1</v>
      </c>
      <c r="K231" s="13" t="s">
        <v>16</v>
      </c>
    </row>
    <row r="232" customFormat="false" ht="15.75" hidden="false" customHeight="false" outlineLevel="0" collapsed="false">
      <c r="A232" s="9" t="n">
        <v>24</v>
      </c>
      <c r="B232" s="10" t="s">
        <v>14</v>
      </c>
      <c r="C232" s="11" t="n">
        <v>1609.139</v>
      </c>
      <c r="D232" s="10" t="s">
        <v>20</v>
      </c>
      <c r="E232" s="12" t="n">
        <v>0.5</v>
      </c>
      <c r="F232" s="12" t="n">
        <v>0.5</v>
      </c>
      <c r="G232" s="12" t="n">
        <v>0</v>
      </c>
      <c r="H232" s="9" t="n">
        <v>4</v>
      </c>
      <c r="I232" s="9" t="n">
        <v>22</v>
      </c>
      <c r="J232" s="9" t="n">
        <v>1</v>
      </c>
      <c r="K232" s="13" t="s">
        <v>13</v>
      </c>
    </row>
    <row r="233" customFormat="false" ht="15.75" hidden="false" customHeight="false" outlineLevel="0" collapsed="false">
      <c r="A233" s="9" t="n">
        <v>36</v>
      </c>
      <c r="B233" s="10" t="s">
        <v>14</v>
      </c>
      <c r="C233" s="11" t="n">
        <v>2151.31</v>
      </c>
      <c r="D233" s="10" t="s">
        <v>15</v>
      </c>
      <c r="E233" s="12" t="n">
        <v>2.5</v>
      </c>
      <c r="F233" s="12" t="n">
        <v>2.5</v>
      </c>
      <c r="G233" s="12" t="n">
        <v>0</v>
      </c>
      <c r="H233" s="9" t="n">
        <v>4</v>
      </c>
      <c r="I233" s="9" t="n">
        <v>26</v>
      </c>
      <c r="J233" s="9" t="n">
        <v>1</v>
      </c>
      <c r="K233" s="13" t="s">
        <v>16</v>
      </c>
    </row>
    <row r="234" customFormat="false" ht="15.75" hidden="false" customHeight="false" outlineLevel="0" collapsed="false">
      <c r="A234" s="9" t="n">
        <v>9</v>
      </c>
      <c r="B234" s="10" t="s">
        <v>14</v>
      </c>
      <c r="C234" s="11" t="n">
        <v>1281.077</v>
      </c>
      <c r="D234" s="10" t="s">
        <v>12</v>
      </c>
      <c r="E234" s="12" t="n">
        <v>8</v>
      </c>
      <c r="F234" s="12" t="n">
        <v>8</v>
      </c>
      <c r="G234" s="12" t="n">
        <v>0</v>
      </c>
      <c r="H234" s="9" t="n">
        <v>2</v>
      </c>
      <c r="I234" s="9" t="n">
        <v>51</v>
      </c>
      <c r="J234" s="9" t="n">
        <v>1</v>
      </c>
      <c r="K234" s="13" t="s">
        <v>13</v>
      </c>
    </row>
    <row r="235" customFormat="false" ht="15.75" hidden="false" customHeight="false" outlineLevel="0" collapsed="false">
      <c r="A235" s="9" t="n">
        <v>12</v>
      </c>
      <c r="B235" s="10" t="s">
        <v>14</v>
      </c>
      <c r="C235" s="11" t="n">
        <v>1094.051</v>
      </c>
      <c r="D235" s="10" t="s">
        <v>17</v>
      </c>
      <c r="E235" s="12" t="n">
        <v>5.5</v>
      </c>
      <c r="F235" s="12" t="n">
        <v>5.5</v>
      </c>
      <c r="G235" s="12" t="n">
        <v>0</v>
      </c>
      <c r="H235" s="9" t="n">
        <v>3</v>
      </c>
      <c r="I235" s="9" t="n">
        <v>35</v>
      </c>
      <c r="J235" s="9" t="n">
        <v>1</v>
      </c>
      <c r="K235" s="13" t="s">
        <v>13</v>
      </c>
    </row>
    <row r="236" customFormat="false" ht="15.75" hidden="false" customHeight="false" outlineLevel="0" collapsed="false">
      <c r="A236" s="9" t="n">
        <v>18</v>
      </c>
      <c r="B236" s="10" t="s">
        <v>14</v>
      </c>
      <c r="C236" s="11" t="n">
        <v>442.526</v>
      </c>
      <c r="D236" s="10" t="s">
        <v>15</v>
      </c>
      <c r="E236" s="12" t="n">
        <v>2.5</v>
      </c>
      <c r="F236" s="12" t="n">
        <v>2.5</v>
      </c>
      <c r="G236" s="12" t="n">
        <v>0</v>
      </c>
      <c r="H236" s="9" t="n">
        <v>4</v>
      </c>
      <c r="I236" s="9" t="n">
        <v>25</v>
      </c>
      <c r="J236" s="9" t="n">
        <v>1</v>
      </c>
      <c r="K236" s="13" t="s">
        <v>13</v>
      </c>
    </row>
    <row r="237" customFormat="false" ht="15.75" hidden="false" customHeight="false" outlineLevel="0" collapsed="false">
      <c r="A237" s="9" t="n">
        <v>4</v>
      </c>
      <c r="B237" s="10" t="s">
        <v>11</v>
      </c>
      <c r="C237" s="11" t="n">
        <v>788.984</v>
      </c>
      <c r="D237" s="10" t="s">
        <v>17</v>
      </c>
      <c r="E237" s="12" t="n">
        <v>5.5</v>
      </c>
      <c r="F237" s="12" t="n">
        <v>5.5</v>
      </c>
      <c r="G237" s="12" t="n">
        <v>0</v>
      </c>
      <c r="H237" s="9" t="n">
        <v>2</v>
      </c>
      <c r="I237" s="9" t="n">
        <v>42</v>
      </c>
      <c r="J237" s="9" t="n">
        <v>3</v>
      </c>
      <c r="K237" s="13" t="s">
        <v>13</v>
      </c>
    </row>
    <row r="238" customFormat="false" ht="15.75" hidden="false" customHeight="false" outlineLevel="0" collapsed="false">
      <c r="A238" s="9" t="n">
        <v>24</v>
      </c>
      <c r="B238" s="10" t="s">
        <v>14</v>
      </c>
      <c r="C238" s="11" t="n">
        <v>931.553</v>
      </c>
      <c r="D238" s="10" t="s">
        <v>19</v>
      </c>
      <c r="E238" s="12" t="n">
        <v>0</v>
      </c>
      <c r="F238" s="12" t="n">
        <v>0</v>
      </c>
      <c r="G238" s="12" t="n">
        <v>0</v>
      </c>
      <c r="H238" s="9" t="n">
        <v>4</v>
      </c>
      <c r="I238" s="9" t="n">
        <v>30</v>
      </c>
      <c r="J238" s="9" t="n">
        <v>1</v>
      </c>
      <c r="K238" s="13" t="s">
        <v>16</v>
      </c>
    </row>
    <row r="239" customFormat="false" ht="15.75" hidden="false" customHeight="false" outlineLevel="0" collapsed="false">
      <c r="A239" s="9" t="n">
        <v>6</v>
      </c>
      <c r="B239" s="10" t="s">
        <v>14</v>
      </c>
      <c r="C239" s="11" t="n">
        <v>7437.605</v>
      </c>
      <c r="D239" s="10" t="s">
        <v>19</v>
      </c>
      <c r="E239" s="12" t="n">
        <v>0</v>
      </c>
      <c r="F239" s="12" t="n">
        <v>0</v>
      </c>
      <c r="G239" s="12" t="n">
        <v>0</v>
      </c>
      <c r="H239" s="9" t="n">
        <v>1</v>
      </c>
      <c r="I239" s="9" t="n">
        <v>23</v>
      </c>
      <c r="J239" s="9" t="n">
        <v>1</v>
      </c>
      <c r="K239" s="13" t="s">
        <v>16</v>
      </c>
    </row>
    <row r="240" customFormat="false" ht="15.75" hidden="false" customHeight="false" outlineLevel="0" collapsed="false">
      <c r="A240" s="9" t="n">
        <v>21</v>
      </c>
      <c r="B240" s="10" t="s">
        <v>14</v>
      </c>
      <c r="C240" s="11" t="n">
        <v>1413.937</v>
      </c>
      <c r="D240" s="10" t="s">
        <v>12</v>
      </c>
      <c r="E240" s="12" t="n">
        <v>8</v>
      </c>
      <c r="F240" s="12" t="n">
        <v>8</v>
      </c>
      <c r="G240" s="12" t="n">
        <v>0</v>
      </c>
      <c r="H240" s="9" t="n">
        <v>4</v>
      </c>
      <c r="I240" s="9" t="n">
        <v>61</v>
      </c>
      <c r="J240" s="9" t="n">
        <v>2</v>
      </c>
      <c r="K240" s="13" t="s">
        <v>16</v>
      </c>
    </row>
    <row r="241" customFormat="false" ht="15.75" hidden="false" customHeight="false" outlineLevel="0" collapsed="false">
      <c r="A241" s="9" t="n">
        <v>12</v>
      </c>
      <c r="B241" s="10" t="s">
        <v>11</v>
      </c>
      <c r="C241" s="11" t="n">
        <v>659.701</v>
      </c>
      <c r="D241" s="10" t="s">
        <v>15</v>
      </c>
      <c r="E241" s="12" t="n">
        <v>2.5</v>
      </c>
      <c r="F241" s="12" t="n">
        <v>2.5</v>
      </c>
      <c r="G241" s="12" t="n">
        <v>0</v>
      </c>
      <c r="H241" s="9" t="n">
        <v>4</v>
      </c>
      <c r="I241" s="9" t="n">
        <v>35</v>
      </c>
      <c r="J241" s="9" t="n">
        <v>2</v>
      </c>
      <c r="K241" s="13" t="s">
        <v>13</v>
      </c>
    </row>
    <row r="242" customFormat="false" ht="15.75" hidden="false" customHeight="false" outlineLevel="0" collapsed="false">
      <c r="A242" s="9" t="n">
        <v>30</v>
      </c>
      <c r="B242" s="10" t="s">
        <v>14</v>
      </c>
      <c r="C242" s="11" t="n">
        <v>1288.742</v>
      </c>
      <c r="D242" s="10" t="s">
        <v>12</v>
      </c>
      <c r="E242" s="12" t="n">
        <v>8</v>
      </c>
      <c r="F242" s="12" t="n">
        <v>8</v>
      </c>
      <c r="G242" s="12" t="n">
        <v>0</v>
      </c>
      <c r="H242" s="9" t="n">
        <v>1</v>
      </c>
      <c r="I242" s="9" t="n">
        <v>39</v>
      </c>
      <c r="J242" s="9" t="n">
        <v>1</v>
      </c>
      <c r="K242" s="13" t="s">
        <v>13</v>
      </c>
    </row>
    <row r="243" customFormat="false" ht="15.75" hidden="false" customHeight="false" outlineLevel="0" collapsed="false">
      <c r="A243" s="9" t="n">
        <v>24</v>
      </c>
      <c r="B243" s="10" t="s">
        <v>14</v>
      </c>
      <c r="C243" s="11" t="n">
        <v>467.565</v>
      </c>
      <c r="D243" s="10" t="s">
        <v>12</v>
      </c>
      <c r="E243" s="12" t="n">
        <v>8</v>
      </c>
      <c r="F243" s="12" t="n">
        <v>8</v>
      </c>
      <c r="G243" s="12" t="n">
        <v>0</v>
      </c>
      <c r="H243" s="9" t="n">
        <v>4</v>
      </c>
      <c r="I243" s="9" t="n">
        <v>29</v>
      </c>
      <c r="J243" s="9" t="n">
        <v>1</v>
      </c>
      <c r="K243" s="13" t="s">
        <v>16</v>
      </c>
    </row>
    <row r="244" customFormat="false" ht="15.75" hidden="false" customHeight="false" outlineLevel="0" collapsed="false">
      <c r="A244" s="9" t="n">
        <v>6</v>
      </c>
      <c r="B244" s="10" t="s">
        <v>14</v>
      </c>
      <c r="C244" s="11" t="n">
        <v>815.045</v>
      </c>
      <c r="D244" s="10" t="s">
        <v>17</v>
      </c>
      <c r="E244" s="12" t="n">
        <v>5.5</v>
      </c>
      <c r="F244" s="12" t="n">
        <v>5.5</v>
      </c>
      <c r="G244" s="12" t="n">
        <v>0</v>
      </c>
      <c r="H244" s="9" t="n">
        <v>3</v>
      </c>
      <c r="I244" s="9" t="n">
        <v>51</v>
      </c>
      <c r="J244" s="9" t="n">
        <v>1</v>
      </c>
      <c r="K244" s="13" t="s">
        <v>13</v>
      </c>
    </row>
    <row r="245" customFormat="false" ht="15.75" hidden="false" customHeight="false" outlineLevel="0" collapsed="false">
      <c r="A245" s="9" t="n">
        <v>48</v>
      </c>
      <c r="B245" s="10" t="s">
        <v>21</v>
      </c>
      <c r="C245" s="11" t="n">
        <v>2353.155</v>
      </c>
      <c r="D245" s="10" t="s">
        <v>12</v>
      </c>
      <c r="E245" s="12" t="n">
        <v>8</v>
      </c>
      <c r="F245" s="12" t="n">
        <v>6</v>
      </c>
      <c r="G245" s="12" t="n">
        <v>1</v>
      </c>
      <c r="H245" s="9" t="n">
        <v>3</v>
      </c>
      <c r="I245" s="9" t="n">
        <v>24</v>
      </c>
      <c r="J245" s="9" t="n">
        <v>2</v>
      </c>
      <c r="K245" s="13" t="s">
        <v>16</v>
      </c>
    </row>
    <row r="246" customFormat="false" ht="15.75" hidden="false" customHeight="false" outlineLevel="0" collapsed="false">
      <c r="A246" s="9" t="n">
        <v>12</v>
      </c>
      <c r="B246" s="10" t="s">
        <v>11</v>
      </c>
      <c r="C246" s="11" t="n">
        <v>605.535</v>
      </c>
      <c r="D246" s="10" t="s">
        <v>15</v>
      </c>
      <c r="E246" s="12" t="n">
        <v>2.5</v>
      </c>
      <c r="F246" s="12" t="n">
        <v>2.5</v>
      </c>
      <c r="G246" s="12" t="n">
        <v>0</v>
      </c>
      <c r="H246" s="9" t="n">
        <v>3</v>
      </c>
      <c r="I246" s="9" t="n">
        <v>27</v>
      </c>
      <c r="J246" s="9" t="n">
        <v>2</v>
      </c>
      <c r="K246" s="13" t="s">
        <v>13</v>
      </c>
    </row>
    <row r="247" customFormat="false" ht="15.75" hidden="false" customHeight="false" outlineLevel="0" collapsed="false">
      <c r="A247" s="9" t="n">
        <v>12</v>
      </c>
      <c r="B247" s="10" t="s">
        <v>22</v>
      </c>
      <c r="C247" s="11" t="n">
        <v>1761.417</v>
      </c>
      <c r="D247" s="10" t="s">
        <v>15</v>
      </c>
      <c r="E247" s="12" t="n">
        <v>2.5</v>
      </c>
      <c r="F247" s="12" t="n">
        <v>2.5</v>
      </c>
      <c r="G247" s="12" t="n">
        <v>0</v>
      </c>
      <c r="H247" s="9" t="n">
        <v>4</v>
      </c>
      <c r="I247" s="9" t="n">
        <v>35</v>
      </c>
      <c r="J247" s="9" t="n">
        <v>1</v>
      </c>
      <c r="K247" s="13" t="s">
        <v>13</v>
      </c>
    </row>
    <row r="248" customFormat="false" ht="15.75" hidden="false" customHeight="false" outlineLevel="0" collapsed="false">
      <c r="A248" s="9" t="n">
        <v>24</v>
      </c>
      <c r="B248" s="10" t="s">
        <v>14</v>
      </c>
      <c r="C248" s="11" t="n">
        <v>642.838</v>
      </c>
      <c r="D248" s="10" t="s">
        <v>17</v>
      </c>
      <c r="E248" s="12" t="n">
        <v>5.5</v>
      </c>
      <c r="F248" s="12" t="n">
        <v>5.5</v>
      </c>
      <c r="G248" s="12" t="n">
        <v>0</v>
      </c>
      <c r="H248" s="9" t="n">
        <v>4</v>
      </c>
      <c r="I248" s="9" t="n">
        <v>25</v>
      </c>
      <c r="J248" s="9" t="n">
        <v>1</v>
      </c>
      <c r="K248" s="13" t="s">
        <v>13</v>
      </c>
    </row>
    <row r="249" customFormat="false" ht="15.75" hidden="false" customHeight="false" outlineLevel="0" collapsed="false">
      <c r="A249" s="9" t="n">
        <v>12</v>
      </c>
      <c r="B249" s="10" t="s">
        <v>11</v>
      </c>
      <c r="C249" s="11" t="n">
        <v>366.387</v>
      </c>
      <c r="D249" s="10" t="s">
        <v>12</v>
      </c>
      <c r="E249" s="12" t="n">
        <v>8</v>
      </c>
      <c r="F249" s="12" t="n">
        <v>8</v>
      </c>
      <c r="G249" s="12" t="n">
        <v>0</v>
      </c>
      <c r="H249" s="9" t="n">
        <v>4</v>
      </c>
      <c r="I249" s="9" t="n">
        <v>52</v>
      </c>
      <c r="J249" s="9" t="n">
        <v>3</v>
      </c>
      <c r="K249" s="13" t="s">
        <v>13</v>
      </c>
    </row>
    <row r="250" customFormat="false" ht="15.75" hidden="false" customHeight="false" outlineLevel="0" collapsed="false">
      <c r="A250" s="9" t="n">
        <v>6</v>
      </c>
      <c r="B250" s="10" t="s">
        <v>21</v>
      </c>
      <c r="C250" s="11" t="n">
        <v>615.244</v>
      </c>
      <c r="D250" s="10" t="s">
        <v>15</v>
      </c>
      <c r="E250" s="12" t="n">
        <v>2.5</v>
      </c>
      <c r="F250" s="12" t="n">
        <v>2.5</v>
      </c>
      <c r="G250" s="12" t="n">
        <v>0</v>
      </c>
      <c r="H250" s="9" t="n">
        <v>4</v>
      </c>
      <c r="I250" s="9" t="n">
        <v>35</v>
      </c>
      <c r="J250" s="9" t="n">
        <v>1</v>
      </c>
      <c r="K250" s="13" t="s">
        <v>13</v>
      </c>
    </row>
    <row r="251" customFormat="false" ht="15.75" hidden="false" customHeight="false" outlineLevel="0" collapsed="false">
      <c r="A251" s="9" t="n">
        <v>24</v>
      </c>
      <c r="B251" s="10" t="s">
        <v>14</v>
      </c>
      <c r="C251" s="11" t="n">
        <v>983.675</v>
      </c>
      <c r="D251" s="10" t="s">
        <v>15</v>
      </c>
      <c r="E251" s="12" t="n">
        <v>2.5</v>
      </c>
      <c r="F251" s="12" t="n">
        <v>2.5</v>
      </c>
      <c r="G251" s="12" t="n">
        <v>0</v>
      </c>
      <c r="H251" s="9" t="n">
        <v>2</v>
      </c>
      <c r="I251" s="9" t="n">
        <v>26</v>
      </c>
      <c r="J251" s="9" t="n">
        <v>1</v>
      </c>
      <c r="K251" s="13" t="s">
        <v>13</v>
      </c>
    </row>
    <row r="252" customFormat="false" ht="15.75" hidden="false" customHeight="false" outlineLevel="0" collapsed="false">
      <c r="A252" s="9" t="n">
        <v>18</v>
      </c>
      <c r="B252" s="10" t="s">
        <v>14</v>
      </c>
      <c r="C252" s="11" t="n">
        <v>221.263</v>
      </c>
      <c r="D252" s="10" t="s">
        <v>19</v>
      </c>
      <c r="E252" s="12" t="n">
        <v>0</v>
      </c>
      <c r="F252" s="12" t="n">
        <v>0</v>
      </c>
      <c r="G252" s="12" t="n">
        <v>0</v>
      </c>
      <c r="H252" s="9" t="n">
        <v>3</v>
      </c>
      <c r="I252" s="9" t="n">
        <v>22</v>
      </c>
      <c r="J252" s="9" t="n">
        <v>1</v>
      </c>
      <c r="K252" s="13" t="s">
        <v>16</v>
      </c>
    </row>
    <row r="253" customFormat="false" ht="15.75" hidden="false" customHeight="false" outlineLevel="0" collapsed="false">
      <c r="A253" s="9" t="n">
        <v>6</v>
      </c>
      <c r="B253" s="10" t="s">
        <v>11</v>
      </c>
      <c r="C253" s="11" t="n">
        <v>340.326</v>
      </c>
      <c r="D253" s="10" t="s">
        <v>17</v>
      </c>
      <c r="E253" s="12" t="n">
        <v>5.5</v>
      </c>
      <c r="F253" s="12" t="n">
        <v>5.5</v>
      </c>
      <c r="G253" s="12" t="n">
        <v>0</v>
      </c>
      <c r="H253" s="9" t="n">
        <v>3</v>
      </c>
      <c r="I253" s="9" t="n">
        <v>39</v>
      </c>
      <c r="J253" s="9" t="n">
        <v>2</v>
      </c>
      <c r="K253" s="13" t="s">
        <v>13</v>
      </c>
    </row>
    <row r="254" customFormat="false" ht="15.75" hidden="false" customHeight="false" outlineLevel="0" collapsed="false">
      <c r="A254" s="9" t="n">
        <v>12</v>
      </c>
      <c r="B254" s="10" t="s">
        <v>14</v>
      </c>
      <c r="C254" s="11" t="n">
        <v>1150.261</v>
      </c>
      <c r="D254" s="10" t="s">
        <v>15</v>
      </c>
      <c r="E254" s="12" t="n">
        <v>2.5</v>
      </c>
      <c r="F254" s="12" t="n">
        <v>2.5</v>
      </c>
      <c r="G254" s="12" t="n">
        <v>0</v>
      </c>
      <c r="H254" s="9" t="n">
        <v>1</v>
      </c>
      <c r="I254" s="9" t="n">
        <v>46</v>
      </c>
      <c r="J254" s="9" t="n">
        <v>1</v>
      </c>
      <c r="K254" s="13" t="s">
        <v>13</v>
      </c>
    </row>
    <row r="255" customFormat="false" ht="15.75" hidden="false" customHeight="false" outlineLevel="0" collapsed="false">
      <c r="A255" s="9" t="n">
        <v>30</v>
      </c>
      <c r="B255" s="10" t="s">
        <v>14</v>
      </c>
      <c r="C255" s="11" t="n">
        <v>1098.65</v>
      </c>
      <c r="D255" s="10" t="s">
        <v>15</v>
      </c>
      <c r="E255" s="12" t="n">
        <v>2.5</v>
      </c>
      <c r="F255" s="12" t="n">
        <v>2.5</v>
      </c>
      <c r="G255" s="12" t="n">
        <v>0</v>
      </c>
      <c r="H255" s="9" t="n">
        <v>4</v>
      </c>
      <c r="I255" s="9" t="n">
        <v>24</v>
      </c>
      <c r="J255" s="9" t="n">
        <v>1</v>
      </c>
      <c r="K255" s="13" t="s">
        <v>16</v>
      </c>
    </row>
    <row r="256" customFormat="false" ht="15.75" hidden="false" customHeight="false" outlineLevel="0" collapsed="false">
      <c r="A256" s="9" t="n">
        <v>24</v>
      </c>
      <c r="B256" s="10" t="s">
        <v>18</v>
      </c>
      <c r="C256" s="11" t="n">
        <v>2121.161</v>
      </c>
      <c r="D256" s="10" t="s">
        <v>15</v>
      </c>
      <c r="E256" s="12" t="n">
        <v>2.5</v>
      </c>
      <c r="F256" s="12" t="n">
        <v>2.5</v>
      </c>
      <c r="G256" s="12" t="n">
        <v>0</v>
      </c>
      <c r="H256" s="9" t="n">
        <v>2</v>
      </c>
      <c r="I256" s="9" t="n">
        <v>35</v>
      </c>
      <c r="J256" s="9" t="n">
        <v>2</v>
      </c>
      <c r="K256" s="13" t="s">
        <v>13</v>
      </c>
    </row>
    <row r="257" customFormat="false" ht="15.75" hidden="false" customHeight="false" outlineLevel="0" collapsed="false">
      <c r="A257" s="9" t="n">
        <v>9</v>
      </c>
      <c r="B257" s="10" t="s">
        <v>14</v>
      </c>
      <c r="C257" s="11" t="n">
        <v>1037.33</v>
      </c>
      <c r="D257" s="10" t="s">
        <v>17</v>
      </c>
      <c r="E257" s="12" t="n">
        <v>5.5</v>
      </c>
      <c r="F257" s="12" t="n">
        <v>5.5</v>
      </c>
      <c r="G257" s="12" t="n">
        <v>0</v>
      </c>
      <c r="H257" s="9" t="n">
        <v>2</v>
      </c>
      <c r="I257" s="9" t="n">
        <v>24</v>
      </c>
      <c r="J257" s="9" t="n">
        <v>1</v>
      </c>
      <c r="K257" s="13" t="s">
        <v>13</v>
      </c>
    </row>
    <row r="258" customFormat="false" ht="15.75" hidden="false" customHeight="false" outlineLevel="0" collapsed="false">
      <c r="A258" s="9" t="n">
        <v>60</v>
      </c>
      <c r="B258" s="10" t="s">
        <v>18</v>
      </c>
      <c r="C258" s="11" t="n">
        <v>3790.598</v>
      </c>
      <c r="D258" s="10" t="s">
        <v>15</v>
      </c>
      <c r="E258" s="12" t="n">
        <v>2.5</v>
      </c>
      <c r="F258" s="12" t="n">
        <v>2.5</v>
      </c>
      <c r="G258" s="12" t="n">
        <v>0</v>
      </c>
      <c r="H258" s="9" t="n">
        <v>1</v>
      </c>
      <c r="I258" s="9" t="n">
        <v>27</v>
      </c>
      <c r="J258" s="9" t="n">
        <v>1</v>
      </c>
      <c r="K258" s="13" t="s">
        <v>13</v>
      </c>
    </row>
    <row r="259" customFormat="false" ht="15.75" hidden="false" customHeight="false" outlineLevel="0" collapsed="false">
      <c r="A259" s="9" t="n">
        <v>24</v>
      </c>
      <c r="B259" s="10" t="s">
        <v>11</v>
      </c>
      <c r="C259" s="11" t="n">
        <v>1371.524</v>
      </c>
      <c r="D259" s="10" t="s">
        <v>15</v>
      </c>
      <c r="E259" s="12" t="n">
        <v>2.5</v>
      </c>
      <c r="F259" s="12" t="n">
        <v>2.5</v>
      </c>
      <c r="G259" s="12" t="n">
        <v>0</v>
      </c>
      <c r="H259" s="9" t="n">
        <v>4</v>
      </c>
      <c r="I259" s="9" t="n">
        <v>35</v>
      </c>
      <c r="J259" s="9" t="n">
        <v>2</v>
      </c>
      <c r="K259" s="13" t="s">
        <v>13</v>
      </c>
    </row>
    <row r="260" customFormat="false" ht="15.75" hidden="false" customHeight="false" outlineLevel="0" collapsed="false">
      <c r="A260" s="9" t="n">
        <v>12</v>
      </c>
      <c r="B260" s="10" t="s">
        <v>22</v>
      </c>
      <c r="C260" s="11" t="n">
        <v>1098.139</v>
      </c>
      <c r="D260" s="10" t="s">
        <v>15</v>
      </c>
      <c r="E260" s="12" t="n">
        <v>2.5</v>
      </c>
      <c r="F260" s="12" t="n">
        <v>2.5</v>
      </c>
      <c r="G260" s="12" t="n">
        <v>0</v>
      </c>
      <c r="H260" s="9" t="n">
        <v>4</v>
      </c>
      <c r="I260" s="9" t="n">
        <v>29</v>
      </c>
      <c r="J260" s="9" t="n">
        <v>1</v>
      </c>
      <c r="K260" s="13" t="s">
        <v>16</v>
      </c>
    </row>
    <row r="261" customFormat="false" ht="15.75" hidden="false" customHeight="false" outlineLevel="0" collapsed="false">
      <c r="A261" s="9" t="n">
        <v>15</v>
      </c>
      <c r="B261" s="10" t="s">
        <v>14</v>
      </c>
      <c r="C261" s="11" t="n">
        <v>1947.932</v>
      </c>
      <c r="D261" s="10" t="s">
        <v>20</v>
      </c>
      <c r="E261" s="12" t="n">
        <v>0.5</v>
      </c>
      <c r="F261" s="12" t="n">
        <v>0.5</v>
      </c>
      <c r="G261" s="12" t="n">
        <v>0</v>
      </c>
      <c r="H261" s="9" t="n">
        <v>1</v>
      </c>
      <c r="I261" s="9" t="n">
        <v>23</v>
      </c>
      <c r="J261" s="9" t="n">
        <v>1</v>
      </c>
      <c r="K261" s="13" t="s">
        <v>13</v>
      </c>
    </row>
    <row r="262" customFormat="false" ht="15.75" hidden="false" customHeight="false" outlineLevel="0" collapsed="false">
      <c r="A262" s="9" t="n">
        <v>11</v>
      </c>
      <c r="B262" s="10" t="s">
        <v>11</v>
      </c>
      <c r="C262" s="11" t="n">
        <v>589.694</v>
      </c>
      <c r="D262" s="10" t="s">
        <v>19</v>
      </c>
      <c r="E262" s="12" t="n">
        <v>0</v>
      </c>
      <c r="F262" s="12" t="n">
        <v>0</v>
      </c>
      <c r="G262" s="12" t="n">
        <v>0</v>
      </c>
      <c r="H262" s="9" t="n">
        <v>4</v>
      </c>
      <c r="I262" s="9" t="n">
        <v>57</v>
      </c>
      <c r="J262" s="9" t="n">
        <v>3</v>
      </c>
      <c r="K262" s="13" t="s">
        <v>13</v>
      </c>
    </row>
    <row r="263" customFormat="false" ht="15.75" hidden="false" customHeight="false" outlineLevel="0" collapsed="false">
      <c r="A263" s="9" t="n">
        <v>12</v>
      </c>
      <c r="B263" s="10" t="s">
        <v>14</v>
      </c>
      <c r="C263" s="11" t="n">
        <v>846.727</v>
      </c>
      <c r="D263" s="10" t="s">
        <v>15</v>
      </c>
      <c r="E263" s="12" t="n">
        <v>2.5</v>
      </c>
      <c r="F263" s="12" t="n">
        <v>2.5</v>
      </c>
      <c r="G263" s="12" t="n">
        <v>0</v>
      </c>
      <c r="H263" s="9" t="n">
        <v>2</v>
      </c>
      <c r="I263" s="9" t="n">
        <v>27</v>
      </c>
      <c r="J263" s="9" t="n">
        <v>1</v>
      </c>
      <c r="K263" s="13" t="s">
        <v>13</v>
      </c>
    </row>
    <row r="264" customFormat="false" ht="15.75" hidden="false" customHeight="false" outlineLevel="0" collapsed="false">
      <c r="A264" s="9" t="n">
        <v>24</v>
      </c>
      <c r="B264" s="10" t="s">
        <v>14</v>
      </c>
      <c r="C264" s="11" t="n">
        <v>819.133</v>
      </c>
      <c r="D264" s="10" t="s">
        <v>12</v>
      </c>
      <c r="E264" s="12" t="n">
        <v>8</v>
      </c>
      <c r="F264" s="12" t="n">
        <v>8</v>
      </c>
      <c r="G264" s="12" t="n">
        <v>0</v>
      </c>
      <c r="H264" s="9" t="n">
        <v>4</v>
      </c>
      <c r="I264" s="9" t="n">
        <v>55</v>
      </c>
      <c r="J264" s="9" t="n">
        <v>1</v>
      </c>
      <c r="K264" s="13" t="s">
        <v>13</v>
      </c>
    </row>
    <row r="265" customFormat="false" ht="15.75" hidden="false" customHeight="false" outlineLevel="0" collapsed="false">
      <c r="A265" s="9" t="n">
        <v>18</v>
      </c>
      <c r="B265" s="10" t="s">
        <v>11</v>
      </c>
      <c r="C265" s="11" t="n">
        <v>2709.322</v>
      </c>
      <c r="D265" s="10" t="s">
        <v>12</v>
      </c>
      <c r="E265" s="12" t="n">
        <v>8</v>
      </c>
      <c r="F265" s="12" t="n">
        <v>8</v>
      </c>
      <c r="G265" s="12" t="n">
        <v>0</v>
      </c>
      <c r="H265" s="9" t="n">
        <v>2</v>
      </c>
      <c r="I265" s="9" t="n">
        <v>36</v>
      </c>
      <c r="J265" s="9" t="n">
        <v>3</v>
      </c>
      <c r="K265" s="13" t="s">
        <v>13</v>
      </c>
    </row>
    <row r="266" customFormat="false" ht="15.75" hidden="false" customHeight="false" outlineLevel="0" collapsed="false">
      <c r="A266" s="9" t="n">
        <v>12</v>
      </c>
      <c r="B266" s="10" t="s">
        <v>11</v>
      </c>
      <c r="C266" s="11" t="n">
        <v>1404.228</v>
      </c>
      <c r="D266" s="10" t="s">
        <v>12</v>
      </c>
      <c r="E266" s="12" t="n">
        <v>8</v>
      </c>
      <c r="F266" s="12" t="n">
        <v>8</v>
      </c>
      <c r="G266" s="12" t="n">
        <v>0</v>
      </c>
      <c r="H266" s="9" t="n">
        <v>2</v>
      </c>
      <c r="I266" s="9" t="n">
        <v>57</v>
      </c>
      <c r="J266" s="9" t="n">
        <v>3</v>
      </c>
      <c r="K266" s="13" t="s">
        <v>13</v>
      </c>
    </row>
    <row r="267" customFormat="false" ht="15.75" hidden="false" customHeight="false" outlineLevel="0" collapsed="false">
      <c r="A267" s="9" t="n">
        <v>10</v>
      </c>
      <c r="B267" s="10" t="s">
        <v>11</v>
      </c>
      <c r="C267" s="11" t="n">
        <v>629.041</v>
      </c>
      <c r="D267" s="10" t="s">
        <v>12</v>
      </c>
      <c r="E267" s="12" t="n">
        <v>8</v>
      </c>
      <c r="F267" s="12" t="n">
        <v>8</v>
      </c>
      <c r="G267" s="12" t="n">
        <v>0</v>
      </c>
      <c r="H267" s="9" t="n">
        <v>3</v>
      </c>
      <c r="I267" s="9" t="n">
        <v>32</v>
      </c>
      <c r="J267" s="9" t="n">
        <v>2</v>
      </c>
      <c r="K267" s="13" t="s">
        <v>13</v>
      </c>
    </row>
    <row r="268" customFormat="false" ht="15.75" hidden="false" customHeight="false" outlineLevel="0" collapsed="false">
      <c r="A268" s="9" t="n">
        <v>15</v>
      </c>
      <c r="B268" s="10" t="s">
        <v>14</v>
      </c>
      <c r="C268" s="11" t="n">
        <v>409.822</v>
      </c>
      <c r="D268" s="10" t="s">
        <v>12</v>
      </c>
      <c r="E268" s="12" t="n">
        <v>8</v>
      </c>
      <c r="F268" s="12" t="n">
        <v>8</v>
      </c>
      <c r="G268" s="12" t="n">
        <v>0</v>
      </c>
      <c r="H268" s="9" t="n">
        <v>4</v>
      </c>
      <c r="I268" s="9" t="n">
        <v>37</v>
      </c>
      <c r="J268" s="9" t="n">
        <v>1</v>
      </c>
      <c r="K268" s="13" t="s">
        <v>16</v>
      </c>
    </row>
    <row r="269" customFormat="false" ht="15.75" hidden="false" customHeight="false" outlineLevel="0" collapsed="false">
      <c r="A269" s="9" t="n">
        <v>36</v>
      </c>
      <c r="B269" s="10" t="s">
        <v>11</v>
      </c>
      <c r="C269" s="11" t="n">
        <v>3221.344</v>
      </c>
      <c r="D269" s="10" t="s">
        <v>12</v>
      </c>
      <c r="E269" s="12" t="n">
        <v>8</v>
      </c>
      <c r="F269" s="12" t="n">
        <v>8</v>
      </c>
      <c r="G269" s="12" t="n">
        <v>0</v>
      </c>
      <c r="H269" s="9" t="n">
        <v>4</v>
      </c>
      <c r="I269" s="9" t="n">
        <v>36</v>
      </c>
      <c r="J269" s="9" t="n">
        <v>2</v>
      </c>
      <c r="K269" s="13" t="s">
        <v>13</v>
      </c>
    </row>
    <row r="270" customFormat="false" ht="15.75" hidden="false" customHeight="false" outlineLevel="0" collapsed="false">
      <c r="A270" s="9" t="n">
        <v>24</v>
      </c>
      <c r="B270" s="10" t="s">
        <v>14</v>
      </c>
      <c r="C270" s="11" t="n">
        <v>783.363</v>
      </c>
      <c r="D270" s="10" t="s">
        <v>20</v>
      </c>
      <c r="E270" s="12" t="n">
        <v>0.5</v>
      </c>
      <c r="F270" s="12" t="n">
        <v>0.5</v>
      </c>
      <c r="G270" s="12" t="n">
        <v>0</v>
      </c>
      <c r="H270" s="9" t="n">
        <v>4</v>
      </c>
      <c r="I270" s="9" t="n">
        <v>38</v>
      </c>
      <c r="J270" s="9" t="n">
        <v>1</v>
      </c>
      <c r="K270" s="13" t="s">
        <v>13</v>
      </c>
    </row>
    <row r="271" customFormat="false" ht="15.75" hidden="false" customHeight="false" outlineLevel="0" collapsed="false">
      <c r="A271" s="9" t="n">
        <v>14</v>
      </c>
      <c r="B271" s="10" t="s">
        <v>14</v>
      </c>
      <c r="C271" s="11" t="n">
        <v>4587.758</v>
      </c>
      <c r="D271" s="10" t="s">
        <v>12</v>
      </c>
      <c r="E271" s="12" t="n">
        <v>8</v>
      </c>
      <c r="F271" s="12" t="n">
        <v>8</v>
      </c>
      <c r="G271" s="12" t="n">
        <v>0</v>
      </c>
      <c r="H271" s="9" t="n">
        <v>1</v>
      </c>
      <c r="I271" s="9" t="n">
        <v>45</v>
      </c>
      <c r="J271" s="9" t="n">
        <v>1</v>
      </c>
      <c r="K271" s="13" t="s">
        <v>16</v>
      </c>
    </row>
    <row r="272" customFormat="false" ht="15.75" hidden="false" customHeight="false" outlineLevel="0" collapsed="false">
      <c r="A272" s="9" t="n">
        <v>24</v>
      </c>
      <c r="B272" s="10" t="s">
        <v>14</v>
      </c>
      <c r="C272" s="11" t="n">
        <v>510.489</v>
      </c>
      <c r="D272" s="10" t="s">
        <v>12</v>
      </c>
      <c r="E272" s="12" t="n">
        <v>8</v>
      </c>
      <c r="F272" s="12" t="n">
        <v>7</v>
      </c>
      <c r="G272" s="12" t="n">
        <v>1</v>
      </c>
      <c r="H272" s="9" t="n">
        <v>4</v>
      </c>
      <c r="I272" s="9" t="n">
        <v>25</v>
      </c>
      <c r="J272" s="9" t="n">
        <v>2</v>
      </c>
      <c r="K272" s="13" t="s">
        <v>13</v>
      </c>
    </row>
    <row r="273" customFormat="false" ht="15.75" hidden="false" customHeight="false" outlineLevel="0" collapsed="false">
      <c r="A273" s="9" t="n">
        <v>18</v>
      </c>
      <c r="B273" s="10" t="s">
        <v>14</v>
      </c>
      <c r="C273" s="11" t="n">
        <v>1360.282</v>
      </c>
      <c r="D273" s="10" t="s">
        <v>17</v>
      </c>
      <c r="E273" s="12" t="n">
        <v>5.5</v>
      </c>
      <c r="F273" s="12" t="n">
        <v>5.5</v>
      </c>
      <c r="G273" s="12" t="n">
        <v>0</v>
      </c>
      <c r="H273" s="9" t="n">
        <v>4</v>
      </c>
      <c r="I273" s="9" t="n">
        <v>32</v>
      </c>
      <c r="J273" s="9" t="n">
        <v>1</v>
      </c>
      <c r="K273" s="13" t="s">
        <v>13</v>
      </c>
    </row>
    <row r="274" customFormat="false" ht="15.75" hidden="false" customHeight="false" outlineLevel="0" collapsed="false">
      <c r="A274" s="9" t="n">
        <v>12</v>
      </c>
      <c r="B274" s="10" t="s">
        <v>11</v>
      </c>
      <c r="C274" s="11" t="n">
        <v>716.422</v>
      </c>
      <c r="D274" s="10" t="s">
        <v>17</v>
      </c>
      <c r="E274" s="12" t="n">
        <v>5.5</v>
      </c>
      <c r="F274" s="12" t="n">
        <v>5.5</v>
      </c>
      <c r="G274" s="12" t="n">
        <v>0</v>
      </c>
      <c r="H274" s="9" t="n">
        <v>3</v>
      </c>
      <c r="I274" s="9" t="n">
        <v>37</v>
      </c>
      <c r="J274" s="9" t="n">
        <v>1</v>
      </c>
      <c r="K274" s="13" t="s">
        <v>13</v>
      </c>
    </row>
    <row r="275" customFormat="false" ht="15.75" hidden="false" customHeight="false" outlineLevel="0" collapsed="false">
      <c r="A275" s="9" t="n">
        <v>48</v>
      </c>
      <c r="B275" s="10" t="s">
        <v>22</v>
      </c>
      <c r="C275" s="11" t="n">
        <v>6218.359</v>
      </c>
      <c r="D275" s="10" t="s">
        <v>19</v>
      </c>
      <c r="E275" s="12" t="n">
        <v>0</v>
      </c>
      <c r="F275" s="12" t="n">
        <v>0</v>
      </c>
      <c r="G275" s="12" t="n">
        <v>0</v>
      </c>
      <c r="H275" s="9" t="n">
        <v>4</v>
      </c>
      <c r="I275" s="9" t="n">
        <v>36</v>
      </c>
      <c r="J275" s="9" t="n">
        <v>1</v>
      </c>
      <c r="K275" s="13" t="s">
        <v>13</v>
      </c>
    </row>
    <row r="276" customFormat="false" ht="15.75" hidden="false" customHeight="false" outlineLevel="0" collapsed="false">
      <c r="A276" s="9" t="n">
        <v>48</v>
      </c>
      <c r="B276" s="10" t="s">
        <v>14</v>
      </c>
      <c r="C276" s="11" t="n">
        <v>1563.66</v>
      </c>
      <c r="D276" s="10" t="s">
        <v>17</v>
      </c>
      <c r="E276" s="12" t="n">
        <v>5.5</v>
      </c>
      <c r="F276" s="12" t="n">
        <v>5.5</v>
      </c>
      <c r="G276" s="12" t="n">
        <v>0</v>
      </c>
      <c r="H276" s="9" t="n">
        <v>4</v>
      </c>
      <c r="I276" s="9" t="n">
        <v>28</v>
      </c>
      <c r="J276" s="9" t="n">
        <v>2</v>
      </c>
      <c r="K276" s="13" t="s">
        <v>16</v>
      </c>
    </row>
    <row r="277" customFormat="false" ht="15.75" hidden="false" customHeight="false" outlineLevel="0" collapsed="false">
      <c r="A277" s="9" t="n">
        <v>30</v>
      </c>
      <c r="B277" s="10" t="s">
        <v>14</v>
      </c>
      <c r="C277" s="11" t="n">
        <v>6130.978</v>
      </c>
      <c r="D277" s="10" t="s">
        <v>20</v>
      </c>
      <c r="E277" s="12" t="n">
        <v>0.5</v>
      </c>
      <c r="F277" s="12" t="n">
        <v>0.5</v>
      </c>
      <c r="G277" s="12" t="n">
        <v>0</v>
      </c>
      <c r="H277" s="9" t="n">
        <v>1</v>
      </c>
      <c r="I277" s="9" t="n">
        <v>34</v>
      </c>
      <c r="J277" s="9" t="n">
        <v>1</v>
      </c>
      <c r="K277" s="13" t="s">
        <v>16</v>
      </c>
    </row>
    <row r="278" customFormat="false" ht="15.75" hidden="false" customHeight="false" outlineLevel="0" collapsed="false">
      <c r="A278" s="9" t="n">
        <v>9</v>
      </c>
      <c r="B278" s="10" t="s">
        <v>14</v>
      </c>
      <c r="C278" s="11" t="n">
        <v>1378.167</v>
      </c>
      <c r="D278" s="10" t="s">
        <v>15</v>
      </c>
      <c r="E278" s="12" t="n">
        <v>2.5</v>
      </c>
      <c r="F278" s="12" t="n">
        <v>2.5</v>
      </c>
      <c r="G278" s="12" t="n">
        <v>0</v>
      </c>
      <c r="H278" s="9" t="n">
        <v>1</v>
      </c>
      <c r="I278" s="9" t="n">
        <v>32</v>
      </c>
      <c r="J278" s="9" t="n">
        <v>1</v>
      </c>
      <c r="K278" s="13" t="s">
        <v>13</v>
      </c>
    </row>
    <row r="279" customFormat="false" ht="15.75" hidden="false" customHeight="false" outlineLevel="0" collapsed="false">
      <c r="A279" s="9" t="n">
        <v>18</v>
      </c>
      <c r="B279" s="10" t="s">
        <v>11</v>
      </c>
      <c r="C279" s="11" t="n">
        <v>1228.444</v>
      </c>
      <c r="D279" s="10" t="s">
        <v>15</v>
      </c>
      <c r="E279" s="12" t="n">
        <v>2.5</v>
      </c>
      <c r="F279" s="12" t="n">
        <v>2.5</v>
      </c>
      <c r="G279" s="12" t="n">
        <v>0</v>
      </c>
      <c r="H279" s="9" t="n">
        <v>2</v>
      </c>
      <c r="I279" s="9" t="n">
        <v>26</v>
      </c>
      <c r="J279" s="9" t="n">
        <v>2</v>
      </c>
      <c r="K279" s="13" t="s">
        <v>13</v>
      </c>
    </row>
    <row r="280" customFormat="false" ht="15.75" hidden="false" customHeight="false" outlineLevel="0" collapsed="false">
      <c r="A280" s="9" t="n">
        <v>12</v>
      </c>
      <c r="B280" s="10" t="s">
        <v>14</v>
      </c>
      <c r="C280" s="11" t="n">
        <v>644.882</v>
      </c>
      <c r="D280" s="10" t="s">
        <v>12</v>
      </c>
      <c r="E280" s="12" t="n">
        <v>8</v>
      </c>
      <c r="F280" s="12" t="n">
        <v>8</v>
      </c>
      <c r="G280" s="12" t="n">
        <v>0</v>
      </c>
      <c r="H280" s="9" t="n">
        <v>2</v>
      </c>
      <c r="I280" s="9" t="n">
        <v>49</v>
      </c>
      <c r="J280" s="9" t="n">
        <v>1</v>
      </c>
      <c r="K280" s="13" t="s">
        <v>13</v>
      </c>
    </row>
    <row r="281" customFormat="false" ht="15.75" hidden="false" customHeight="false" outlineLevel="0" collapsed="false">
      <c r="A281" s="9" t="n">
        <v>6</v>
      </c>
      <c r="B281" s="10" t="s">
        <v>14</v>
      </c>
      <c r="C281" s="11" t="n">
        <v>2356.221</v>
      </c>
      <c r="D281" s="10" t="s">
        <v>20</v>
      </c>
      <c r="E281" s="12" t="n">
        <v>0.5</v>
      </c>
      <c r="F281" s="12" t="n">
        <v>0.5</v>
      </c>
      <c r="G281" s="12" t="n">
        <v>0</v>
      </c>
      <c r="H281" s="9" t="n">
        <v>1</v>
      </c>
      <c r="I281" s="9" t="n">
        <v>32</v>
      </c>
      <c r="J281" s="9" t="n">
        <v>1</v>
      </c>
      <c r="K281" s="13" t="s">
        <v>16</v>
      </c>
    </row>
    <row r="282" customFormat="false" ht="15.75" hidden="false" customHeight="false" outlineLevel="0" collapsed="false">
      <c r="A282" s="9" t="n">
        <v>24</v>
      </c>
      <c r="B282" s="10" t="s">
        <v>14</v>
      </c>
      <c r="C282" s="11" t="n">
        <v>971.411</v>
      </c>
      <c r="D282" s="10" t="s">
        <v>15</v>
      </c>
      <c r="E282" s="12" t="n">
        <v>2.5</v>
      </c>
      <c r="F282" s="12" t="n">
        <v>2.5</v>
      </c>
      <c r="G282" s="12" t="n">
        <v>0</v>
      </c>
      <c r="H282" s="9" t="n">
        <v>4</v>
      </c>
      <c r="I282" s="9" t="n">
        <v>29</v>
      </c>
      <c r="J282" s="9" t="n">
        <v>1</v>
      </c>
      <c r="K282" s="13" t="s">
        <v>13</v>
      </c>
    </row>
    <row r="283" customFormat="false" ht="15.75" hidden="false" customHeight="false" outlineLevel="0" collapsed="false">
      <c r="A283" s="9" t="n">
        <v>15</v>
      </c>
      <c r="B283" s="10" t="s">
        <v>11</v>
      </c>
      <c r="C283" s="11" t="n">
        <v>1721.048</v>
      </c>
      <c r="D283" s="10" t="s">
        <v>12</v>
      </c>
      <c r="E283" s="12" t="n">
        <v>8</v>
      </c>
      <c r="F283" s="12" t="n">
        <v>5</v>
      </c>
      <c r="G283" s="12" t="n">
        <v>1</v>
      </c>
      <c r="H283" s="9" t="n">
        <v>3</v>
      </c>
      <c r="I283" s="9" t="n">
        <v>23</v>
      </c>
      <c r="J283" s="9" t="n">
        <v>2</v>
      </c>
      <c r="K283" s="13" t="s">
        <v>13</v>
      </c>
    </row>
    <row r="284" customFormat="false" ht="15.75" hidden="false" customHeight="false" outlineLevel="0" collapsed="false">
      <c r="A284" s="9" t="n">
        <v>12</v>
      </c>
      <c r="B284" s="10" t="s">
        <v>14</v>
      </c>
      <c r="C284" s="11" t="n">
        <v>804.314</v>
      </c>
      <c r="D284" s="10" t="s">
        <v>15</v>
      </c>
      <c r="E284" s="12" t="n">
        <v>2.5</v>
      </c>
      <c r="F284" s="12" t="n">
        <v>2.5</v>
      </c>
      <c r="G284" s="12" t="n">
        <v>0</v>
      </c>
      <c r="H284" s="9" t="n">
        <v>4</v>
      </c>
      <c r="I284" s="9" t="n">
        <v>50</v>
      </c>
      <c r="J284" s="9" t="n">
        <v>1</v>
      </c>
      <c r="K284" s="13" t="s">
        <v>13</v>
      </c>
    </row>
    <row r="285" customFormat="false" ht="15.75" hidden="false" customHeight="false" outlineLevel="0" collapsed="false">
      <c r="A285" s="9" t="n">
        <v>18</v>
      </c>
      <c r="B285" s="10" t="s">
        <v>22</v>
      </c>
      <c r="C285" s="11" t="n">
        <v>738.395</v>
      </c>
      <c r="D285" s="10" t="s">
        <v>17</v>
      </c>
      <c r="E285" s="12" t="n">
        <v>5.5</v>
      </c>
      <c r="F285" s="12" t="n">
        <v>5.5</v>
      </c>
      <c r="G285" s="12" t="n">
        <v>0</v>
      </c>
      <c r="H285" s="9" t="n">
        <v>4</v>
      </c>
      <c r="I285" s="9" t="n">
        <v>49</v>
      </c>
      <c r="J285" s="9" t="n">
        <v>1</v>
      </c>
      <c r="K285" s="13" t="s">
        <v>13</v>
      </c>
    </row>
    <row r="286" customFormat="false" ht="15.75" hidden="false" customHeight="false" outlineLevel="0" collapsed="false">
      <c r="A286" s="9" t="n">
        <v>15</v>
      </c>
      <c r="B286" s="10" t="s">
        <v>11</v>
      </c>
      <c r="C286" s="11" t="n">
        <v>776.72</v>
      </c>
      <c r="D286" s="10" t="s">
        <v>12</v>
      </c>
      <c r="E286" s="12" t="n">
        <v>8</v>
      </c>
      <c r="F286" s="12" t="n">
        <v>8</v>
      </c>
      <c r="G286" s="12" t="n">
        <v>0</v>
      </c>
      <c r="H286" s="9" t="n">
        <v>4</v>
      </c>
      <c r="I286" s="9" t="n">
        <v>63</v>
      </c>
      <c r="J286" s="9" t="n">
        <v>1</v>
      </c>
      <c r="K286" s="13" t="s">
        <v>13</v>
      </c>
    </row>
    <row r="287" customFormat="false" ht="15.75" hidden="false" customHeight="false" outlineLevel="0" collapsed="false">
      <c r="A287" s="9" t="n">
        <v>24</v>
      </c>
      <c r="B287" s="10" t="s">
        <v>11</v>
      </c>
      <c r="C287" s="11" t="n">
        <v>1981.658</v>
      </c>
      <c r="D287" s="10" t="s">
        <v>20</v>
      </c>
      <c r="E287" s="12" t="n">
        <v>0.5</v>
      </c>
      <c r="F287" s="12" t="n">
        <v>0.5</v>
      </c>
      <c r="G287" s="12" t="n">
        <v>0</v>
      </c>
      <c r="H287" s="9" t="n">
        <v>4</v>
      </c>
      <c r="I287" s="9" t="n">
        <v>37</v>
      </c>
      <c r="J287" s="9" t="n">
        <v>1</v>
      </c>
      <c r="K287" s="13" t="s">
        <v>13</v>
      </c>
    </row>
    <row r="288" customFormat="false" ht="15.75" hidden="false" customHeight="false" outlineLevel="0" collapsed="false">
      <c r="A288" s="9" t="n">
        <v>47</v>
      </c>
      <c r="B288" s="10" t="s">
        <v>14</v>
      </c>
      <c r="C288" s="11" t="n">
        <v>5478.942</v>
      </c>
      <c r="D288" s="10" t="s">
        <v>20</v>
      </c>
      <c r="E288" s="12" t="n">
        <v>0.5</v>
      </c>
      <c r="F288" s="12" t="n">
        <v>0.5</v>
      </c>
      <c r="G288" s="12" t="n">
        <v>0</v>
      </c>
      <c r="H288" s="9" t="n">
        <v>1</v>
      </c>
      <c r="I288" s="9" t="n">
        <v>35</v>
      </c>
      <c r="J288" s="9" t="n">
        <v>1</v>
      </c>
      <c r="K288" s="13" t="s">
        <v>13</v>
      </c>
    </row>
    <row r="289" customFormat="false" ht="15.75" hidden="false" customHeight="false" outlineLevel="0" collapsed="false">
      <c r="A289" s="9" t="n">
        <v>48</v>
      </c>
      <c r="B289" s="10" t="s">
        <v>14</v>
      </c>
      <c r="C289" s="11" t="n">
        <v>2446.668</v>
      </c>
      <c r="D289" s="10" t="s">
        <v>17</v>
      </c>
      <c r="E289" s="12" t="n">
        <v>5.5</v>
      </c>
      <c r="F289" s="12" t="n">
        <v>5.5</v>
      </c>
      <c r="G289" s="12" t="n">
        <v>0</v>
      </c>
      <c r="H289" s="9" t="n">
        <v>4</v>
      </c>
      <c r="I289" s="9" t="n">
        <v>26</v>
      </c>
      <c r="J289" s="9" t="n">
        <v>1</v>
      </c>
      <c r="K289" s="13" t="s">
        <v>13</v>
      </c>
    </row>
    <row r="290" customFormat="false" ht="15.75" hidden="false" customHeight="false" outlineLevel="0" collapsed="false">
      <c r="A290" s="9" t="n">
        <v>48</v>
      </c>
      <c r="B290" s="10" t="s">
        <v>18</v>
      </c>
      <c r="C290" s="11" t="n">
        <v>3874.402</v>
      </c>
      <c r="D290" s="10" t="s">
        <v>19</v>
      </c>
      <c r="E290" s="12" t="n">
        <v>0</v>
      </c>
      <c r="F290" s="12" t="n">
        <v>0</v>
      </c>
      <c r="G290" s="12" t="n">
        <v>0</v>
      </c>
      <c r="H290" s="9" t="n">
        <v>2</v>
      </c>
      <c r="I290" s="9" t="n">
        <v>31</v>
      </c>
      <c r="J290" s="9" t="n">
        <v>1</v>
      </c>
      <c r="K290" s="13" t="s">
        <v>13</v>
      </c>
    </row>
    <row r="291" customFormat="false" ht="15.75" hidden="false" customHeight="false" outlineLevel="0" collapsed="false">
      <c r="A291" s="9" t="n">
        <v>12</v>
      </c>
      <c r="B291" s="10" t="s">
        <v>14</v>
      </c>
      <c r="C291" s="11" t="n">
        <v>558.012</v>
      </c>
      <c r="D291" s="10" t="s">
        <v>15</v>
      </c>
      <c r="E291" s="12" t="n">
        <v>2.5</v>
      </c>
      <c r="F291" s="12" t="n">
        <v>2.5</v>
      </c>
      <c r="G291" s="12" t="n">
        <v>0</v>
      </c>
      <c r="H291" s="9" t="n">
        <v>4</v>
      </c>
      <c r="I291" s="9" t="n">
        <v>49</v>
      </c>
      <c r="J291" s="9" t="n">
        <v>2</v>
      </c>
      <c r="K291" s="13" t="s">
        <v>13</v>
      </c>
    </row>
    <row r="292" customFormat="false" ht="15.75" hidden="false" customHeight="false" outlineLevel="0" collapsed="false">
      <c r="A292" s="9" t="n">
        <v>24</v>
      </c>
      <c r="B292" s="10" t="s">
        <v>18</v>
      </c>
      <c r="C292" s="11" t="n">
        <v>523.264</v>
      </c>
      <c r="D292" s="10" t="s">
        <v>20</v>
      </c>
      <c r="E292" s="12" t="n">
        <v>0.5</v>
      </c>
      <c r="F292" s="12" t="n">
        <v>0.5</v>
      </c>
      <c r="G292" s="12" t="n">
        <v>0</v>
      </c>
      <c r="H292" s="9" t="n">
        <v>4</v>
      </c>
      <c r="I292" s="9" t="n">
        <v>48</v>
      </c>
      <c r="J292" s="9" t="n">
        <v>1</v>
      </c>
      <c r="K292" s="13" t="s">
        <v>16</v>
      </c>
    </row>
    <row r="293" customFormat="false" ht="15.75" hidden="false" customHeight="false" outlineLevel="0" collapsed="false">
      <c r="A293" s="9" t="n">
        <v>12</v>
      </c>
      <c r="B293" s="10" t="s">
        <v>14</v>
      </c>
      <c r="C293" s="11" t="n">
        <v>549.836</v>
      </c>
      <c r="D293" s="10" t="s">
        <v>15</v>
      </c>
      <c r="E293" s="12" t="n">
        <v>2.5</v>
      </c>
      <c r="F293" s="12" t="n">
        <v>2.5</v>
      </c>
      <c r="G293" s="12" t="n">
        <v>0</v>
      </c>
      <c r="H293" s="9" t="n">
        <v>2</v>
      </c>
      <c r="I293" s="9" t="n">
        <v>26</v>
      </c>
      <c r="J293" s="9" t="n">
        <v>1</v>
      </c>
      <c r="K293" s="13" t="s">
        <v>13</v>
      </c>
    </row>
    <row r="294" customFormat="false" ht="15.75" hidden="false" customHeight="false" outlineLevel="0" collapsed="false">
      <c r="A294" s="9" t="n">
        <v>36</v>
      </c>
      <c r="B294" s="10" t="s">
        <v>14</v>
      </c>
      <c r="C294" s="11" t="n">
        <v>4802.378</v>
      </c>
      <c r="D294" s="10" t="s">
        <v>20</v>
      </c>
      <c r="E294" s="12" t="n">
        <v>0.5</v>
      </c>
      <c r="F294" s="12" t="n">
        <v>0.5</v>
      </c>
      <c r="G294" s="12" t="n">
        <v>0</v>
      </c>
      <c r="H294" s="9" t="n">
        <v>1</v>
      </c>
      <c r="I294" s="9" t="n">
        <v>28</v>
      </c>
      <c r="J294" s="9" t="n">
        <v>1</v>
      </c>
      <c r="K294" s="13" t="s">
        <v>16</v>
      </c>
    </row>
    <row r="295" customFormat="false" ht="15.75" hidden="false" customHeight="false" outlineLevel="0" collapsed="false">
      <c r="A295" s="9" t="n">
        <v>24</v>
      </c>
      <c r="B295" s="10" t="s">
        <v>11</v>
      </c>
      <c r="C295" s="11" t="n">
        <v>3280.109</v>
      </c>
      <c r="D295" s="10" t="s">
        <v>12</v>
      </c>
      <c r="E295" s="12" t="n">
        <v>8</v>
      </c>
      <c r="F295" s="12" t="n">
        <v>8</v>
      </c>
      <c r="G295" s="12" t="n">
        <v>0</v>
      </c>
      <c r="H295" s="9" t="n">
        <v>2</v>
      </c>
      <c r="I295" s="9" t="n">
        <v>44</v>
      </c>
      <c r="J295" s="9" t="n">
        <v>2</v>
      </c>
      <c r="K295" s="13" t="s">
        <v>13</v>
      </c>
    </row>
    <row r="296" customFormat="false" ht="15.75" hidden="false" customHeight="false" outlineLevel="0" collapsed="false">
      <c r="A296" s="9" t="n">
        <v>42</v>
      </c>
      <c r="B296" s="10" t="s">
        <v>11</v>
      </c>
      <c r="C296" s="11" t="n">
        <v>2450.756</v>
      </c>
      <c r="D296" s="10" t="s">
        <v>12</v>
      </c>
      <c r="E296" s="12" t="n">
        <v>8</v>
      </c>
      <c r="F296" s="12" t="n">
        <v>8</v>
      </c>
      <c r="G296" s="12" t="n">
        <v>0</v>
      </c>
      <c r="H296" s="9" t="n">
        <v>4</v>
      </c>
      <c r="I296" s="9" t="n">
        <v>56</v>
      </c>
      <c r="J296" s="9" t="n">
        <v>1</v>
      </c>
      <c r="K296" s="13" t="s">
        <v>13</v>
      </c>
    </row>
    <row r="297" customFormat="false" ht="15.75" hidden="false" customHeight="false" outlineLevel="0" collapsed="false">
      <c r="A297" s="9" t="n">
        <v>48</v>
      </c>
      <c r="B297" s="10" t="s">
        <v>11</v>
      </c>
      <c r="C297" s="11" t="n">
        <v>3898.419</v>
      </c>
      <c r="D297" s="10" t="s">
        <v>12</v>
      </c>
      <c r="E297" s="12" t="n">
        <v>8</v>
      </c>
      <c r="F297" s="12" t="n">
        <v>8</v>
      </c>
      <c r="G297" s="12" t="n">
        <v>0</v>
      </c>
      <c r="H297" s="9" t="n">
        <v>4</v>
      </c>
      <c r="I297" s="9" t="n">
        <v>46</v>
      </c>
      <c r="J297" s="9" t="n">
        <v>2</v>
      </c>
      <c r="K297" s="13" t="s">
        <v>13</v>
      </c>
    </row>
    <row r="298" customFormat="false" ht="15.75" hidden="false" customHeight="false" outlineLevel="0" collapsed="false">
      <c r="A298" s="9" t="n">
        <v>48</v>
      </c>
      <c r="B298" s="10" t="s">
        <v>14</v>
      </c>
      <c r="C298" s="11" t="n">
        <v>5089.56</v>
      </c>
      <c r="D298" s="10" t="s">
        <v>20</v>
      </c>
      <c r="E298" s="12" t="n">
        <v>0.5</v>
      </c>
      <c r="F298" s="12" t="n">
        <v>0.5</v>
      </c>
      <c r="G298" s="12" t="n">
        <v>0</v>
      </c>
      <c r="H298" s="9" t="n">
        <v>1</v>
      </c>
      <c r="I298" s="9" t="n">
        <v>26</v>
      </c>
      <c r="J298" s="9" t="n">
        <v>1</v>
      </c>
      <c r="K298" s="13" t="s">
        <v>16</v>
      </c>
    </row>
    <row r="299" customFormat="false" ht="15.75" hidden="false" customHeight="false" outlineLevel="0" collapsed="false">
      <c r="A299" s="9" t="n">
        <v>12</v>
      </c>
      <c r="B299" s="10" t="s">
        <v>14</v>
      </c>
      <c r="C299" s="11" t="n">
        <v>2388.925</v>
      </c>
      <c r="D299" s="10" t="s">
        <v>20</v>
      </c>
      <c r="E299" s="12" t="n">
        <v>0.5</v>
      </c>
      <c r="F299" s="12" t="n">
        <v>0.5</v>
      </c>
      <c r="G299" s="12" t="n">
        <v>0</v>
      </c>
      <c r="H299" s="9" t="n">
        <v>1</v>
      </c>
      <c r="I299" s="9" t="n">
        <v>20</v>
      </c>
      <c r="J299" s="9" t="n">
        <v>1</v>
      </c>
      <c r="K299" s="13" t="s">
        <v>13</v>
      </c>
    </row>
    <row r="300" customFormat="false" ht="15.75" hidden="false" customHeight="false" outlineLevel="0" collapsed="false">
      <c r="A300" s="9" t="n">
        <v>10</v>
      </c>
      <c r="B300" s="10" t="s">
        <v>14</v>
      </c>
      <c r="C300" s="11" t="n">
        <v>657.657</v>
      </c>
      <c r="D300" s="10" t="s">
        <v>12</v>
      </c>
      <c r="E300" s="12" t="n">
        <v>8</v>
      </c>
      <c r="F300" s="12" t="n">
        <v>8</v>
      </c>
      <c r="G300" s="12" t="n">
        <v>0</v>
      </c>
      <c r="H300" s="9" t="n">
        <v>4</v>
      </c>
      <c r="I300" s="9" t="n">
        <v>45</v>
      </c>
      <c r="J300" s="9" t="n">
        <v>1</v>
      </c>
      <c r="K300" s="13" t="s">
        <v>13</v>
      </c>
    </row>
    <row r="301" customFormat="false" ht="15.75" hidden="false" customHeight="false" outlineLevel="0" collapsed="false">
      <c r="A301" s="9" t="n">
        <v>18</v>
      </c>
      <c r="B301" s="10" t="s">
        <v>14</v>
      </c>
      <c r="C301" s="11" t="n">
        <v>1285.165</v>
      </c>
      <c r="D301" s="10" t="s">
        <v>15</v>
      </c>
      <c r="E301" s="12" t="n">
        <v>2.5</v>
      </c>
      <c r="F301" s="12" t="n">
        <v>2.5</v>
      </c>
      <c r="G301" s="12" t="n">
        <v>0</v>
      </c>
      <c r="H301" s="9" t="n">
        <v>3</v>
      </c>
      <c r="I301" s="9" t="n">
        <v>43</v>
      </c>
      <c r="J301" s="9" t="n">
        <v>1</v>
      </c>
      <c r="K301" s="13" t="s">
        <v>13</v>
      </c>
    </row>
    <row r="302" customFormat="false" ht="15.75" hidden="false" customHeight="false" outlineLevel="0" collapsed="false">
      <c r="A302" s="9" t="n">
        <v>21</v>
      </c>
      <c r="B302" s="10" t="s">
        <v>11</v>
      </c>
      <c r="C302" s="11" t="n">
        <v>1402.695</v>
      </c>
      <c r="D302" s="10" t="s">
        <v>17</v>
      </c>
      <c r="E302" s="12" t="n">
        <v>5.5</v>
      </c>
      <c r="F302" s="12" t="n">
        <v>5.5</v>
      </c>
      <c r="G302" s="12" t="n">
        <v>0</v>
      </c>
      <c r="H302" s="9" t="n">
        <v>3</v>
      </c>
      <c r="I302" s="9" t="n">
        <v>32</v>
      </c>
      <c r="J302" s="9" t="n">
        <v>2</v>
      </c>
      <c r="K302" s="13" t="s">
        <v>13</v>
      </c>
    </row>
    <row r="303" customFormat="false" ht="15.75" hidden="false" customHeight="false" outlineLevel="0" collapsed="false">
      <c r="A303" s="9" t="n">
        <v>6</v>
      </c>
      <c r="B303" s="10" t="s">
        <v>14</v>
      </c>
      <c r="C303" s="11" t="n">
        <v>343.392</v>
      </c>
      <c r="D303" s="10" t="s">
        <v>19</v>
      </c>
      <c r="E303" s="12" t="n">
        <v>0</v>
      </c>
      <c r="F303" s="12" t="n">
        <v>0</v>
      </c>
      <c r="G303" s="12" t="n">
        <v>0</v>
      </c>
      <c r="H303" s="9" t="n">
        <v>1</v>
      </c>
      <c r="I303" s="9" t="n">
        <v>54</v>
      </c>
      <c r="J303" s="9" t="n">
        <v>1</v>
      </c>
      <c r="K303" s="13" t="s">
        <v>13</v>
      </c>
    </row>
    <row r="304" customFormat="false" ht="15.75" hidden="false" customHeight="false" outlineLevel="0" collapsed="false">
      <c r="A304" s="9" t="n">
        <v>36</v>
      </c>
      <c r="B304" s="10" t="s">
        <v>21</v>
      </c>
      <c r="C304" s="11" t="n">
        <v>1943.844</v>
      </c>
      <c r="D304" s="10" t="s">
        <v>15</v>
      </c>
      <c r="E304" s="12" t="n">
        <v>2.5</v>
      </c>
      <c r="F304" s="12" t="n">
        <v>2.5</v>
      </c>
      <c r="G304" s="12" t="n">
        <v>0</v>
      </c>
      <c r="H304" s="9" t="n">
        <v>4</v>
      </c>
      <c r="I304" s="9" t="n">
        <v>42</v>
      </c>
      <c r="J304" s="9" t="n">
        <v>1</v>
      </c>
      <c r="K304" s="13" t="s">
        <v>16</v>
      </c>
    </row>
    <row r="305" customFormat="false" ht="15.75" hidden="false" customHeight="false" outlineLevel="0" collapsed="false">
      <c r="A305" s="9" t="n">
        <v>24</v>
      </c>
      <c r="B305" s="10" t="s">
        <v>11</v>
      </c>
      <c r="C305" s="11" t="n">
        <v>686.784</v>
      </c>
      <c r="D305" s="10" t="s">
        <v>17</v>
      </c>
      <c r="E305" s="12" t="n">
        <v>5.5</v>
      </c>
      <c r="F305" s="12" t="n">
        <v>5.5</v>
      </c>
      <c r="G305" s="12" t="n">
        <v>0</v>
      </c>
      <c r="H305" s="9" t="n">
        <v>4</v>
      </c>
      <c r="I305" s="9" t="n">
        <v>37</v>
      </c>
      <c r="J305" s="9" t="n">
        <v>2</v>
      </c>
      <c r="K305" s="13" t="s">
        <v>16</v>
      </c>
    </row>
    <row r="306" customFormat="false" ht="15.75" hidden="false" customHeight="false" outlineLevel="0" collapsed="false">
      <c r="A306" s="9" t="n">
        <v>10</v>
      </c>
      <c r="B306" s="10" t="s">
        <v>11</v>
      </c>
      <c r="C306" s="11" t="n">
        <v>530.418</v>
      </c>
      <c r="D306" s="10" t="s">
        <v>17</v>
      </c>
      <c r="E306" s="12" t="n">
        <v>5.5</v>
      </c>
      <c r="F306" s="12" t="n">
        <v>5.5</v>
      </c>
      <c r="G306" s="12" t="n">
        <v>0</v>
      </c>
      <c r="H306" s="9" t="n">
        <v>4</v>
      </c>
      <c r="I306" s="9" t="n">
        <v>49</v>
      </c>
      <c r="J306" s="9" t="n">
        <v>2</v>
      </c>
      <c r="K306" s="13" t="s">
        <v>13</v>
      </c>
    </row>
    <row r="307" customFormat="false" ht="15.75" hidden="false" customHeight="false" outlineLevel="0" collapsed="false">
      <c r="A307" s="9" t="n">
        <v>48</v>
      </c>
      <c r="B307" s="10" t="s">
        <v>11</v>
      </c>
      <c r="C307" s="11" t="n">
        <v>5174.897</v>
      </c>
      <c r="D307" s="10" t="s">
        <v>15</v>
      </c>
      <c r="E307" s="12" t="n">
        <v>2.5</v>
      </c>
      <c r="F307" s="12" t="n">
        <v>2.5</v>
      </c>
      <c r="G307" s="12" t="n">
        <v>0</v>
      </c>
      <c r="H307" s="9" t="n">
        <v>2</v>
      </c>
      <c r="I307" s="9" t="n">
        <v>44</v>
      </c>
      <c r="J307" s="9" t="n">
        <v>1</v>
      </c>
      <c r="K307" s="13" t="s">
        <v>16</v>
      </c>
    </row>
    <row r="308" customFormat="false" ht="15.75" hidden="false" customHeight="false" outlineLevel="0" collapsed="false">
      <c r="A308" s="9" t="n">
        <v>6</v>
      </c>
      <c r="B308" s="10" t="s">
        <v>14</v>
      </c>
      <c r="C308" s="11" t="n">
        <v>788.473</v>
      </c>
      <c r="D308" s="10" t="s">
        <v>15</v>
      </c>
      <c r="E308" s="12" t="n">
        <v>2.5</v>
      </c>
      <c r="F308" s="12" t="n">
        <v>2.5</v>
      </c>
      <c r="G308" s="12" t="n">
        <v>0</v>
      </c>
      <c r="H308" s="9" t="n">
        <v>4</v>
      </c>
      <c r="I308" s="9" t="n">
        <v>33</v>
      </c>
      <c r="J308" s="9" t="n">
        <v>1</v>
      </c>
      <c r="K308" s="13" t="s">
        <v>13</v>
      </c>
    </row>
    <row r="309" customFormat="false" ht="15.75" hidden="false" customHeight="false" outlineLevel="0" collapsed="false">
      <c r="A309" s="9" t="n">
        <v>30</v>
      </c>
      <c r="B309" s="10" t="s">
        <v>14</v>
      </c>
      <c r="C309" s="11" t="n">
        <v>2458.421</v>
      </c>
      <c r="D309" s="10" t="s">
        <v>17</v>
      </c>
      <c r="E309" s="12" t="n">
        <v>5.5</v>
      </c>
      <c r="F309" s="12" t="n">
        <v>5.5</v>
      </c>
      <c r="G309" s="12" t="n">
        <v>0</v>
      </c>
      <c r="H309" s="9" t="n">
        <v>2</v>
      </c>
      <c r="I309" s="9" t="n">
        <v>24</v>
      </c>
      <c r="J309" s="9" t="n">
        <v>1</v>
      </c>
      <c r="K309" s="13" t="s">
        <v>13</v>
      </c>
    </row>
    <row r="310" customFormat="false" ht="15.75" hidden="false" customHeight="false" outlineLevel="0" collapsed="false">
      <c r="A310" s="9" t="n">
        <v>12</v>
      </c>
      <c r="B310" s="10" t="s">
        <v>14</v>
      </c>
      <c r="C310" s="11" t="n">
        <v>371.497</v>
      </c>
      <c r="D310" s="10" t="s">
        <v>20</v>
      </c>
      <c r="E310" s="12" t="n">
        <v>0.5</v>
      </c>
      <c r="F310" s="12" t="n">
        <v>0.5</v>
      </c>
      <c r="G310" s="12" t="n">
        <v>0</v>
      </c>
      <c r="H310" s="9" t="n">
        <v>4</v>
      </c>
      <c r="I310" s="9" t="n">
        <v>33</v>
      </c>
      <c r="J310" s="9" t="n">
        <v>1</v>
      </c>
      <c r="K310" s="13" t="s">
        <v>16</v>
      </c>
    </row>
    <row r="311" customFormat="false" ht="15.75" hidden="false" customHeight="false" outlineLevel="0" collapsed="false">
      <c r="A311" s="9" t="n">
        <v>8</v>
      </c>
      <c r="B311" s="10" t="s">
        <v>14</v>
      </c>
      <c r="C311" s="11" t="n">
        <v>632.107</v>
      </c>
      <c r="D311" s="10" t="s">
        <v>15</v>
      </c>
      <c r="E311" s="12" t="n">
        <v>2.5</v>
      </c>
      <c r="F311" s="12" t="n">
        <v>2.5</v>
      </c>
      <c r="G311" s="12" t="n">
        <v>0</v>
      </c>
      <c r="H311" s="9" t="n">
        <v>3</v>
      </c>
      <c r="I311" s="9" t="n">
        <v>24</v>
      </c>
      <c r="J311" s="9" t="n">
        <v>1</v>
      </c>
      <c r="K311" s="13" t="s">
        <v>16</v>
      </c>
    </row>
    <row r="312" customFormat="false" ht="15.75" hidden="false" customHeight="false" outlineLevel="0" collapsed="false">
      <c r="A312" s="9" t="n">
        <v>9</v>
      </c>
      <c r="B312" s="10" t="s">
        <v>14</v>
      </c>
      <c r="C312" s="11" t="n">
        <v>141.036</v>
      </c>
      <c r="D312" s="10" t="s">
        <v>15</v>
      </c>
      <c r="E312" s="12" t="n">
        <v>2.5</v>
      </c>
      <c r="F312" s="12" t="n">
        <v>2.5</v>
      </c>
      <c r="G312" s="12" t="n">
        <v>0</v>
      </c>
      <c r="H312" s="9" t="n">
        <v>4</v>
      </c>
      <c r="I312" s="9" t="n">
        <v>22</v>
      </c>
      <c r="J312" s="9" t="n">
        <v>1</v>
      </c>
      <c r="K312" s="13" t="s">
        <v>13</v>
      </c>
    </row>
    <row r="313" customFormat="false" ht="15.75" hidden="false" customHeight="false" outlineLevel="0" collapsed="false">
      <c r="A313" s="9" t="n">
        <v>48</v>
      </c>
      <c r="B313" s="10" t="s">
        <v>14</v>
      </c>
      <c r="C313" s="11" t="n">
        <v>2749.691</v>
      </c>
      <c r="D313" s="10" t="s">
        <v>19</v>
      </c>
      <c r="E313" s="12" t="n">
        <v>0</v>
      </c>
      <c r="F313" s="12" t="n">
        <v>0</v>
      </c>
      <c r="G313" s="12" t="n">
        <v>0</v>
      </c>
      <c r="H313" s="9" t="n">
        <v>3</v>
      </c>
      <c r="I313" s="9" t="n">
        <v>40</v>
      </c>
      <c r="J313" s="9" t="n">
        <v>1</v>
      </c>
      <c r="K313" s="13" t="s">
        <v>13</v>
      </c>
    </row>
    <row r="314" customFormat="false" ht="15.75" hidden="false" customHeight="false" outlineLevel="0" collapsed="false">
      <c r="A314" s="9" t="n">
        <v>24</v>
      </c>
      <c r="B314" s="10" t="s">
        <v>14</v>
      </c>
      <c r="C314" s="11" t="n">
        <v>2816.121</v>
      </c>
      <c r="D314" s="10" t="s">
        <v>15</v>
      </c>
      <c r="E314" s="12" t="n">
        <v>2.5</v>
      </c>
      <c r="F314" s="12" t="n">
        <v>2.5</v>
      </c>
      <c r="G314" s="12" t="n">
        <v>0</v>
      </c>
      <c r="H314" s="9" t="n">
        <v>4</v>
      </c>
      <c r="I314" s="9" t="n">
        <v>25</v>
      </c>
      <c r="J314" s="9" t="n">
        <v>1</v>
      </c>
      <c r="K314" s="13" t="s">
        <v>13</v>
      </c>
    </row>
    <row r="315" customFormat="false" ht="15.75" hidden="false" customHeight="false" outlineLevel="0" collapsed="false">
      <c r="A315" s="9" t="n">
        <v>24</v>
      </c>
      <c r="B315" s="10" t="s">
        <v>14</v>
      </c>
      <c r="C315" s="11" t="n">
        <v>1915.739</v>
      </c>
      <c r="D315" s="10" t="s">
        <v>20</v>
      </c>
      <c r="E315" s="12" t="n">
        <v>0.5</v>
      </c>
      <c r="F315" s="12" t="n">
        <v>0.5</v>
      </c>
      <c r="G315" s="12" t="n">
        <v>0</v>
      </c>
      <c r="H315" s="9" t="n">
        <v>2</v>
      </c>
      <c r="I315" s="9" t="n">
        <v>26</v>
      </c>
      <c r="J315" s="9" t="n">
        <v>1</v>
      </c>
      <c r="K315" s="13" t="s">
        <v>13</v>
      </c>
    </row>
    <row r="316" customFormat="false" ht="15.75" hidden="false" customHeight="false" outlineLevel="0" collapsed="false">
      <c r="A316" s="9" t="n">
        <v>12</v>
      </c>
      <c r="B316" s="10" t="s">
        <v>14</v>
      </c>
      <c r="C316" s="11" t="n">
        <v>350.035</v>
      </c>
      <c r="D316" s="10" t="s">
        <v>17</v>
      </c>
      <c r="E316" s="12" t="n">
        <v>5.5</v>
      </c>
      <c r="F316" s="12" t="n">
        <v>5.5</v>
      </c>
      <c r="G316" s="12" t="n">
        <v>0</v>
      </c>
      <c r="H316" s="9" t="n">
        <v>2</v>
      </c>
      <c r="I316" s="9" t="n">
        <v>25</v>
      </c>
      <c r="J316" s="9" t="n">
        <v>1</v>
      </c>
      <c r="K316" s="13" t="s">
        <v>16</v>
      </c>
    </row>
    <row r="317" customFormat="false" ht="15.75" hidden="false" customHeight="false" outlineLevel="0" collapsed="false">
      <c r="A317" s="9" t="n">
        <v>4</v>
      </c>
      <c r="B317" s="10" t="s">
        <v>14</v>
      </c>
      <c r="C317" s="11" t="n">
        <v>763.434</v>
      </c>
      <c r="D317" s="10" t="s">
        <v>20</v>
      </c>
      <c r="E317" s="12" t="n">
        <v>0.5</v>
      </c>
      <c r="F317" s="12" t="n">
        <v>0.5</v>
      </c>
      <c r="G317" s="12" t="n">
        <v>0</v>
      </c>
      <c r="H317" s="9" t="n">
        <v>1</v>
      </c>
      <c r="I317" s="9" t="n">
        <v>29</v>
      </c>
      <c r="J317" s="9" t="n">
        <v>1</v>
      </c>
      <c r="K317" s="13" t="s">
        <v>13</v>
      </c>
    </row>
    <row r="318" customFormat="false" ht="15.75" hidden="false" customHeight="false" outlineLevel="0" collapsed="false">
      <c r="A318" s="9" t="n">
        <v>36</v>
      </c>
      <c r="B318" s="10" t="s">
        <v>22</v>
      </c>
      <c r="C318" s="11" t="n">
        <v>1403.206</v>
      </c>
      <c r="D318" s="10" t="s">
        <v>12</v>
      </c>
      <c r="E318" s="12" t="n">
        <v>8</v>
      </c>
      <c r="F318" s="12" t="n">
        <v>8</v>
      </c>
      <c r="G318" s="12" t="n">
        <v>0</v>
      </c>
      <c r="H318" s="9" t="n">
        <v>4</v>
      </c>
      <c r="I318" s="9" t="n">
        <v>31</v>
      </c>
      <c r="J318" s="9" t="n">
        <v>1</v>
      </c>
      <c r="K318" s="13" t="s">
        <v>16</v>
      </c>
    </row>
    <row r="319" customFormat="false" ht="15.75" hidden="false" customHeight="false" outlineLevel="0" collapsed="false">
      <c r="A319" s="9" t="n">
        <v>12</v>
      </c>
      <c r="B319" s="10" t="s">
        <v>14</v>
      </c>
      <c r="C319" s="11" t="n">
        <v>361.788</v>
      </c>
      <c r="D319" s="10" t="s">
        <v>15</v>
      </c>
      <c r="E319" s="12" t="n">
        <v>2.5</v>
      </c>
      <c r="F319" s="12" t="n">
        <v>2.5</v>
      </c>
      <c r="G319" s="12" t="n">
        <v>0</v>
      </c>
      <c r="H319" s="9" t="n">
        <v>2</v>
      </c>
      <c r="I319" s="9" t="n">
        <v>38</v>
      </c>
      <c r="J319" s="9" t="n">
        <v>1</v>
      </c>
      <c r="K319" s="13" t="s">
        <v>13</v>
      </c>
    </row>
    <row r="320" customFormat="false" ht="15.75" hidden="false" customHeight="false" outlineLevel="0" collapsed="false">
      <c r="A320" s="9" t="n">
        <v>24</v>
      </c>
      <c r="B320" s="10" t="s">
        <v>14</v>
      </c>
      <c r="C320" s="11" t="n">
        <v>2223.361</v>
      </c>
      <c r="D320" s="10" t="s">
        <v>15</v>
      </c>
      <c r="E320" s="12" t="n">
        <v>2.5</v>
      </c>
      <c r="F320" s="12" t="n">
        <v>2.5</v>
      </c>
      <c r="G320" s="12" t="n">
        <v>0</v>
      </c>
      <c r="H320" s="9" t="n">
        <v>1</v>
      </c>
      <c r="I320" s="9" t="n">
        <v>48</v>
      </c>
      <c r="J320" s="9" t="n">
        <v>1</v>
      </c>
      <c r="K320" s="13" t="s">
        <v>13</v>
      </c>
    </row>
    <row r="321" customFormat="false" ht="15.75" hidden="false" customHeight="false" outlineLevel="0" collapsed="false">
      <c r="A321" s="9" t="n">
        <v>12</v>
      </c>
      <c r="B321" s="10" t="s">
        <v>11</v>
      </c>
      <c r="C321" s="11" t="n">
        <v>358.211</v>
      </c>
      <c r="D321" s="10" t="s">
        <v>15</v>
      </c>
      <c r="E321" s="12" t="n">
        <v>2.5</v>
      </c>
      <c r="F321" s="12" t="n">
        <v>2.5</v>
      </c>
      <c r="G321" s="12" t="n">
        <v>0</v>
      </c>
      <c r="H321" s="9" t="n">
        <v>4</v>
      </c>
      <c r="I321" s="9" t="n">
        <v>32</v>
      </c>
      <c r="J321" s="9" t="n">
        <v>2</v>
      </c>
      <c r="K321" s="13" t="s">
        <v>13</v>
      </c>
    </row>
    <row r="322" customFormat="false" ht="15.75" hidden="false" customHeight="false" outlineLevel="0" collapsed="false">
      <c r="A322" s="9" t="n">
        <v>15</v>
      </c>
      <c r="B322" s="10" t="s">
        <v>18</v>
      </c>
      <c r="C322" s="11" t="n">
        <v>1861.573</v>
      </c>
      <c r="D322" s="10" t="s">
        <v>12</v>
      </c>
      <c r="E322" s="12" t="n">
        <v>8</v>
      </c>
      <c r="F322" s="12" t="n">
        <v>8</v>
      </c>
      <c r="G322" s="12" t="n">
        <v>0</v>
      </c>
      <c r="H322" s="9" t="n">
        <v>1</v>
      </c>
      <c r="I322" s="9" t="n">
        <v>27</v>
      </c>
      <c r="J322" s="9" t="n">
        <v>2</v>
      </c>
      <c r="K322" s="13" t="s">
        <v>13</v>
      </c>
    </row>
    <row r="323" customFormat="false" ht="15.75" hidden="false" customHeight="false" outlineLevel="0" collapsed="false">
      <c r="A323" s="9" t="n">
        <v>30</v>
      </c>
      <c r="B323" s="10" t="s">
        <v>11</v>
      </c>
      <c r="C323" s="11" t="n">
        <v>2171.239</v>
      </c>
      <c r="D323" s="10" t="s">
        <v>19</v>
      </c>
      <c r="E323" s="12" t="n">
        <v>0</v>
      </c>
      <c r="F323" s="12" t="n">
        <v>0</v>
      </c>
      <c r="G323" s="12" t="n">
        <v>0</v>
      </c>
      <c r="H323" s="9" t="n">
        <v>4</v>
      </c>
      <c r="I323" s="9" t="n">
        <v>28</v>
      </c>
      <c r="J323" s="9" t="n">
        <v>2</v>
      </c>
      <c r="K323" s="13" t="s">
        <v>16</v>
      </c>
    </row>
    <row r="324" customFormat="false" ht="15.75" hidden="false" customHeight="false" outlineLevel="0" collapsed="false">
      <c r="A324" s="9" t="n">
        <v>24</v>
      </c>
      <c r="B324" s="10" t="s">
        <v>14</v>
      </c>
      <c r="C324" s="11" t="n">
        <v>990.318</v>
      </c>
      <c r="D324" s="10" t="s">
        <v>20</v>
      </c>
      <c r="E324" s="12" t="n">
        <v>0.5</v>
      </c>
      <c r="F324" s="12" t="n">
        <v>0.5</v>
      </c>
      <c r="G324" s="12" t="n">
        <v>0</v>
      </c>
      <c r="H324" s="9" t="n">
        <v>4</v>
      </c>
      <c r="I324" s="9" t="n">
        <v>32</v>
      </c>
      <c r="J324" s="9" t="n">
        <v>1</v>
      </c>
      <c r="K324" s="13" t="s">
        <v>16</v>
      </c>
    </row>
    <row r="325" customFormat="false" ht="15.75" hidden="false" customHeight="false" outlineLevel="0" collapsed="false">
      <c r="A325" s="9" t="n">
        <v>24</v>
      </c>
      <c r="B325" s="10" t="s">
        <v>14</v>
      </c>
      <c r="C325" s="11" t="n">
        <v>1487.01</v>
      </c>
      <c r="D325" s="10" t="s">
        <v>17</v>
      </c>
      <c r="E325" s="12" t="n">
        <v>5.5</v>
      </c>
      <c r="F325" s="12" t="n">
        <v>5.5</v>
      </c>
      <c r="G325" s="12" t="n">
        <v>0</v>
      </c>
      <c r="H325" s="9" t="n">
        <v>2</v>
      </c>
      <c r="I325" s="9" t="n">
        <v>34</v>
      </c>
      <c r="J325" s="9" t="n">
        <v>1</v>
      </c>
      <c r="K325" s="13" t="s">
        <v>13</v>
      </c>
    </row>
    <row r="326" customFormat="false" ht="15.75" hidden="false" customHeight="false" outlineLevel="0" collapsed="false">
      <c r="A326" s="9" t="n">
        <v>18</v>
      </c>
      <c r="B326" s="10" t="s">
        <v>14</v>
      </c>
      <c r="C326" s="11" t="n">
        <v>1358.749</v>
      </c>
      <c r="D326" s="10" t="s">
        <v>15</v>
      </c>
      <c r="E326" s="12" t="n">
        <v>2.5</v>
      </c>
      <c r="F326" s="12" t="n">
        <v>2.5</v>
      </c>
      <c r="G326" s="12" t="n">
        <v>0</v>
      </c>
      <c r="H326" s="9" t="n">
        <v>4</v>
      </c>
      <c r="I326" s="9" t="n">
        <v>28</v>
      </c>
      <c r="J326" s="9" t="n">
        <v>1</v>
      </c>
      <c r="K326" s="13" t="s">
        <v>13</v>
      </c>
    </row>
    <row r="327" customFormat="false" ht="15.75" hidden="false" customHeight="false" outlineLevel="0" collapsed="false">
      <c r="A327" s="9" t="n">
        <v>18</v>
      </c>
      <c r="B327" s="10" t="s">
        <v>11</v>
      </c>
      <c r="C327" s="11" t="n">
        <v>525.308</v>
      </c>
      <c r="D327" s="10" t="s">
        <v>15</v>
      </c>
      <c r="E327" s="12" t="n">
        <v>2.5</v>
      </c>
      <c r="F327" s="12" t="n">
        <v>2.5</v>
      </c>
      <c r="G327" s="12" t="n">
        <v>0</v>
      </c>
      <c r="H327" s="9" t="n">
        <v>4</v>
      </c>
      <c r="I327" s="9" t="n">
        <v>36</v>
      </c>
      <c r="J327" s="9" t="n">
        <v>2</v>
      </c>
      <c r="K327" s="13" t="s">
        <v>13</v>
      </c>
    </row>
    <row r="328" customFormat="false" ht="15.75" hidden="false" customHeight="false" outlineLevel="0" collapsed="false">
      <c r="A328" s="9" t="n">
        <v>8</v>
      </c>
      <c r="B328" s="10" t="s">
        <v>11</v>
      </c>
      <c r="C328" s="11" t="n">
        <v>1736.378</v>
      </c>
      <c r="D328" s="10" t="s">
        <v>17</v>
      </c>
      <c r="E328" s="12" t="n">
        <v>5.5</v>
      </c>
      <c r="F328" s="12" t="n">
        <v>5.5</v>
      </c>
      <c r="G328" s="12" t="n">
        <v>0</v>
      </c>
      <c r="H328" s="9" t="n">
        <v>1</v>
      </c>
      <c r="I328" s="9" t="n">
        <v>39</v>
      </c>
      <c r="J328" s="9" t="n">
        <v>2</v>
      </c>
      <c r="K328" s="13" t="s">
        <v>13</v>
      </c>
    </row>
    <row r="329" customFormat="false" ht="15.75" hidden="false" customHeight="false" outlineLevel="0" collapsed="false">
      <c r="A329" s="9" t="n">
        <v>12</v>
      </c>
      <c r="B329" s="10" t="s">
        <v>11</v>
      </c>
      <c r="C329" s="11" t="n">
        <v>2964.311</v>
      </c>
      <c r="D329" s="10" t="s">
        <v>12</v>
      </c>
      <c r="E329" s="12" t="n">
        <v>8</v>
      </c>
      <c r="F329" s="12" t="n">
        <v>8</v>
      </c>
      <c r="G329" s="12" t="n">
        <v>0</v>
      </c>
      <c r="H329" s="9" t="n">
        <v>2</v>
      </c>
      <c r="I329" s="9" t="n">
        <v>49</v>
      </c>
      <c r="J329" s="9" t="n">
        <v>1</v>
      </c>
      <c r="K329" s="13" t="s">
        <v>13</v>
      </c>
    </row>
    <row r="330" customFormat="false" ht="15.75" hidden="false" customHeight="false" outlineLevel="0" collapsed="false">
      <c r="A330" s="9" t="n">
        <v>24</v>
      </c>
      <c r="B330" s="10" t="s">
        <v>14</v>
      </c>
      <c r="C330" s="11" t="n">
        <v>779.275</v>
      </c>
      <c r="D330" s="10" t="s">
        <v>17</v>
      </c>
      <c r="E330" s="12" t="n">
        <v>5.5</v>
      </c>
      <c r="F330" s="12" t="n">
        <v>5.5</v>
      </c>
      <c r="G330" s="12" t="n">
        <v>0</v>
      </c>
      <c r="H330" s="9" t="n">
        <v>4</v>
      </c>
      <c r="I330" s="9" t="n">
        <v>34</v>
      </c>
      <c r="J330" s="9" t="n">
        <v>1</v>
      </c>
      <c r="K330" s="13" t="s">
        <v>13</v>
      </c>
    </row>
    <row r="331" customFormat="false" ht="15.75" hidden="false" customHeight="false" outlineLevel="0" collapsed="false">
      <c r="A331" s="9" t="n">
        <v>36</v>
      </c>
      <c r="B331" s="10" t="s">
        <v>14</v>
      </c>
      <c r="C331" s="11" t="n">
        <v>2285.703</v>
      </c>
      <c r="D331" s="10" t="s">
        <v>12</v>
      </c>
      <c r="E331" s="12" t="n">
        <v>8</v>
      </c>
      <c r="F331" s="12" t="n">
        <v>8</v>
      </c>
      <c r="G331" s="12" t="n">
        <v>0</v>
      </c>
      <c r="H331" s="9" t="n">
        <v>4</v>
      </c>
      <c r="I331" s="9" t="n">
        <v>31</v>
      </c>
      <c r="J331" s="9" t="n">
        <v>1</v>
      </c>
      <c r="K331" s="13" t="s">
        <v>13</v>
      </c>
    </row>
    <row r="332" customFormat="false" ht="15.75" hidden="false" customHeight="false" outlineLevel="0" collapsed="false">
      <c r="A332" s="9" t="n">
        <v>6</v>
      </c>
      <c r="B332" s="10" t="s">
        <v>14</v>
      </c>
      <c r="C332" s="11" t="n">
        <v>545.748</v>
      </c>
      <c r="D332" s="10" t="s">
        <v>12</v>
      </c>
      <c r="E332" s="12" t="n">
        <v>8</v>
      </c>
      <c r="F332" s="12" t="n">
        <v>8</v>
      </c>
      <c r="G332" s="12" t="n">
        <v>0</v>
      </c>
      <c r="H332" s="9" t="n">
        <v>4</v>
      </c>
      <c r="I332" s="9" t="n">
        <v>28</v>
      </c>
      <c r="J332" s="9" t="n">
        <v>1</v>
      </c>
      <c r="K332" s="13" t="s">
        <v>13</v>
      </c>
    </row>
    <row r="333" customFormat="false" ht="15.75" hidden="false" customHeight="false" outlineLevel="0" collapsed="false">
      <c r="A333" s="9" t="n">
        <v>24</v>
      </c>
      <c r="B333" s="10" t="s">
        <v>11</v>
      </c>
      <c r="C333" s="11" t="n">
        <v>3380.265</v>
      </c>
      <c r="D333" s="10" t="s">
        <v>19</v>
      </c>
      <c r="E333" s="12" t="n">
        <v>0</v>
      </c>
      <c r="F333" s="12" t="n">
        <v>0</v>
      </c>
      <c r="G333" s="12" t="n">
        <v>0</v>
      </c>
      <c r="H333" s="9" t="n">
        <v>2</v>
      </c>
      <c r="I333" s="9" t="n">
        <v>75</v>
      </c>
      <c r="J333" s="9" t="n">
        <v>2</v>
      </c>
      <c r="K333" s="13" t="s">
        <v>13</v>
      </c>
    </row>
    <row r="334" customFormat="false" ht="15.75" hidden="false" customHeight="false" outlineLevel="0" collapsed="false">
      <c r="A334" s="9" t="n">
        <v>18</v>
      </c>
      <c r="B334" s="10" t="s">
        <v>11</v>
      </c>
      <c r="C334" s="11" t="n">
        <v>952.504</v>
      </c>
      <c r="D334" s="10" t="s">
        <v>15</v>
      </c>
      <c r="E334" s="12" t="n">
        <v>2.5</v>
      </c>
      <c r="F334" s="12" t="n">
        <v>2.5</v>
      </c>
      <c r="G334" s="12" t="n">
        <v>0</v>
      </c>
      <c r="H334" s="9" t="n">
        <v>4</v>
      </c>
      <c r="I334" s="9" t="n">
        <v>30</v>
      </c>
      <c r="J334" s="9" t="n">
        <v>2</v>
      </c>
      <c r="K334" s="13" t="s">
        <v>16</v>
      </c>
    </row>
    <row r="335" customFormat="false" ht="15.75" hidden="false" customHeight="false" outlineLevel="0" collapsed="false">
      <c r="A335" s="9" t="n">
        <v>60</v>
      </c>
      <c r="B335" s="10" t="s">
        <v>14</v>
      </c>
      <c r="C335" s="11" t="n">
        <v>3785.488</v>
      </c>
      <c r="D335" s="10" t="s">
        <v>20</v>
      </c>
      <c r="E335" s="12" t="n">
        <v>0.5</v>
      </c>
      <c r="F335" s="12" t="n">
        <v>0.5</v>
      </c>
      <c r="G335" s="12" t="n">
        <v>0</v>
      </c>
      <c r="H335" s="9" t="n">
        <v>4</v>
      </c>
      <c r="I335" s="9" t="n">
        <v>24</v>
      </c>
      <c r="J335" s="9" t="n">
        <v>1</v>
      </c>
      <c r="K335" s="13" t="s">
        <v>16</v>
      </c>
    </row>
    <row r="336" customFormat="false" ht="15.75" hidden="false" customHeight="false" outlineLevel="0" collapsed="false">
      <c r="A336" s="9" t="n">
        <v>48</v>
      </c>
      <c r="B336" s="10" t="s">
        <v>11</v>
      </c>
      <c r="C336" s="11" t="n">
        <v>5922.49</v>
      </c>
      <c r="D336" s="10" t="s">
        <v>15</v>
      </c>
      <c r="E336" s="12" t="n">
        <v>2.5</v>
      </c>
      <c r="F336" s="12" t="n">
        <v>2.5</v>
      </c>
      <c r="G336" s="12" t="n">
        <v>0</v>
      </c>
      <c r="H336" s="9" t="n">
        <v>2</v>
      </c>
      <c r="I336" s="9" t="n">
        <v>24</v>
      </c>
      <c r="J336" s="9" t="n">
        <v>2</v>
      </c>
      <c r="K336" s="13" t="s">
        <v>16</v>
      </c>
    </row>
    <row r="337" customFormat="false" ht="15.75" hidden="false" customHeight="false" outlineLevel="0" collapsed="false">
      <c r="A337" s="9" t="n">
        <v>24</v>
      </c>
      <c r="B337" s="10" t="s">
        <v>21</v>
      </c>
      <c r="C337" s="11" t="n">
        <v>2100.21</v>
      </c>
      <c r="D337" s="10" t="s">
        <v>12</v>
      </c>
      <c r="E337" s="12" t="n">
        <v>8</v>
      </c>
      <c r="F337" s="12" t="n">
        <v>5</v>
      </c>
      <c r="G337" s="12" t="n">
        <v>1</v>
      </c>
      <c r="H337" s="9" t="n">
        <v>3</v>
      </c>
      <c r="I337" s="9" t="n">
        <v>23</v>
      </c>
      <c r="J337" s="9" t="n">
        <v>2</v>
      </c>
      <c r="K337" s="13" t="s">
        <v>16</v>
      </c>
    </row>
    <row r="338" customFormat="false" ht="15.75" hidden="false" customHeight="false" outlineLevel="0" collapsed="false">
      <c r="A338" s="9" t="n">
        <v>6</v>
      </c>
      <c r="B338" s="10" t="s">
        <v>11</v>
      </c>
      <c r="C338" s="11" t="n">
        <v>1729.224</v>
      </c>
      <c r="D338" s="10" t="s">
        <v>15</v>
      </c>
      <c r="E338" s="12" t="n">
        <v>2.5</v>
      </c>
      <c r="F338" s="12" t="n">
        <v>2.5</v>
      </c>
      <c r="G338" s="12" t="n">
        <v>0</v>
      </c>
      <c r="H338" s="9" t="n">
        <v>1</v>
      </c>
      <c r="I338" s="9" t="n">
        <v>44</v>
      </c>
      <c r="J338" s="9" t="n">
        <v>1</v>
      </c>
      <c r="K338" s="13" t="s">
        <v>16</v>
      </c>
    </row>
    <row r="339" customFormat="false" ht="15.75" hidden="false" customHeight="false" outlineLevel="0" collapsed="false">
      <c r="A339" s="9" t="n">
        <v>13</v>
      </c>
      <c r="B339" s="10" t="s">
        <v>14</v>
      </c>
      <c r="C339" s="11" t="n">
        <v>1073.611</v>
      </c>
      <c r="D339" s="10" t="s">
        <v>20</v>
      </c>
      <c r="E339" s="12" t="n">
        <v>0.5</v>
      </c>
      <c r="F339" s="12" t="n">
        <v>0.5</v>
      </c>
      <c r="G339" s="12" t="n">
        <v>0</v>
      </c>
      <c r="H339" s="9" t="n">
        <v>2</v>
      </c>
      <c r="I339" s="9" t="n">
        <v>23</v>
      </c>
      <c r="J339" s="9" t="n">
        <v>1</v>
      </c>
      <c r="K339" s="13" t="s">
        <v>13</v>
      </c>
    </row>
    <row r="340" customFormat="false" ht="15.75" hidden="false" customHeight="false" outlineLevel="0" collapsed="false">
      <c r="A340" s="9" t="n">
        <v>15</v>
      </c>
      <c r="B340" s="10" t="s">
        <v>14</v>
      </c>
      <c r="C340" s="11" t="n">
        <v>651.525</v>
      </c>
      <c r="D340" s="10" t="s">
        <v>15</v>
      </c>
      <c r="E340" s="12" t="n">
        <v>2.5</v>
      </c>
      <c r="F340" s="12" t="n">
        <v>2.5</v>
      </c>
      <c r="G340" s="12" t="n">
        <v>0</v>
      </c>
      <c r="H340" s="9" t="n">
        <v>4</v>
      </c>
      <c r="I340" s="9" t="n">
        <v>24</v>
      </c>
      <c r="J340" s="9" t="n">
        <v>1</v>
      </c>
      <c r="K340" s="13" t="s">
        <v>16</v>
      </c>
    </row>
    <row r="341" customFormat="false" ht="15.75" hidden="false" customHeight="false" outlineLevel="0" collapsed="false">
      <c r="A341" s="9" t="n">
        <v>24</v>
      </c>
      <c r="B341" s="10" t="s">
        <v>14</v>
      </c>
      <c r="C341" s="11" t="n">
        <v>2130.359</v>
      </c>
      <c r="D341" s="10" t="s">
        <v>15</v>
      </c>
      <c r="E341" s="12" t="n">
        <v>2.5</v>
      </c>
      <c r="F341" s="12" t="n">
        <v>2.5</v>
      </c>
      <c r="G341" s="12" t="n">
        <v>0</v>
      </c>
      <c r="H341" s="9" t="n">
        <v>4</v>
      </c>
      <c r="I341" s="9" t="n">
        <v>28</v>
      </c>
      <c r="J341" s="9" t="n">
        <v>1</v>
      </c>
      <c r="K341" s="13" t="s">
        <v>13</v>
      </c>
    </row>
    <row r="342" customFormat="false" ht="15.75" hidden="false" customHeight="false" outlineLevel="0" collapsed="false">
      <c r="A342" s="9" t="n">
        <v>10</v>
      </c>
      <c r="B342" s="10" t="s">
        <v>14</v>
      </c>
      <c r="C342" s="11" t="n">
        <v>777.231</v>
      </c>
      <c r="D342" s="10" t="s">
        <v>15</v>
      </c>
      <c r="E342" s="12" t="n">
        <v>2.5</v>
      </c>
      <c r="F342" s="12" t="n">
        <v>2.5</v>
      </c>
      <c r="G342" s="12" t="n">
        <v>0</v>
      </c>
      <c r="H342" s="9" t="n">
        <v>4</v>
      </c>
      <c r="I342" s="9" t="n">
        <v>31</v>
      </c>
      <c r="J342" s="9" t="n">
        <v>1</v>
      </c>
      <c r="K342" s="13" t="s">
        <v>13</v>
      </c>
    </row>
    <row r="343" customFormat="false" ht="15.75" hidden="false" customHeight="false" outlineLevel="0" collapsed="false">
      <c r="A343" s="9" t="n">
        <v>24</v>
      </c>
      <c r="B343" s="10" t="s">
        <v>11</v>
      </c>
      <c r="C343" s="11" t="n">
        <v>2934.673</v>
      </c>
      <c r="D343" s="10" t="s">
        <v>20</v>
      </c>
      <c r="E343" s="12" t="n">
        <v>0.5</v>
      </c>
      <c r="F343" s="12" t="n">
        <v>0.5</v>
      </c>
      <c r="G343" s="12" t="n">
        <v>0</v>
      </c>
      <c r="H343" s="9" t="n">
        <v>2</v>
      </c>
      <c r="I343" s="9" t="n">
        <v>24</v>
      </c>
      <c r="J343" s="9" t="n">
        <v>2</v>
      </c>
      <c r="K343" s="13" t="s">
        <v>13</v>
      </c>
    </row>
    <row r="344" customFormat="false" ht="15.75" hidden="false" customHeight="false" outlineLevel="0" collapsed="false">
      <c r="A344" s="9" t="n">
        <v>21</v>
      </c>
      <c r="B344" s="10" t="s">
        <v>14</v>
      </c>
      <c r="C344" s="11" t="n">
        <v>1839.089</v>
      </c>
      <c r="D344" s="10" t="s">
        <v>17</v>
      </c>
      <c r="E344" s="12" t="n">
        <v>5.5</v>
      </c>
      <c r="F344" s="12" t="n">
        <v>5.5</v>
      </c>
      <c r="G344" s="12" t="n">
        <v>0</v>
      </c>
      <c r="H344" s="9" t="n">
        <v>1</v>
      </c>
      <c r="I344" s="9" t="n">
        <v>26</v>
      </c>
      <c r="J344" s="9" t="n">
        <v>1</v>
      </c>
      <c r="K344" s="13" t="s">
        <v>13</v>
      </c>
    </row>
    <row r="345" customFormat="false" ht="15.75" hidden="false" customHeight="false" outlineLevel="0" collapsed="false">
      <c r="A345" s="9" t="n">
        <v>18</v>
      </c>
      <c r="B345" s="10" t="s">
        <v>14</v>
      </c>
      <c r="C345" s="11" t="n">
        <v>1641.843</v>
      </c>
      <c r="D345" s="10" t="s">
        <v>20</v>
      </c>
      <c r="E345" s="12" t="n">
        <v>0.5</v>
      </c>
      <c r="F345" s="12" t="n">
        <v>0.5</v>
      </c>
      <c r="G345" s="12" t="n">
        <v>0</v>
      </c>
      <c r="H345" s="9" t="n">
        <v>1</v>
      </c>
      <c r="I345" s="9" t="n">
        <v>25</v>
      </c>
      <c r="J345" s="9" t="n">
        <v>1</v>
      </c>
      <c r="K345" s="13" t="s">
        <v>13</v>
      </c>
    </row>
    <row r="346" customFormat="false" ht="15.75" hidden="false" customHeight="false" outlineLevel="0" collapsed="false">
      <c r="A346" s="9" t="n">
        <v>18</v>
      </c>
      <c r="B346" s="10" t="s">
        <v>14</v>
      </c>
      <c r="C346" s="11" t="n">
        <v>2268.329</v>
      </c>
      <c r="D346" s="10" t="s">
        <v>12</v>
      </c>
      <c r="E346" s="12" t="n">
        <v>8</v>
      </c>
      <c r="F346" s="12" t="n">
        <v>8</v>
      </c>
      <c r="G346" s="12" t="n">
        <v>0</v>
      </c>
      <c r="H346" s="9" t="n">
        <v>1</v>
      </c>
      <c r="I346" s="9" t="n">
        <v>33</v>
      </c>
      <c r="J346" s="9" t="n">
        <v>1</v>
      </c>
      <c r="K346" s="13" t="s">
        <v>13</v>
      </c>
    </row>
    <row r="347" customFormat="false" ht="15.75" hidden="false" customHeight="false" outlineLevel="0" collapsed="false">
      <c r="A347" s="9" t="n">
        <v>10</v>
      </c>
      <c r="B347" s="10" t="s">
        <v>14</v>
      </c>
      <c r="C347" s="11" t="n">
        <v>2017.939</v>
      </c>
      <c r="D347" s="10" t="s">
        <v>20</v>
      </c>
      <c r="E347" s="12" t="n">
        <v>0.5</v>
      </c>
      <c r="F347" s="12" t="n">
        <v>0.5</v>
      </c>
      <c r="G347" s="12" t="n">
        <v>0</v>
      </c>
      <c r="H347" s="9" t="n">
        <v>1</v>
      </c>
      <c r="I347" s="9" t="n">
        <v>37</v>
      </c>
      <c r="J347" s="9" t="n">
        <v>1</v>
      </c>
      <c r="K347" s="13" t="s">
        <v>13</v>
      </c>
    </row>
    <row r="348" customFormat="false" ht="15.75" hidden="false" customHeight="false" outlineLevel="0" collapsed="false">
      <c r="A348" s="9" t="n">
        <v>15</v>
      </c>
      <c r="B348" s="10" t="s">
        <v>11</v>
      </c>
      <c r="C348" s="11" t="n">
        <v>745.549</v>
      </c>
      <c r="D348" s="10" t="s">
        <v>15</v>
      </c>
      <c r="E348" s="12" t="n">
        <v>2.5</v>
      </c>
      <c r="F348" s="12" t="n">
        <v>2.5</v>
      </c>
      <c r="G348" s="12" t="n">
        <v>0</v>
      </c>
      <c r="H348" s="9" t="n">
        <v>4</v>
      </c>
      <c r="I348" s="9" t="n">
        <v>43</v>
      </c>
      <c r="J348" s="9" t="n">
        <v>1</v>
      </c>
      <c r="K348" s="13" t="s">
        <v>13</v>
      </c>
    </row>
    <row r="349" customFormat="false" ht="15.75" hidden="false" customHeight="false" outlineLevel="0" collapsed="false">
      <c r="A349" s="9" t="n">
        <v>13</v>
      </c>
      <c r="B349" s="10" t="s">
        <v>11</v>
      </c>
      <c r="C349" s="11" t="n">
        <v>450.702</v>
      </c>
      <c r="D349" s="10" t="s">
        <v>20</v>
      </c>
      <c r="E349" s="12" t="n">
        <v>0.5</v>
      </c>
      <c r="F349" s="12" t="n">
        <v>0.5</v>
      </c>
      <c r="G349" s="12" t="n">
        <v>0</v>
      </c>
      <c r="H349" s="9" t="n">
        <v>4</v>
      </c>
      <c r="I349" s="9" t="n">
        <v>23</v>
      </c>
      <c r="J349" s="9" t="n">
        <v>2</v>
      </c>
      <c r="K349" s="13" t="s">
        <v>13</v>
      </c>
    </row>
    <row r="350" customFormat="false" ht="15.75" hidden="false" customHeight="false" outlineLevel="0" collapsed="false">
      <c r="A350" s="9" t="n">
        <v>24</v>
      </c>
      <c r="B350" s="10" t="s">
        <v>14</v>
      </c>
      <c r="C350" s="11" t="n">
        <v>1920.338</v>
      </c>
      <c r="D350" s="10" t="s">
        <v>19</v>
      </c>
      <c r="E350" s="12" t="n">
        <v>0</v>
      </c>
      <c r="F350" s="12" t="n">
        <v>0</v>
      </c>
      <c r="G350" s="12" t="n">
        <v>0</v>
      </c>
      <c r="H350" s="9" t="n">
        <v>1</v>
      </c>
      <c r="I350" s="9" t="n">
        <v>23</v>
      </c>
      <c r="J350" s="9" t="n">
        <v>1</v>
      </c>
      <c r="K350" s="13" t="s">
        <v>13</v>
      </c>
    </row>
    <row r="351" customFormat="false" ht="15.75" hidden="false" customHeight="false" outlineLevel="0" collapsed="false">
      <c r="A351" s="9" t="n">
        <v>6</v>
      </c>
      <c r="B351" s="10" t="s">
        <v>18</v>
      </c>
      <c r="C351" s="11" t="n">
        <v>890.673</v>
      </c>
      <c r="D351" s="10" t="s">
        <v>15</v>
      </c>
      <c r="E351" s="12" t="n">
        <v>2.5</v>
      </c>
      <c r="F351" s="12" t="n">
        <v>2.5</v>
      </c>
      <c r="G351" s="12" t="n">
        <v>0</v>
      </c>
      <c r="H351" s="9" t="n">
        <v>1</v>
      </c>
      <c r="I351" s="9" t="n">
        <v>34</v>
      </c>
      <c r="J351" s="9" t="n">
        <v>2</v>
      </c>
      <c r="K351" s="13" t="s">
        <v>13</v>
      </c>
    </row>
    <row r="352" customFormat="false" ht="15.75" hidden="false" customHeight="false" outlineLevel="0" collapsed="false">
      <c r="A352" s="9" t="n">
        <v>9</v>
      </c>
      <c r="B352" s="10" t="s">
        <v>11</v>
      </c>
      <c r="C352" s="11" t="n">
        <v>580.496</v>
      </c>
      <c r="D352" s="10" t="s">
        <v>12</v>
      </c>
      <c r="E352" s="12" t="n">
        <v>8</v>
      </c>
      <c r="F352" s="12" t="n">
        <v>8</v>
      </c>
      <c r="G352" s="12" t="n">
        <v>0</v>
      </c>
      <c r="H352" s="9" t="n">
        <v>4</v>
      </c>
      <c r="I352" s="9" t="n">
        <v>32</v>
      </c>
      <c r="J352" s="9" t="n">
        <v>2</v>
      </c>
      <c r="K352" s="13" t="s">
        <v>16</v>
      </c>
    </row>
    <row r="353" customFormat="false" ht="15.75" hidden="false" customHeight="false" outlineLevel="0" collapsed="false">
      <c r="A353" s="9" t="n">
        <v>9</v>
      </c>
      <c r="B353" s="10" t="s">
        <v>14</v>
      </c>
      <c r="C353" s="11" t="n">
        <v>631.596</v>
      </c>
      <c r="D353" s="10" t="s">
        <v>20</v>
      </c>
      <c r="E353" s="12" t="n">
        <v>0.5</v>
      </c>
      <c r="F353" s="12" t="n">
        <v>0.5</v>
      </c>
      <c r="G353" s="12" t="n">
        <v>0</v>
      </c>
      <c r="H353" s="9" t="n">
        <v>1</v>
      </c>
      <c r="I353" s="9" t="n">
        <v>23</v>
      </c>
      <c r="J353" s="9" t="n">
        <v>1</v>
      </c>
      <c r="K353" s="13" t="s">
        <v>13</v>
      </c>
    </row>
    <row r="354" customFormat="false" ht="15.75" hidden="false" customHeight="false" outlineLevel="0" collapsed="false">
      <c r="A354" s="9" t="n">
        <v>9</v>
      </c>
      <c r="B354" s="10" t="s">
        <v>14</v>
      </c>
      <c r="C354" s="11" t="n">
        <v>490.049</v>
      </c>
      <c r="D354" s="10" t="s">
        <v>15</v>
      </c>
      <c r="E354" s="12" t="n">
        <v>2.5</v>
      </c>
      <c r="F354" s="12" t="n">
        <v>2.5</v>
      </c>
      <c r="G354" s="12" t="n">
        <v>0</v>
      </c>
      <c r="H354" s="9" t="n">
        <v>1</v>
      </c>
      <c r="I354" s="9" t="n">
        <v>29</v>
      </c>
      <c r="J354" s="9" t="n">
        <v>1</v>
      </c>
      <c r="K354" s="13" t="s">
        <v>16</v>
      </c>
    </row>
    <row r="355" customFormat="false" ht="15.75" hidden="false" customHeight="false" outlineLevel="0" collapsed="false">
      <c r="A355" s="9" t="n">
        <v>18</v>
      </c>
      <c r="B355" s="10" t="s">
        <v>11</v>
      </c>
      <c r="C355" s="11" t="n">
        <v>1650.019</v>
      </c>
      <c r="D355" s="10" t="s">
        <v>19</v>
      </c>
      <c r="E355" s="12" t="n">
        <v>0</v>
      </c>
      <c r="F355" s="12" t="n">
        <v>0</v>
      </c>
      <c r="G355" s="12" t="n">
        <v>0</v>
      </c>
      <c r="H355" s="9" t="n">
        <v>2</v>
      </c>
      <c r="I355" s="9" t="n">
        <v>38</v>
      </c>
      <c r="J355" s="9" t="n">
        <v>1</v>
      </c>
      <c r="K355" s="13" t="s">
        <v>13</v>
      </c>
    </row>
    <row r="356" customFormat="false" ht="15.75" hidden="false" customHeight="false" outlineLevel="0" collapsed="false">
      <c r="A356" s="9" t="n">
        <v>12</v>
      </c>
      <c r="B356" s="10" t="s">
        <v>21</v>
      </c>
      <c r="C356" s="11" t="n">
        <v>3167.689</v>
      </c>
      <c r="D356" s="10" t="s">
        <v>15</v>
      </c>
      <c r="E356" s="12" t="n">
        <v>2.5</v>
      </c>
      <c r="F356" s="12" t="n">
        <v>2.5</v>
      </c>
      <c r="G356" s="12" t="n">
        <v>0</v>
      </c>
      <c r="H356" s="9" t="n">
        <v>4</v>
      </c>
      <c r="I356" s="9" t="n">
        <v>28</v>
      </c>
      <c r="J356" s="9" t="n">
        <v>2</v>
      </c>
      <c r="K356" s="13" t="s">
        <v>16</v>
      </c>
    </row>
    <row r="357" customFormat="false" ht="15.75" hidden="false" customHeight="false" outlineLevel="0" collapsed="false">
      <c r="A357" s="9" t="n">
        <v>10</v>
      </c>
      <c r="B357" s="10" t="s">
        <v>14</v>
      </c>
      <c r="C357" s="11" t="n">
        <v>371.497</v>
      </c>
      <c r="D357" s="10" t="s">
        <v>12</v>
      </c>
      <c r="E357" s="12" t="n">
        <v>8</v>
      </c>
      <c r="F357" s="12" t="n">
        <v>8</v>
      </c>
      <c r="G357" s="12" t="n">
        <v>0</v>
      </c>
      <c r="H357" s="9" t="n">
        <v>4</v>
      </c>
      <c r="I357" s="9" t="n">
        <v>46</v>
      </c>
      <c r="J357" s="9" t="n">
        <v>1</v>
      </c>
      <c r="K357" s="13" t="s">
        <v>13</v>
      </c>
    </row>
    <row r="358" customFormat="false" ht="15.75" hidden="false" customHeight="false" outlineLevel="0" collapsed="false">
      <c r="A358" s="9" t="n">
        <v>24</v>
      </c>
      <c r="B358" s="10" t="s">
        <v>14</v>
      </c>
      <c r="C358" s="11" t="n">
        <v>636.706</v>
      </c>
      <c r="D358" s="10" t="s">
        <v>20</v>
      </c>
      <c r="E358" s="12" t="n">
        <v>0.5</v>
      </c>
      <c r="F358" s="12" t="n">
        <v>0.5</v>
      </c>
      <c r="G358" s="12" t="n">
        <v>0</v>
      </c>
      <c r="H358" s="9" t="n">
        <v>4</v>
      </c>
      <c r="I358" s="9" t="n">
        <v>23</v>
      </c>
      <c r="J358" s="9" t="n">
        <v>1</v>
      </c>
      <c r="K358" s="13" t="s">
        <v>16</v>
      </c>
    </row>
    <row r="359" customFormat="false" ht="15.75" hidden="false" customHeight="false" outlineLevel="0" collapsed="false">
      <c r="A359" s="9" t="n">
        <v>12</v>
      </c>
      <c r="B359" s="10" t="s">
        <v>11</v>
      </c>
      <c r="C359" s="11" t="n">
        <v>1191.141</v>
      </c>
      <c r="D359" s="10" t="s">
        <v>12</v>
      </c>
      <c r="E359" s="12" t="n">
        <v>8</v>
      </c>
      <c r="F359" s="12" t="n">
        <v>8</v>
      </c>
      <c r="G359" s="12" t="n">
        <v>0</v>
      </c>
      <c r="H359" s="9" t="n">
        <v>1</v>
      </c>
      <c r="I359" s="9" t="n">
        <v>49</v>
      </c>
      <c r="J359" s="9" t="n">
        <v>1</v>
      </c>
      <c r="K359" s="13" t="s">
        <v>13</v>
      </c>
    </row>
    <row r="360" customFormat="false" ht="15.75" hidden="false" customHeight="false" outlineLevel="0" collapsed="false">
      <c r="A360" s="9" t="n">
        <v>36</v>
      </c>
      <c r="B360" s="10" t="s">
        <v>18</v>
      </c>
      <c r="C360" s="11" t="n">
        <v>2280.593</v>
      </c>
      <c r="D360" s="10" t="s">
        <v>15</v>
      </c>
      <c r="E360" s="12" t="n">
        <v>2.5</v>
      </c>
      <c r="F360" s="12" t="n">
        <v>2.5</v>
      </c>
      <c r="G360" s="12" t="n">
        <v>0</v>
      </c>
      <c r="H360" s="9" t="n">
        <v>4</v>
      </c>
      <c r="I360" s="9" t="n">
        <v>26</v>
      </c>
      <c r="J360" s="9" t="n">
        <v>2</v>
      </c>
      <c r="K360" s="13" t="s">
        <v>16</v>
      </c>
    </row>
    <row r="361" customFormat="false" ht="15.75" hidden="false" customHeight="false" outlineLevel="0" collapsed="false">
      <c r="A361" s="9" t="n">
        <v>12</v>
      </c>
      <c r="B361" s="10" t="s">
        <v>14</v>
      </c>
      <c r="C361" s="11" t="n">
        <v>396.536</v>
      </c>
      <c r="D361" s="10" t="s">
        <v>15</v>
      </c>
      <c r="E361" s="12" t="n">
        <v>2.5</v>
      </c>
      <c r="F361" s="12" t="n">
        <v>2.5</v>
      </c>
      <c r="G361" s="12" t="n">
        <v>0</v>
      </c>
      <c r="H361" s="9" t="n">
        <v>4</v>
      </c>
      <c r="I361" s="9" t="n">
        <v>28</v>
      </c>
      <c r="J361" s="9" t="n">
        <v>1</v>
      </c>
      <c r="K361" s="13" t="s">
        <v>13</v>
      </c>
    </row>
    <row r="362" customFormat="false" ht="15.75" hidden="false" customHeight="false" outlineLevel="0" collapsed="false">
      <c r="A362" s="9" t="n">
        <v>30</v>
      </c>
      <c r="B362" s="10" t="s">
        <v>14</v>
      </c>
      <c r="C362" s="11" t="n">
        <v>1229.466</v>
      </c>
      <c r="D362" s="10" t="s">
        <v>17</v>
      </c>
      <c r="E362" s="12" t="n">
        <v>5.5</v>
      </c>
      <c r="F362" s="12" t="n">
        <v>5</v>
      </c>
      <c r="G362" s="12" t="n">
        <v>1</v>
      </c>
      <c r="H362" s="9" t="n">
        <v>4</v>
      </c>
      <c r="I362" s="9" t="n">
        <v>23</v>
      </c>
      <c r="J362" s="9" t="n">
        <v>1</v>
      </c>
      <c r="K362" s="13" t="s">
        <v>16</v>
      </c>
    </row>
    <row r="363" customFormat="false" ht="15.75" hidden="false" customHeight="false" outlineLevel="0" collapsed="false">
      <c r="A363" s="9" t="n">
        <v>18</v>
      </c>
      <c r="B363" s="10" t="s">
        <v>14</v>
      </c>
      <c r="C363" s="11" t="n">
        <v>633.129</v>
      </c>
      <c r="D363" s="10" t="s">
        <v>15</v>
      </c>
      <c r="E363" s="12" t="n">
        <v>2.5</v>
      </c>
      <c r="F363" s="12" t="n">
        <v>2.5</v>
      </c>
      <c r="G363" s="12" t="n">
        <v>0</v>
      </c>
      <c r="H363" s="9" t="n">
        <v>4</v>
      </c>
      <c r="I363" s="9" t="n">
        <v>61</v>
      </c>
      <c r="J363" s="9" t="n">
        <v>1</v>
      </c>
      <c r="K363" s="13" t="s">
        <v>13</v>
      </c>
    </row>
    <row r="364" customFormat="false" ht="15.75" hidden="false" customHeight="false" outlineLevel="0" collapsed="false">
      <c r="A364" s="9" t="n">
        <v>12</v>
      </c>
      <c r="B364" s="10" t="s">
        <v>14</v>
      </c>
      <c r="C364" s="11" t="n">
        <v>1736.889</v>
      </c>
      <c r="D364" s="10" t="s">
        <v>12</v>
      </c>
      <c r="E364" s="12" t="n">
        <v>8</v>
      </c>
      <c r="F364" s="12" t="n">
        <v>8</v>
      </c>
      <c r="G364" s="12" t="n">
        <v>0</v>
      </c>
      <c r="H364" s="9" t="n">
        <v>2</v>
      </c>
      <c r="I364" s="9" t="n">
        <v>37</v>
      </c>
      <c r="J364" s="9" t="n">
        <v>1</v>
      </c>
      <c r="K364" s="13" t="s">
        <v>13</v>
      </c>
    </row>
    <row r="365" customFormat="false" ht="15.75" hidden="false" customHeight="false" outlineLevel="0" collapsed="false">
      <c r="A365" s="9" t="n">
        <v>12</v>
      </c>
      <c r="B365" s="10" t="s">
        <v>18</v>
      </c>
      <c r="C365" s="11" t="n">
        <v>1148.217</v>
      </c>
      <c r="D365" s="10" t="s">
        <v>15</v>
      </c>
      <c r="E365" s="12" t="n">
        <v>2.5</v>
      </c>
      <c r="F365" s="12" t="n">
        <v>2.5</v>
      </c>
      <c r="G365" s="12" t="n">
        <v>0</v>
      </c>
      <c r="H365" s="9" t="n">
        <v>2</v>
      </c>
      <c r="I365" s="9" t="n">
        <v>36</v>
      </c>
      <c r="J365" s="9" t="n">
        <v>2</v>
      </c>
      <c r="K365" s="13" t="s">
        <v>13</v>
      </c>
    </row>
    <row r="366" customFormat="false" ht="15.75" hidden="false" customHeight="false" outlineLevel="0" collapsed="false">
      <c r="A366" s="9" t="n">
        <v>6</v>
      </c>
      <c r="B366" s="10" t="s">
        <v>14</v>
      </c>
      <c r="C366" s="11" t="n">
        <v>902.426</v>
      </c>
      <c r="D366" s="10" t="s">
        <v>15</v>
      </c>
      <c r="E366" s="12" t="n">
        <v>2.5</v>
      </c>
      <c r="F366" s="12" t="n">
        <v>2.5</v>
      </c>
      <c r="G366" s="12" t="n">
        <v>0</v>
      </c>
      <c r="H366" s="9" t="n">
        <v>1</v>
      </c>
      <c r="I366" s="9" t="n">
        <v>21</v>
      </c>
      <c r="J366" s="9" t="n">
        <v>1</v>
      </c>
      <c r="K366" s="13" t="s">
        <v>13</v>
      </c>
    </row>
    <row r="367" customFormat="false" ht="15.75" hidden="false" customHeight="false" outlineLevel="0" collapsed="false">
      <c r="A367" s="9" t="n">
        <v>18</v>
      </c>
      <c r="B367" s="10" t="s">
        <v>14</v>
      </c>
      <c r="C367" s="11" t="n">
        <v>1263.703</v>
      </c>
      <c r="D367" s="10" t="s">
        <v>19</v>
      </c>
      <c r="E367" s="12" t="n">
        <v>0</v>
      </c>
      <c r="F367" s="12" t="n">
        <v>0</v>
      </c>
      <c r="G367" s="12" t="n">
        <v>0</v>
      </c>
      <c r="H367" s="9" t="n">
        <v>4</v>
      </c>
      <c r="I367" s="9" t="n">
        <v>25</v>
      </c>
      <c r="J367" s="9" t="n">
        <v>1</v>
      </c>
      <c r="K367" s="13" t="s">
        <v>16</v>
      </c>
    </row>
    <row r="368" customFormat="false" ht="15.75" hidden="false" customHeight="false" outlineLevel="0" collapsed="false">
      <c r="A368" s="9" t="n">
        <v>12</v>
      </c>
      <c r="B368" s="10" t="s">
        <v>14</v>
      </c>
      <c r="C368" s="11" t="n">
        <v>787.962</v>
      </c>
      <c r="D368" s="10" t="s">
        <v>17</v>
      </c>
      <c r="E368" s="12" t="n">
        <v>5.5</v>
      </c>
      <c r="F368" s="12" t="n">
        <v>5.5</v>
      </c>
      <c r="G368" s="12" t="n">
        <v>0</v>
      </c>
      <c r="H368" s="9" t="n">
        <v>2</v>
      </c>
      <c r="I368" s="9" t="n">
        <v>36</v>
      </c>
      <c r="J368" s="9" t="n">
        <v>1</v>
      </c>
      <c r="K368" s="13" t="s">
        <v>13</v>
      </c>
    </row>
    <row r="369" customFormat="false" ht="15.75" hidden="false" customHeight="false" outlineLevel="0" collapsed="false">
      <c r="A369" s="9" t="n">
        <v>18</v>
      </c>
      <c r="B369" s="10" t="s">
        <v>11</v>
      </c>
      <c r="C369" s="11" t="n">
        <v>1967.35</v>
      </c>
      <c r="D369" s="10" t="s">
        <v>17</v>
      </c>
      <c r="E369" s="12" t="n">
        <v>5.5</v>
      </c>
      <c r="F369" s="12" t="n">
        <v>5.5</v>
      </c>
      <c r="G369" s="12" t="n">
        <v>0</v>
      </c>
      <c r="H369" s="9" t="n">
        <v>3</v>
      </c>
      <c r="I369" s="9" t="n">
        <v>27</v>
      </c>
      <c r="J369" s="9" t="n">
        <v>2</v>
      </c>
      <c r="K369" s="13" t="s">
        <v>13</v>
      </c>
    </row>
    <row r="370" customFormat="false" ht="15.75" hidden="false" customHeight="false" outlineLevel="0" collapsed="false">
      <c r="A370" s="9" t="n">
        <v>18</v>
      </c>
      <c r="B370" s="10" t="s">
        <v>14</v>
      </c>
      <c r="C370" s="11" t="n">
        <v>1865.15</v>
      </c>
      <c r="D370" s="10" t="s">
        <v>20</v>
      </c>
      <c r="E370" s="12" t="n">
        <v>0.5</v>
      </c>
      <c r="F370" s="12" t="n">
        <v>0.5</v>
      </c>
      <c r="G370" s="12" t="n">
        <v>0</v>
      </c>
      <c r="H370" s="9" t="n">
        <v>1</v>
      </c>
      <c r="I370" s="9" t="n">
        <v>22</v>
      </c>
      <c r="J370" s="9" t="n">
        <v>1</v>
      </c>
      <c r="K370" s="13" t="s">
        <v>13</v>
      </c>
    </row>
    <row r="371" customFormat="false" ht="15.75" hidden="false" customHeight="false" outlineLevel="0" collapsed="false">
      <c r="A371" s="9" t="n">
        <v>36</v>
      </c>
      <c r="B371" s="10" t="s">
        <v>14</v>
      </c>
      <c r="C371" s="11" t="n">
        <v>1760.906</v>
      </c>
      <c r="D371" s="10" t="s">
        <v>12</v>
      </c>
      <c r="E371" s="12" t="n">
        <v>8</v>
      </c>
      <c r="F371" s="12" t="n">
        <v>8</v>
      </c>
      <c r="G371" s="12" t="n">
        <v>0</v>
      </c>
      <c r="H371" s="9" t="n">
        <v>4</v>
      </c>
      <c r="I371" s="9" t="n">
        <v>42</v>
      </c>
      <c r="J371" s="9" t="n">
        <v>1</v>
      </c>
      <c r="K371" s="13" t="s">
        <v>16</v>
      </c>
    </row>
    <row r="372" customFormat="false" ht="15.75" hidden="false" customHeight="false" outlineLevel="0" collapsed="false">
      <c r="A372" s="9" t="n">
        <v>18</v>
      </c>
      <c r="B372" s="10" t="s">
        <v>14</v>
      </c>
      <c r="C372" s="11" t="n">
        <v>1533.511</v>
      </c>
      <c r="D372" s="10" t="s">
        <v>17</v>
      </c>
      <c r="E372" s="12" t="n">
        <v>5.5</v>
      </c>
      <c r="F372" s="12" t="n">
        <v>5.5</v>
      </c>
      <c r="G372" s="12" t="n">
        <v>0</v>
      </c>
      <c r="H372" s="9" t="n">
        <v>2</v>
      </c>
      <c r="I372" s="9" t="n">
        <v>40</v>
      </c>
      <c r="J372" s="9" t="n">
        <v>1</v>
      </c>
      <c r="K372" s="13" t="s">
        <v>13</v>
      </c>
    </row>
    <row r="373" customFormat="false" ht="15.75" hidden="false" customHeight="false" outlineLevel="0" collapsed="false">
      <c r="A373" s="9" t="n">
        <v>36</v>
      </c>
      <c r="B373" s="10" t="s">
        <v>14</v>
      </c>
      <c r="C373" s="11" t="n">
        <v>1573.369</v>
      </c>
      <c r="D373" s="10" t="s">
        <v>15</v>
      </c>
      <c r="E373" s="12" t="n">
        <v>2.5</v>
      </c>
      <c r="F373" s="12" t="n">
        <v>2.5</v>
      </c>
      <c r="G373" s="12" t="n">
        <v>0</v>
      </c>
      <c r="H373" s="9" t="n">
        <v>4</v>
      </c>
      <c r="I373" s="9" t="n">
        <v>36</v>
      </c>
      <c r="J373" s="9" t="n">
        <v>1</v>
      </c>
      <c r="K373" s="13" t="s">
        <v>13</v>
      </c>
    </row>
    <row r="374" customFormat="false" ht="15.75" hidden="false" customHeight="false" outlineLevel="0" collapsed="false">
      <c r="A374" s="9" t="n">
        <v>18</v>
      </c>
      <c r="B374" s="10" t="s">
        <v>11</v>
      </c>
      <c r="C374" s="11" t="n">
        <v>3101.77</v>
      </c>
      <c r="D374" s="10" t="s">
        <v>12</v>
      </c>
      <c r="E374" s="12" t="n">
        <v>8</v>
      </c>
      <c r="F374" s="12" t="n">
        <v>8</v>
      </c>
      <c r="G374" s="12" t="n">
        <v>0</v>
      </c>
      <c r="H374" s="9" t="n">
        <v>3</v>
      </c>
      <c r="I374" s="9" t="n">
        <v>33</v>
      </c>
      <c r="J374" s="9" t="n">
        <v>2</v>
      </c>
      <c r="K374" s="13" t="s">
        <v>13</v>
      </c>
    </row>
    <row r="375" customFormat="false" ht="15.75" hidden="false" customHeight="false" outlineLevel="0" collapsed="false">
      <c r="A375" s="9" t="n">
        <v>10</v>
      </c>
      <c r="B375" s="10" t="s">
        <v>11</v>
      </c>
      <c r="C375" s="11" t="n">
        <v>1096.606</v>
      </c>
      <c r="D375" s="10" t="s">
        <v>20</v>
      </c>
      <c r="E375" s="12" t="n">
        <v>0.5</v>
      </c>
      <c r="F375" s="12" t="n">
        <v>0.5</v>
      </c>
      <c r="G375" s="12" t="n">
        <v>0</v>
      </c>
      <c r="H375" s="9" t="n">
        <v>1</v>
      </c>
      <c r="I375" s="9" t="n">
        <v>23</v>
      </c>
      <c r="J375" s="9" t="n">
        <v>2</v>
      </c>
      <c r="K375" s="13" t="s">
        <v>13</v>
      </c>
    </row>
    <row r="376" customFormat="false" ht="15.75" hidden="false" customHeight="false" outlineLevel="0" collapsed="false">
      <c r="A376" s="9" t="n">
        <v>60</v>
      </c>
      <c r="B376" s="10" t="s">
        <v>11</v>
      </c>
      <c r="C376" s="11" t="n">
        <v>7029.316</v>
      </c>
      <c r="D376" s="10" t="s">
        <v>12</v>
      </c>
      <c r="E376" s="12" t="n">
        <v>8</v>
      </c>
      <c r="F376" s="12" t="n">
        <v>8</v>
      </c>
      <c r="G376" s="12" t="n">
        <v>0</v>
      </c>
      <c r="H376" s="9" t="n">
        <v>2</v>
      </c>
      <c r="I376" s="9" t="n">
        <v>63</v>
      </c>
      <c r="J376" s="9" t="n">
        <v>1</v>
      </c>
      <c r="K376" s="13" t="s">
        <v>13</v>
      </c>
    </row>
    <row r="377" customFormat="false" ht="15.75" hidden="false" customHeight="false" outlineLevel="0" collapsed="false">
      <c r="A377" s="9" t="n">
        <v>60</v>
      </c>
      <c r="B377" s="10" t="s">
        <v>22</v>
      </c>
      <c r="C377" s="11" t="n">
        <v>7553.602</v>
      </c>
      <c r="D377" s="10" t="s">
        <v>12</v>
      </c>
      <c r="E377" s="12" t="n">
        <v>8</v>
      </c>
      <c r="F377" s="12" t="n">
        <v>8</v>
      </c>
      <c r="G377" s="12" t="n">
        <v>0</v>
      </c>
      <c r="H377" s="9" t="n">
        <v>3</v>
      </c>
      <c r="I377" s="9" t="n">
        <v>60</v>
      </c>
      <c r="J377" s="9" t="n">
        <v>2</v>
      </c>
      <c r="K377" s="13" t="s">
        <v>16</v>
      </c>
    </row>
    <row r="378" customFormat="false" ht="15.75" hidden="false" customHeight="false" outlineLevel="0" collapsed="false">
      <c r="A378" s="9" t="n">
        <v>48</v>
      </c>
      <c r="B378" s="10" t="s">
        <v>22</v>
      </c>
      <c r="C378" s="11" t="n">
        <v>3927.035</v>
      </c>
      <c r="D378" s="10" t="s">
        <v>17</v>
      </c>
      <c r="E378" s="12" t="n">
        <v>5.5</v>
      </c>
      <c r="F378" s="12" t="n">
        <v>5.5</v>
      </c>
      <c r="G378" s="12" t="n">
        <v>0</v>
      </c>
      <c r="H378" s="9" t="n">
        <v>2</v>
      </c>
      <c r="I378" s="9" t="n">
        <v>37</v>
      </c>
      <c r="J378" s="9" t="n">
        <v>1</v>
      </c>
      <c r="K378" s="13" t="s">
        <v>16</v>
      </c>
    </row>
    <row r="379" customFormat="false" ht="15.75" hidden="false" customHeight="false" outlineLevel="0" collapsed="false">
      <c r="A379" s="9" t="n">
        <v>18</v>
      </c>
      <c r="B379" s="10" t="s">
        <v>18</v>
      </c>
      <c r="C379" s="11" t="n">
        <v>1185.52</v>
      </c>
      <c r="D379" s="10" t="s">
        <v>19</v>
      </c>
      <c r="E379" s="12" t="n">
        <v>0</v>
      </c>
      <c r="F379" s="12" t="n">
        <v>0</v>
      </c>
      <c r="G379" s="12" t="n">
        <v>0</v>
      </c>
      <c r="H379" s="9" t="n">
        <v>2</v>
      </c>
      <c r="I379" s="9" t="n">
        <v>34</v>
      </c>
      <c r="J379" s="9" t="n">
        <v>2</v>
      </c>
      <c r="K379" s="13" t="s">
        <v>13</v>
      </c>
    </row>
    <row r="380" customFormat="false" ht="15.75" hidden="false" customHeight="false" outlineLevel="0" collapsed="false">
      <c r="A380" s="9" t="n">
        <v>7</v>
      </c>
      <c r="B380" s="10" t="s">
        <v>18</v>
      </c>
      <c r="C380" s="11" t="n">
        <v>432.306</v>
      </c>
      <c r="D380" s="10" t="s">
        <v>12</v>
      </c>
      <c r="E380" s="12" t="n">
        <v>8</v>
      </c>
      <c r="F380" s="12" t="n">
        <v>8</v>
      </c>
      <c r="G380" s="12" t="n">
        <v>0</v>
      </c>
      <c r="H380" s="9" t="n">
        <v>3</v>
      </c>
      <c r="I380" s="9" t="n">
        <v>36</v>
      </c>
      <c r="J380" s="9" t="n">
        <v>1</v>
      </c>
      <c r="K380" s="13" t="s">
        <v>13</v>
      </c>
    </row>
    <row r="381" customFormat="false" ht="15.75" hidden="false" customHeight="false" outlineLevel="0" collapsed="false">
      <c r="A381" s="9" t="n">
        <v>36</v>
      </c>
      <c r="B381" s="10" t="s">
        <v>14</v>
      </c>
      <c r="C381" s="11" t="n">
        <v>7316.498</v>
      </c>
      <c r="D381" s="10" t="s">
        <v>12</v>
      </c>
      <c r="E381" s="12" t="n">
        <v>8</v>
      </c>
      <c r="F381" s="12" t="n">
        <v>8</v>
      </c>
      <c r="G381" s="12" t="n">
        <v>0</v>
      </c>
      <c r="H381" s="9" t="n">
        <v>4</v>
      </c>
      <c r="I381" s="9" t="n">
        <v>57</v>
      </c>
      <c r="J381" s="9" t="n">
        <v>1</v>
      </c>
      <c r="K381" s="13" t="s">
        <v>16</v>
      </c>
    </row>
    <row r="382" customFormat="false" ht="15.75" hidden="false" customHeight="false" outlineLevel="0" collapsed="false">
      <c r="A382" s="9" t="n">
        <v>6</v>
      </c>
      <c r="B382" s="10" t="s">
        <v>11</v>
      </c>
      <c r="C382" s="11" t="n">
        <v>184.982</v>
      </c>
      <c r="D382" s="10" t="s">
        <v>15</v>
      </c>
      <c r="E382" s="12" t="n">
        <v>2.5</v>
      </c>
      <c r="F382" s="12" t="n">
        <v>2.5</v>
      </c>
      <c r="G382" s="12" t="n">
        <v>0</v>
      </c>
      <c r="H382" s="9" t="n">
        <v>4</v>
      </c>
      <c r="I382" s="9" t="n">
        <v>52</v>
      </c>
      <c r="J382" s="9" t="n">
        <v>2</v>
      </c>
      <c r="K382" s="13" t="s">
        <v>13</v>
      </c>
    </row>
    <row r="383" customFormat="false" ht="15.75" hidden="false" customHeight="false" outlineLevel="0" collapsed="false">
      <c r="A383" s="9" t="n">
        <v>20</v>
      </c>
      <c r="B383" s="10" t="s">
        <v>14</v>
      </c>
      <c r="C383" s="11" t="n">
        <v>1130.332</v>
      </c>
      <c r="D383" s="10" t="s">
        <v>17</v>
      </c>
      <c r="E383" s="12" t="n">
        <v>5.5</v>
      </c>
      <c r="F383" s="12" t="n">
        <v>5.5</v>
      </c>
      <c r="G383" s="12" t="n">
        <v>0</v>
      </c>
      <c r="H383" s="9" t="n">
        <v>4</v>
      </c>
      <c r="I383" s="9" t="n">
        <v>39</v>
      </c>
      <c r="J383" s="9" t="n">
        <v>1</v>
      </c>
      <c r="K383" s="13" t="s">
        <v>13</v>
      </c>
    </row>
    <row r="384" customFormat="false" ht="15.75" hidden="false" customHeight="false" outlineLevel="0" collapsed="false">
      <c r="A384" s="9" t="n">
        <v>18</v>
      </c>
      <c r="B384" s="10" t="s">
        <v>14</v>
      </c>
      <c r="C384" s="11" t="n">
        <v>6630.736</v>
      </c>
      <c r="D384" s="10" t="s">
        <v>19</v>
      </c>
      <c r="E384" s="12" t="n">
        <v>0</v>
      </c>
      <c r="F384" s="12" t="n">
        <v>0</v>
      </c>
      <c r="G384" s="12" t="n">
        <v>0</v>
      </c>
      <c r="H384" s="9" t="n">
        <v>3</v>
      </c>
      <c r="I384" s="9" t="n">
        <v>38</v>
      </c>
      <c r="J384" s="9" t="n">
        <v>1</v>
      </c>
      <c r="K384" s="13" t="s">
        <v>16</v>
      </c>
    </row>
    <row r="385" customFormat="false" ht="15.75" hidden="false" customHeight="false" outlineLevel="0" collapsed="false">
      <c r="A385" s="9" t="n">
        <v>22</v>
      </c>
      <c r="B385" s="10" t="s">
        <v>14</v>
      </c>
      <c r="C385" s="11" t="n">
        <v>655.613</v>
      </c>
      <c r="D385" s="10" t="s">
        <v>17</v>
      </c>
      <c r="E385" s="12" t="n">
        <v>5.5</v>
      </c>
      <c r="F385" s="12" t="n">
        <v>5.5</v>
      </c>
      <c r="G385" s="12" t="n">
        <v>0</v>
      </c>
      <c r="H385" s="9" t="n">
        <v>4</v>
      </c>
      <c r="I385" s="9" t="n">
        <v>25</v>
      </c>
      <c r="J385" s="9" t="n">
        <v>1</v>
      </c>
      <c r="K385" s="13" t="s">
        <v>13</v>
      </c>
    </row>
    <row r="386" customFormat="false" ht="15.75" hidden="false" customHeight="false" outlineLevel="0" collapsed="false">
      <c r="A386" s="9" t="n">
        <v>12</v>
      </c>
      <c r="B386" s="10" t="s">
        <v>14</v>
      </c>
      <c r="C386" s="11" t="n">
        <v>679.63</v>
      </c>
      <c r="D386" s="10" t="s">
        <v>20</v>
      </c>
      <c r="E386" s="12" t="n">
        <v>0.5</v>
      </c>
      <c r="F386" s="12" t="n">
        <v>0.5</v>
      </c>
      <c r="G386" s="12" t="n">
        <v>0</v>
      </c>
      <c r="H386" s="9" t="n">
        <v>4</v>
      </c>
      <c r="I386" s="9" t="n">
        <v>26</v>
      </c>
      <c r="J386" s="9" t="n">
        <v>1</v>
      </c>
      <c r="K386" s="13" t="s">
        <v>13</v>
      </c>
    </row>
    <row r="387" customFormat="false" ht="15.75" hidden="false" customHeight="false" outlineLevel="0" collapsed="false">
      <c r="A387" s="9" t="n">
        <v>30</v>
      </c>
      <c r="B387" s="10" t="s">
        <v>18</v>
      </c>
      <c r="C387" s="11" t="n">
        <v>2182.992</v>
      </c>
      <c r="D387" s="10" t="s">
        <v>15</v>
      </c>
      <c r="E387" s="12" t="n">
        <v>2.5</v>
      </c>
      <c r="F387" s="12" t="n">
        <v>2.5</v>
      </c>
      <c r="G387" s="12" t="n">
        <v>0</v>
      </c>
      <c r="H387" s="9" t="n">
        <v>2</v>
      </c>
      <c r="I387" s="9" t="n">
        <v>26</v>
      </c>
      <c r="J387" s="9" t="n">
        <v>2</v>
      </c>
      <c r="K387" s="13" t="s">
        <v>13</v>
      </c>
    </row>
    <row r="388" customFormat="false" ht="15.75" hidden="false" customHeight="false" outlineLevel="0" collapsed="false">
      <c r="A388" s="9" t="n">
        <v>18</v>
      </c>
      <c r="B388" s="10" t="s">
        <v>11</v>
      </c>
      <c r="C388" s="11" t="n">
        <v>1143.618</v>
      </c>
      <c r="D388" s="10" t="s">
        <v>15</v>
      </c>
      <c r="E388" s="12" t="n">
        <v>2.5</v>
      </c>
      <c r="F388" s="12" t="n">
        <v>2.5</v>
      </c>
      <c r="G388" s="12" t="n">
        <v>0</v>
      </c>
      <c r="H388" s="9" t="n">
        <v>2</v>
      </c>
      <c r="I388" s="9" t="n">
        <v>25</v>
      </c>
      <c r="J388" s="9" t="n">
        <v>2</v>
      </c>
      <c r="K388" s="13" t="s">
        <v>13</v>
      </c>
    </row>
    <row r="389" customFormat="false" ht="15.75" hidden="false" customHeight="false" outlineLevel="0" collapsed="false">
      <c r="A389" s="9" t="n">
        <v>18</v>
      </c>
      <c r="B389" s="10" t="s">
        <v>14</v>
      </c>
      <c r="C389" s="11" t="n">
        <v>575.386</v>
      </c>
      <c r="D389" s="10" t="s">
        <v>20</v>
      </c>
      <c r="E389" s="12" t="n">
        <v>0.5</v>
      </c>
      <c r="F389" s="12" t="n">
        <v>0.5</v>
      </c>
      <c r="G389" s="12" t="n">
        <v>0</v>
      </c>
      <c r="H389" s="9" t="n">
        <v>4</v>
      </c>
      <c r="I389" s="9" t="n">
        <v>21</v>
      </c>
      <c r="J389" s="9" t="n">
        <v>1</v>
      </c>
      <c r="K389" s="13" t="s">
        <v>13</v>
      </c>
    </row>
    <row r="390" customFormat="false" ht="15.75" hidden="false" customHeight="false" outlineLevel="0" collapsed="false">
      <c r="A390" s="9" t="n">
        <v>18</v>
      </c>
      <c r="B390" s="10" t="s">
        <v>11</v>
      </c>
      <c r="C390" s="11" t="n">
        <v>3768.114</v>
      </c>
      <c r="D390" s="10" t="s">
        <v>19</v>
      </c>
      <c r="E390" s="12" t="n">
        <v>0</v>
      </c>
      <c r="F390" s="12" t="n">
        <v>0</v>
      </c>
      <c r="G390" s="12" t="n">
        <v>0</v>
      </c>
      <c r="H390" s="9" t="n">
        <v>4</v>
      </c>
      <c r="I390" s="9" t="n">
        <v>40</v>
      </c>
      <c r="J390" s="9" t="n">
        <v>2</v>
      </c>
      <c r="K390" s="13" t="s">
        <v>13</v>
      </c>
    </row>
    <row r="391" customFormat="false" ht="15.75" hidden="false" customHeight="false" outlineLevel="0" collapsed="false">
      <c r="A391" s="9" t="n">
        <v>15</v>
      </c>
      <c r="B391" s="10" t="s">
        <v>11</v>
      </c>
      <c r="C391" s="11" t="n">
        <v>1188.586</v>
      </c>
      <c r="D391" s="10" t="s">
        <v>15</v>
      </c>
      <c r="E391" s="12" t="n">
        <v>2.5</v>
      </c>
      <c r="F391" s="12" t="n">
        <v>2.5</v>
      </c>
      <c r="G391" s="12" t="n">
        <v>0</v>
      </c>
      <c r="H391" s="9" t="n">
        <v>2</v>
      </c>
      <c r="I391" s="9" t="n">
        <v>27</v>
      </c>
      <c r="J391" s="9" t="n">
        <v>1</v>
      </c>
      <c r="K391" s="13" t="s">
        <v>13</v>
      </c>
    </row>
    <row r="392" customFormat="false" ht="15.75" hidden="false" customHeight="false" outlineLevel="0" collapsed="false">
      <c r="A392" s="9" t="n">
        <v>9</v>
      </c>
      <c r="B392" s="10" t="s">
        <v>14</v>
      </c>
      <c r="C392" s="11" t="n">
        <v>740.439</v>
      </c>
      <c r="D392" s="10" t="s">
        <v>17</v>
      </c>
      <c r="E392" s="12" t="n">
        <v>5.5</v>
      </c>
      <c r="F392" s="12" t="n">
        <v>5.5</v>
      </c>
      <c r="G392" s="12" t="n">
        <v>0</v>
      </c>
      <c r="H392" s="9" t="n">
        <v>3</v>
      </c>
      <c r="I392" s="9" t="n">
        <v>27</v>
      </c>
      <c r="J392" s="9" t="n">
        <v>2</v>
      </c>
      <c r="K392" s="13" t="s">
        <v>13</v>
      </c>
    </row>
    <row r="393" customFormat="false" ht="15.75" hidden="false" customHeight="false" outlineLevel="0" collapsed="false">
      <c r="A393" s="9" t="n">
        <v>18</v>
      </c>
      <c r="B393" s="10" t="s">
        <v>14</v>
      </c>
      <c r="C393" s="11" t="n">
        <v>930.02</v>
      </c>
      <c r="D393" s="10" t="s">
        <v>15</v>
      </c>
      <c r="E393" s="12" t="n">
        <v>2.5</v>
      </c>
      <c r="F393" s="12" t="n">
        <v>2.5</v>
      </c>
      <c r="G393" s="12" t="n">
        <v>0</v>
      </c>
      <c r="H393" s="9" t="n">
        <v>2</v>
      </c>
      <c r="I393" s="9" t="n">
        <v>30</v>
      </c>
      <c r="J393" s="9" t="n">
        <v>1</v>
      </c>
      <c r="K393" s="13" t="s">
        <v>13</v>
      </c>
    </row>
    <row r="394" customFormat="false" ht="15.75" hidden="false" customHeight="false" outlineLevel="0" collapsed="false">
      <c r="A394" s="9" t="n">
        <v>12</v>
      </c>
      <c r="B394" s="10" t="s">
        <v>14</v>
      </c>
      <c r="C394" s="11" t="n">
        <v>502.313</v>
      </c>
      <c r="D394" s="10" t="s">
        <v>20</v>
      </c>
      <c r="E394" s="12" t="n">
        <v>0.5</v>
      </c>
      <c r="F394" s="12" t="n">
        <v>0.5</v>
      </c>
      <c r="G394" s="12" t="n">
        <v>0</v>
      </c>
      <c r="H394" s="9" t="n">
        <v>1</v>
      </c>
      <c r="I394" s="9" t="n">
        <v>19</v>
      </c>
      <c r="J394" s="9" t="n">
        <v>1</v>
      </c>
      <c r="K394" s="13" t="s">
        <v>13</v>
      </c>
    </row>
    <row r="395" customFormat="false" ht="15.75" hidden="false" customHeight="false" outlineLevel="0" collapsed="false">
      <c r="A395" s="9" t="n">
        <v>36</v>
      </c>
      <c r="B395" s="10" t="s">
        <v>14</v>
      </c>
      <c r="C395" s="11" t="n">
        <v>1660.239</v>
      </c>
      <c r="D395" s="10" t="s">
        <v>17</v>
      </c>
      <c r="E395" s="12" t="n">
        <v>5.5</v>
      </c>
      <c r="F395" s="12" t="n">
        <v>5.5</v>
      </c>
      <c r="G395" s="12" t="n">
        <v>0</v>
      </c>
      <c r="H395" s="9" t="n">
        <v>2</v>
      </c>
      <c r="I395" s="9" t="n">
        <v>39</v>
      </c>
      <c r="J395" s="9" t="n">
        <v>1</v>
      </c>
      <c r="K395" s="13" t="s">
        <v>13</v>
      </c>
    </row>
    <row r="396" customFormat="false" ht="15.75" hidden="false" customHeight="false" outlineLevel="0" collapsed="false">
      <c r="A396" s="9" t="n">
        <v>6</v>
      </c>
      <c r="B396" s="10" t="s">
        <v>11</v>
      </c>
      <c r="C396" s="11" t="n">
        <v>1000.027</v>
      </c>
      <c r="D396" s="10" t="s">
        <v>17</v>
      </c>
      <c r="E396" s="12" t="n">
        <v>5.5</v>
      </c>
      <c r="F396" s="12" t="n">
        <v>5.5</v>
      </c>
      <c r="G396" s="12" t="n">
        <v>0</v>
      </c>
      <c r="H396" s="9" t="n">
        <v>1</v>
      </c>
      <c r="I396" s="9" t="n">
        <v>31</v>
      </c>
      <c r="J396" s="9" t="n">
        <v>1</v>
      </c>
      <c r="K396" s="13" t="s">
        <v>13</v>
      </c>
    </row>
    <row r="397" customFormat="false" ht="15.75" hidden="false" customHeight="false" outlineLevel="0" collapsed="false">
      <c r="A397" s="9" t="n">
        <v>9</v>
      </c>
      <c r="B397" s="10" t="s">
        <v>11</v>
      </c>
      <c r="C397" s="11" t="n">
        <v>1229.466</v>
      </c>
      <c r="D397" s="10" t="s">
        <v>19</v>
      </c>
      <c r="E397" s="12" t="n">
        <v>0</v>
      </c>
      <c r="F397" s="12" t="n">
        <v>0</v>
      </c>
      <c r="G397" s="12" t="n">
        <v>0</v>
      </c>
      <c r="H397" s="9" t="n">
        <v>2</v>
      </c>
      <c r="I397" s="9" t="n">
        <v>31</v>
      </c>
      <c r="J397" s="9" t="n">
        <v>1</v>
      </c>
      <c r="K397" s="13" t="s">
        <v>13</v>
      </c>
    </row>
    <row r="398" customFormat="false" ht="15.75" hidden="false" customHeight="false" outlineLevel="0" collapsed="false">
      <c r="A398" s="9" t="n">
        <v>39</v>
      </c>
      <c r="B398" s="10" t="s">
        <v>18</v>
      </c>
      <c r="C398" s="11" t="n">
        <v>6009.36</v>
      </c>
      <c r="D398" s="10" t="s">
        <v>17</v>
      </c>
      <c r="E398" s="12" t="n">
        <v>5.5</v>
      </c>
      <c r="F398" s="12" t="n">
        <v>5.5</v>
      </c>
      <c r="G398" s="12" t="n">
        <v>0</v>
      </c>
      <c r="H398" s="9" t="n">
        <v>2</v>
      </c>
      <c r="I398" s="9" t="n">
        <v>32</v>
      </c>
      <c r="J398" s="9" t="n">
        <v>1</v>
      </c>
      <c r="K398" s="13" t="s">
        <v>13</v>
      </c>
    </row>
    <row r="399" customFormat="false" ht="15.75" hidden="false" customHeight="false" outlineLevel="0" collapsed="false">
      <c r="A399" s="9" t="n">
        <v>12</v>
      </c>
      <c r="B399" s="10" t="s">
        <v>14</v>
      </c>
      <c r="C399" s="11" t="n">
        <v>1317.358</v>
      </c>
      <c r="D399" s="10" t="s">
        <v>19</v>
      </c>
      <c r="E399" s="12" t="n">
        <v>0</v>
      </c>
      <c r="F399" s="12" t="n">
        <v>0</v>
      </c>
      <c r="G399" s="12" t="n">
        <v>0</v>
      </c>
      <c r="H399" s="9" t="n">
        <v>3</v>
      </c>
      <c r="I399" s="9" t="n">
        <v>55</v>
      </c>
      <c r="J399" s="9" t="n">
        <v>1</v>
      </c>
      <c r="K399" s="13" t="s">
        <v>13</v>
      </c>
    </row>
    <row r="400" customFormat="false" ht="15.75" hidden="false" customHeight="false" outlineLevel="0" collapsed="false">
      <c r="A400" s="9" t="n">
        <v>36</v>
      </c>
      <c r="B400" s="10" t="s">
        <v>11</v>
      </c>
      <c r="C400" s="11" t="n">
        <v>1199.828</v>
      </c>
      <c r="D400" s="10" t="s">
        <v>15</v>
      </c>
      <c r="E400" s="12" t="n">
        <v>2.5</v>
      </c>
      <c r="F400" s="12" t="n">
        <v>2.5</v>
      </c>
      <c r="G400" s="12" t="n">
        <v>0</v>
      </c>
      <c r="H400" s="9" t="n">
        <v>3</v>
      </c>
      <c r="I400" s="9" t="n">
        <v>46</v>
      </c>
      <c r="J400" s="9" t="n">
        <v>2</v>
      </c>
      <c r="K400" s="13" t="s">
        <v>13</v>
      </c>
    </row>
    <row r="401" customFormat="false" ht="15.75" hidden="false" customHeight="false" outlineLevel="0" collapsed="false">
      <c r="A401" s="9" t="n">
        <v>12</v>
      </c>
      <c r="B401" s="10" t="s">
        <v>14</v>
      </c>
      <c r="C401" s="11" t="n">
        <v>624.953</v>
      </c>
      <c r="D401" s="10" t="s">
        <v>12</v>
      </c>
      <c r="E401" s="12" t="n">
        <v>8</v>
      </c>
      <c r="F401" s="12" t="n">
        <v>8</v>
      </c>
      <c r="G401" s="12" t="n">
        <v>0</v>
      </c>
      <c r="H401" s="9" t="n">
        <v>1</v>
      </c>
      <c r="I401" s="9" t="n">
        <v>46</v>
      </c>
      <c r="J401" s="9" t="n">
        <v>2</v>
      </c>
      <c r="K401" s="13" t="s">
        <v>16</v>
      </c>
    </row>
    <row r="402" customFormat="false" ht="15.75" hidden="false" customHeight="false" outlineLevel="0" collapsed="false">
      <c r="A402" s="9" t="n">
        <v>24</v>
      </c>
      <c r="B402" s="10" t="s">
        <v>11</v>
      </c>
      <c r="C402" s="11" t="n">
        <v>774.676</v>
      </c>
      <c r="D402" s="10" t="s">
        <v>15</v>
      </c>
      <c r="E402" s="12" t="n">
        <v>2.5</v>
      </c>
      <c r="F402" s="12" t="n">
        <v>2.5</v>
      </c>
      <c r="G402" s="12" t="n">
        <v>0</v>
      </c>
      <c r="H402" s="9" t="n">
        <v>4</v>
      </c>
      <c r="I402" s="9" t="n">
        <v>43</v>
      </c>
      <c r="J402" s="9" t="n">
        <v>2</v>
      </c>
      <c r="K402" s="13" t="s">
        <v>13</v>
      </c>
    </row>
    <row r="403" customFormat="false" ht="15.75" hidden="false" customHeight="false" outlineLevel="0" collapsed="false">
      <c r="A403" s="9" t="n">
        <v>18</v>
      </c>
      <c r="B403" s="10" t="s">
        <v>14</v>
      </c>
      <c r="C403" s="11" t="n">
        <v>752.703</v>
      </c>
      <c r="D403" s="10" t="s">
        <v>20</v>
      </c>
      <c r="E403" s="12" t="n">
        <v>0.5</v>
      </c>
      <c r="F403" s="12" t="n">
        <v>0.5</v>
      </c>
      <c r="G403" s="12" t="n">
        <v>0</v>
      </c>
      <c r="H403" s="9" t="n">
        <v>3</v>
      </c>
      <c r="I403" s="9" t="n">
        <v>39</v>
      </c>
      <c r="J403" s="9" t="n">
        <v>1</v>
      </c>
      <c r="K403" s="13" t="s">
        <v>13</v>
      </c>
    </row>
    <row r="404" customFormat="false" ht="15.75" hidden="false" customHeight="false" outlineLevel="0" collapsed="false">
      <c r="A404" s="9" t="n">
        <v>18</v>
      </c>
      <c r="B404" s="10" t="s">
        <v>11</v>
      </c>
      <c r="C404" s="11" t="n">
        <v>964.257</v>
      </c>
      <c r="D404" s="10" t="s">
        <v>15</v>
      </c>
      <c r="E404" s="12" t="n">
        <v>2.5</v>
      </c>
      <c r="F404" s="12" t="n">
        <v>2.5</v>
      </c>
      <c r="G404" s="12" t="n">
        <v>0</v>
      </c>
      <c r="H404" s="9" t="n">
        <v>4</v>
      </c>
      <c r="I404" s="9" t="n">
        <v>28</v>
      </c>
      <c r="J404" s="9" t="n">
        <v>2</v>
      </c>
      <c r="K404" s="13" t="s">
        <v>13</v>
      </c>
    </row>
    <row r="405" customFormat="false" ht="15.75" hidden="false" customHeight="false" outlineLevel="0" collapsed="false">
      <c r="A405" s="9" t="n">
        <v>24</v>
      </c>
      <c r="B405" s="10" t="s">
        <v>18</v>
      </c>
      <c r="C405" s="11" t="n">
        <v>4419.128</v>
      </c>
      <c r="D405" s="10" t="s">
        <v>20</v>
      </c>
      <c r="E405" s="12" t="n">
        <v>0.5</v>
      </c>
      <c r="F405" s="12" t="n">
        <v>0.5</v>
      </c>
      <c r="G405" s="12" t="n">
        <v>0</v>
      </c>
      <c r="H405" s="9" t="n">
        <v>2</v>
      </c>
      <c r="I405" s="9" t="n">
        <v>27</v>
      </c>
      <c r="J405" s="9" t="n">
        <v>2</v>
      </c>
      <c r="K405" s="13" t="s">
        <v>16</v>
      </c>
    </row>
    <row r="406" customFormat="false" ht="15.75" hidden="false" customHeight="false" outlineLevel="0" collapsed="false">
      <c r="A406" s="9" t="n">
        <v>14</v>
      </c>
      <c r="B406" s="10" t="s">
        <v>18</v>
      </c>
      <c r="C406" s="11" t="n">
        <v>409.822</v>
      </c>
      <c r="D406" s="10" t="s">
        <v>15</v>
      </c>
      <c r="E406" s="12" t="n">
        <v>2.5</v>
      </c>
      <c r="F406" s="12" t="n">
        <v>2.5</v>
      </c>
      <c r="G406" s="12" t="n">
        <v>0</v>
      </c>
      <c r="H406" s="9" t="n">
        <v>4</v>
      </c>
      <c r="I406" s="9" t="n">
        <v>27</v>
      </c>
      <c r="J406" s="9" t="n">
        <v>2</v>
      </c>
      <c r="K406" s="13" t="s">
        <v>13</v>
      </c>
    </row>
    <row r="407" customFormat="false" ht="15.75" hidden="false" customHeight="false" outlineLevel="0" collapsed="false">
      <c r="A407" s="9" t="n">
        <v>18</v>
      </c>
      <c r="B407" s="10" t="s">
        <v>18</v>
      </c>
      <c r="C407" s="11" t="n">
        <v>1481.389</v>
      </c>
      <c r="D407" s="10" t="s">
        <v>12</v>
      </c>
      <c r="E407" s="12" t="n">
        <v>8</v>
      </c>
      <c r="F407" s="12" t="n">
        <v>8</v>
      </c>
      <c r="G407" s="12" t="n">
        <v>0</v>
      </c>
      <c r="H407" s="9" t="n">
        <v>4</v>
      </c>
      <c r="I407" s="9" t="n">
        <v>43</v>
      </c>
      <c r="J407" s="9" t="n">
        <v>1</v>
      </c>
      <c r="K407" s="13" t="s">
        <v>13</v>
      </c>
    </row>
    <row r="408" customFormat="false" ht="15.75" hidden="false" customHeight="false" outlineLevel="0" collapsed="false">
      <c r="A408" s="9" t="n">
        <v>24</v>
      </c>
      <c r="B408" s="10" t="s">
        <v>14</v>
      </c>
      <c r="C408" s="11" t="n">
        <v>1041.929</v>
      </c>
      <c r="D408" s="10" t="s">
        <v>20</v>
      </c>
      <c r="E408" s="12" t="n">
        <v>0.5</v>
      </c>
      <c r="F408" s="12" t="n">
        <v>0.5</v>
      </c>
      <c r="G408" s="12" t="n">
        <v>0</v>
      </c>
      <c r="H408" s="9" t="n">
        <v>1</v>
      </c>
      <c r="I408" s="9" t="n">
        <v>22</v>
      </c>
      <c r="J408" s="9" t="n">
        <v>1</v>
      </c>
      <c r="K408" s="13" t="s">
        <v>16</v>
      </c>
    </row>
    <row r="409" customFormat="false" ht="15.75" hidden="false" customHeight="false" outlineLevel="0" collapsed="false">
      <c r="A409" s="9" t="n">
        <v>24</v>
      </c>
      <c r="B409" s="10" t="s">
        <v>11</v>
      </c>
      <c r="C409" s="11" t="n">
        <v>1122.667</v>
      </c>
      <c r="D409" s="10" t="s">
        <v>17</v>
      </c>
      <c r="E409" s="12" t="n">
        <v>5.5</v>
      </c>
      <c r="F409" s="12" t="n">
        <v>5.5</v>
      </c>
      <c r="G409" s="12" t="n">
        <v>0</v>
      </c>
      <c r="H409" s="9" t="n">
        <v>4</v>
      </c>
      <c r="I409" s="9" t="n">
        <v>43</v>
      </c>
      <c r="J409" s="9" t="n">
        <v>2</v>
      </c>
      <c r="K409" s="13" t="s">
        <v>13</v>
      </c>
    </row>
    <row r="410" customFormat="false" ht="15.75" hidden="false" customHeight="false" outlineLevel="0" collapsed="false">
      <c r="A410" s="9" t="n">
        <v>15</v>
      </c>
      <c r="B410" s="10" t="s">
        <v>14</v>
      </c>
      <c r="C410" s="11" t="n">
        <v>538.083</v>
      </c>
      <c r="D410" s="10" t="s">
        <v>20</v>
      </c>
      <c r="E410" s="12" t="n">
        <v>0.5</v>
      </c>
      <c r="F410" s="12" t="n">
        <v>0.5</v>
      </c>
      <c r="G410" s="12" t="n">
        <v>0</v>
      </c>
      <c r="H410" s="9" t="n">
        <v>4</v>
      </c>
      <c r="I410" s="9" t="n">
        <v>27</v>
      </c>
      <c r="J410" s="9" t="n">
        <v>1</v>
      </c>
      <c r="K410" s="13" t="s">
        <v>13</v>
      </c>
    </row>
    <row r="411" customFormat="false" ht="15.75" hidden="false" customHeight="false" outlineLevel="0" collapsed="false">
      <c r="A411" s="9" t="n">
        <v>24</v>
      </c>
      <c r="B411" s="10" t="s">
        <v>14</v>
      </c>
      <c r="C411" s="11" t="n">
        <v>1653.085</v>
      </c>
      <c r="D411" s="10" t="s">
        <v>12</v>
      </c>
      <c r="E411" s="12" t="n">
        <v>8</v>
      </c>
      <c r="F411" s="12" t="n">
        <v>8</v>
      </c>
      <c r="G411" s="12" t="n">
        <v>0</v>
      </c>
      <c r="H411" s="9" t="n">
        <v>3</v>
      </c>
      <c r="I411" s="9" t="n">
        <v>26</v>
      </c>
      <c r="J411" s="9" t="n">
        <v>1</v>
      </c>
      <c r="K411" s="13" t="s">
        <v>13</v>
      </c>
    </row>
    <row r="412" customFormat="false" ht="15.75" hidden="false" customHeight="false" outlineLevel="0" collapsed="false">
      <c r="A412" s="9" t="n">
        <v>12</v>
      </c>
      <c r="B412" s="10" t="s">
        <v>11</v>
      </c>
      <c r="C412" s="11" t="n">
        <v>479.829</v>
      </c>
      <c r="D412" s="10" t="s">
        <v>17</v>
      </c>
      <c r="E412" s="12" t="n">
        <v>5.5</v>
      </c>
      <c r="F412" s="12" t="n">
        <v>5.5</v>
      </c>
      <c r="G412" s="12" t="n">
        <v>0</v>
      </c>
      <c r="H412" s="9" t="n">
        <v>4</v>
      </c>
      <c r="I412" s="9" t="n">
        <v>28</v>
      </c>
      <c r="J412" s="9" t="n">
        <v>3</v>
      </c>
      <c r="K412" s="13" t="s">
        <v>16</v>
      </c>
    </row>
    <row r="413" customFormat="false" ht="15.75" hidden="false" customHeight="false" outlineLevel="0" collapsed="false">
      <c r="A413" s="9" t="n">
        <v>24</v>
      </c>
      <c r="B413" s="10" t="s">
        <v>14</v>
      </c>
      <c r="C413" s="11" t="n">
        <v>1005.137</v>
      </c>
      <c r="D413" s="10" t="s">
        <v>12</v>
      </c>
      <c r="E413" s="12" t="n">
        <v>8</v>
      </c>
      <c r="F413" s="12" t="n">
        <v>2</v>
      </c>
      <c r="G413" s="12" t="n">
        <v>1</v>
      </c>
      <c r="H413" s="9" t="n">
        <v>4</v>
      </c>
      <c r="I413" s="9" t="n">
        <v>20</v>
      </c>
      <c r="J413" s="9" t="n">
        <v>1</v>
      </c>
      <c r="K413" s="13" t="s">
        <v>13</v>
      </c>
    </row>
    <row r="414" customFormat="false" ht="15.75" hidden="false" customHeight="false" outlineLevel="0" collapsed="false">
      <c r="A414" s="9" t="n">
        <v>33</v>
      </c>
      <c r="B414" s="10" t="s">
        <v>11</v>
      </c>
      <c r="C414" s="11" t="n">
        <v>3706.283</v>
      </c>
      <c r="D414" s="10" t="s">
        <v>17</v>
      </c>
      <c r="E414" s="12" t="n">
        <v>5.5</v>
      </c>
      <c r="F414" s="12" t="n">
        <v>5.5</v>
      </c>
      <c r="G414" s="12" t="n">
        <v>0</v>
      </c>
      <c r="H414" s="9" t="n">
        <v>3</v>
      </c>
      <c r="I414" s="9" t="n">
        <v>35</v>
      </c>
      <c r="J414" s="9" t="n">
        <v>2</v>
      </c>
      <c r="K414" s="13" t="s">
        <v>13</v>
      </c>
    </row>
    <row r="415" customFormat="false" ht="15.75" hidden="false" customHeight="false" outlineLevel="0" collapsed="false">
      <c r="A415" s="9" t="n">
        <v>12</v>
      </c>
      <c r="B415" s="10" t="s">
        <v>11</v>
      </c>
      <c r="C415" s="11" t="n">
        <v>1171.212</v>
      </c>
      <c r="D415" s="10" t="s">
        <v>19</v>
      </c>
      <c r="E415" s="12" t="n">
        <v>0</v>
      </c>
      <c r="F415" s="12" t="n">
        <v>0</v>
      </c>
      <c r="G415" s="12" t="n">
        <v>0</v>
      </c>
      <c r="H415" s="9" t="n">
        <v>4</v>
      </c>
      <c r="I415" s="9" t="n">
        <v>42</v>
      </c>
      <c r="J415" s="9" t="n">
        <v>2</v>
      </c>
      <c r="K415" s="13" t="s">
        <v>16</v>
      </c>
    </row>
    <row r="416" customFormat="false" ht="15.75" hidden="false" customHeight="false" outlineLevel="0" collapsed="false">
      <c r="A416" s="9" t="n">
        <v>10</v>
      </c>
      <c r="B416" s="10" t="s">
        <v>14</v>
      </c>
      <c r="C416" s="11" t="n">
        <v>816.067</v>
      </c>
      <c r="D416" s="10" t="s">
        <v>15</v>
      </c>
      <c r="E416" s="12" t="n">
        <v>2.5</v>
      </c>
      <c r="F416" s="12" t="n">
        <v>2.5</v>
      </c>
      <c r="G416" s="12" t="n">
        <v>0</v>
      </c>
      <c r="H416" s="9" t="n">
        <v>3</v>
      </c>
      <c r="I416" s="9" t="n">
        <v>40</v>
      </c>
      <c r="J416" s="9" t="n">
        <v>1</v>
      </c>
      <c r="K416" s="13" t="s">
        <v>13</v>
      </c>
    </row>
    <row r="417" customFormat="false" ht="15.75" hidden="false" customHeight="false" outlineLevel="0" collapsed="false">
      <c r="A417" s="9" t="n">
        <v>24</v>
      </c>
      <c r="B417" s="10" t="s">
        <v>14</v>
      </c>
      <c r="C417" s="11" t="n">
        <v>705.691</v>
      </c>
      <c r="D417" s="10" t="s">
        <v>15</v>
      </c>
      <c r="E417" s="12" t="n">
        <v>2.5</v>
      </c>
      <c r="F417" s="12" t="n">
        <v>2.5</v>
      </c>
      <c r="G417" s="12" t="n">
        <v>0</v>
      </c>
      <c r="H417" s="9" t="n">
        <v>4</v>
      </c>
      <c r="I417" s="9" t="n">
        <v>35</v>
      </c>
      <c r="J417" s="9" t="n">
        <v>1</v>
      </c>
      <c r="K417" s="13" t="s">
        <v>16</v>
      </c>
    </row>
    <row r="418" customFormat="false" ht="15.75" hidden="false" customHeight="false" outlineLevel="0" collapsed="false">
      <c r="A418" s="9" t="n">
        <v>36</v>
      </c>
      <c r="B418" s="10" t="s">
        <v>11</v>
      </c>
      <c r="C418" s="11" t="n">
        <v>2985.262</v>
      </c>
      <c r="D418" s="10" t="s">
        <v>12</v>
      </c>
      <c r="E418" s="12" t="n">
        <v>8</v>
      </c>
      <c r="F418" s="12" t="n">
        <v>8</v>
      </c>
      <c r="G418" s="12" t="n">
        <v>0</v>
      </c>
      <c r="H418" s="9" t="n">
        <v>2</v>
      </c>
      <c r="I418" s="9" t="n">
        <v>35</v>
      </c>
      <c r="J418" s="9" t="n">
        <v>2</v>
      </c>
      <c r="K418" s="13" t="s">
        <v>13</v>
      </c>
    </row>
    <row r="419" customFormat="false" ht="15.75" hidden="false" customHeight="false" outlineLevel="0" collapsed="false">
      <c r="A419" s="9" t="n">
        <v>12</v>
      </c>
      <c r="B419" s="10" t="s">
        <v>14</v>
      </c>
      <c r="C419" s="11" t="n">
        <v>1317.869</v>
      </c>
      <c r="D419" s="10" t="s">
        <v>20</v>
      </c>
      <c r="E419" s="12" t="n">
        <v>0.5</v>
      </c>
      <c r="F419" s="12" t="n">
        <v>0.5</v>
      </c>
      <c r="G419" s="12" t="n">
        <v>0</v>
      </c>
      <c r="H419" s="9" t="n">
        <v>4</v>
      </c>
      <c r="I419" s="9" t="n">
        <v>33</v>
      </c>
      <c r="J419" s="9" t="n">
        <v>1</v>
      </c>
      <c r="K419" s="13" t="s">
        <v>16</v>
      </c>
    </row>
    <row r="420" customFormat="false" ht="15.75" hidden="false" customHeight="false" outlineLevel="0" collapsed="false">
      <c r="A420" s="9" t="n">
        <v>18</v>
      </c>
      <c r="B420" s="10" t="s">
        <v>18</v>
      </c>
      <c r="C420" s="11" t="n">
        <v>4328.681</v>
      </c>
      <c r="D420" s="10" t="s">
        <v>15</v>
      </c>
      <c r="E420" s="12" t="n">
        <v>2.5</v>
      </c>
      <c r="F420" s="12" t="n">
        <v>2.5</v>
      </c>
      <c r="G420" s="12" t="n">
        <v>0</v>
      </c>
      <c r="H420" s="9" t="n">
        <v>1</v>
      </c>
      <c r="I420" s="9" t="n">
        <v>23</v>
      </c>
      <c r="J420" s="9" t="n">
        <v>2</v>
      </c>
      <c r="K420" s="13" t="s">
        <v>13</v>
      </c>
    </row>
    <row r="421" customFormat="false" ht="15.75" hidden="false" customHeight="false" outlineLevel="0" collapsed="false">
      <c r="A421" s="9" t="n">
        <v>21</v>
      </c>
      <c r="B421" s="10" t="s">
        <v>14</v>
      </c>
      <c r="C421" s="11" t="n">
        <v>1421.602</v>
      </c>
      <c r="D421" s="10" t="s">
        <v>17</v>
      </c>
      <c r="E421" s="12" t="n">
        <v>5.5</v>
      </c>
      <c r="F421" s="12" t="n">
        <v>5.5</v>
      </c>
      <c r="G421" s="12" t="n">
        <v>0</v>
      </c>
      <c r="H421" s="9" t="n">
        <v>1</v>
      </c>
      <c r="I421" s="9" t="n">
        <v>31</v>
      </c>
      <c r="J421" s="9" t="n">
        <v>1</v>
      </c>
      <c r="K421" s="13" t="s">
        <v>13</v>
      </c>
    </row>
    <row r="422" customFormat="false" ht="15.75" hidden="false" customHeight="false" outlineLevel="0" collapsed="false">
      <c r="A422" s="9" t="n">
        <v>18</v>
      </c>
      <c r="B422" s="10" t="s">
        <v>14</v>
      </c>
      <c r="C422" s="11" t="n">
        <v>532.462</v>
      </c>
      <c r="D422" s="10" t="s">
        <v>15</v>
      </c>
      <c r="E422" s="12" t="n">
        <v>2.5</v>
      </c>
      <c r="F422" s="12" t="n">
        <v>2.5</v>
      </c>
      <c r="G422" s="12" t="n">
        <v>0</v>
      </c>
      <c r="H422" s="9" t="n">
        <v>4</v>
      </c>
      <c r="I422" s="9" t="n">
        <v>33</v>
      </c>
      <c r="J422" s="9" t="n">
        <v>1</v>
      </c>
      <c r="K422" s="13" t="s">
        <v>16</v>
      </c>
    </row>
    <row r="423" customFormat="false" ht="15.75" hidden="false" customHeight="false" outlineLevel="0" collapsed="false">
      <c r="A423" s="9" t="n">
        <v>15</v>
      </c>
      <c r="B423" s="10" t="s">
        <v>14</v>
      </c>
      <c r="C423" s="11" t="n">
        <v>1628.046</v>
      </c>
      <c r="D423" s="10" t="s">
        <v>17</v>
      </c>
      <c r="E423" s="12" t="n">
        <v>5.5</v>
      </c>
      <c r="F423" s="12" t="n">
        <v>2</v>
      </c>
      <c r="G423" s="12" t="n">
        <v>1</v>
      </c>
      <c r="H423" s="9" t="n">
        <v>2</v>
      </c>
      <c r="I423" s="9" t="n">
        <v>20</v>
      </c>
      <c r="J423" s="9" t="n">
        <v>1</v>
      </c>
      <c r="K423" s="13" t="s">
        <v>13</v>
      </c>
    </row>
    <row r="424" customFormat="false" ht="15.75" hidden="false" customHeight="false" outlineLevel="0" collapsed="false">
      <c r="A424" s="9" t="n">
        <v>12</v>
      </c>
      <c r="B424" s="10" t="s">
        <v>14</v>
      </c>
      <c r="C424" s="11" t="n">
        <v>1036.308</v>
      </c>
      <c r="D424" s="10" t="s">
        <v>15</v>
      </c>
      <c r="E424" s="12" t="n">
        <v>2.5</v>
      </c>
      <c r="F424" s="12" t="n">
        <v>2.5</v>
      </c>
      <c r="G424" s="12" t="n">
        <v>0</v>
      </c>
      <c r="H424" s="9" t="n">
        <v>4</v>
      </c>
      <c r="I424" s="9" t="n">
        <v>30</v>
      </c>
      <c r="J424" s="9" t="n">
        <v>1</v>
      </c>
      <c r="K424" s="13" t="s">
        <v>13</v>
      </c>
    </row>
    <row r="425" customFormat="false" ht="15.75" hidden="false" customHeight="false" outlineLevel="0" collapsed="false">
      <c r="A425" s="9" t="n">
        <v>12</v>
      </c>
      <c r="B425" s="10" t="s">
        <v>11</v>
      </c>
      <c r="C425" s="11" t="n">
        <v>489.538</v>
      </c>
      <c r="D425" s="10" t="s">
        <v>17</v>
      </c>
      <c r="E425" s="12" t="n">
        <v>5.5</v>
      </c>
      <c r="F425" s="12" t="n">
        <v>5.5</v>
      </c>
      <c r="G425" s="12" t="n">
        <v>0</v>
      </c>
      <c r="H425" s="9" t="n">
        <v>2</v>
      </c>
      <c r="I425" s="9" t="n">
        <v>47</v>
      </c>
      <c r="J425" s="9" t="n">
        <v>2</v>
      </c>
      <c r="K425" s="13" t="s">
        <v>13</v>
      </c>
    </row>
    <row r="426" customFormat="false" ht="15.75" hidden="false" customHeight="false" outlineLevel="0" collapsed="false">
      <c r="A426" s="9" t="n">
        <v>21</v>
      </c>
      <c r="B426" s="10" t="s">
        <v>18</v>
      </c>
      <c r="C426" s="11" t="n">
        <v>813.001</v>
      </c>
      <c r="D426" s="10" t="s">
        <v>17</v>
      </c>
      <c r="E426" s="12" t="n">
        <v>5.5</v>
      </c>
      <c r="F426" s="12" t="n">
        <v>5.5</v>
      </c>
      <c r="G426" s="12" t="n">
        <v>0</v>
      </c>
      <c r="H426" s="9" t="n">
        <v>4</v>
      </c>
      <c r="I426" s="9" t="n">
        <v>34</v>
      </c>
      <c r="J426" s="9" t="n">
        <v>2</v>
      </c>
      <c r="K426" s="13" t="s">
        <v>13</v>
      </c>
    </row>
    <row r="427" customFormat="false" ht="15.75" hidden="false" customHeight="false" outlineLevel="0" collapsed="false">
      <c r="A427" s="9" t="n">
        <v>12</v>
      </c>
      <c r="B427" s="10" t="s">
        <v>14</v>
      </c>
      <c r="C427" s="11" t="n">
        <v>1411.382</v>
      </c>
      <c r="D427" s="10" t="s">
        <v>12</v>
      </c>
      <c r="E427" s="12" t="n">
        <v>8</v>
      </c>
      <c r="F427" s="12" t="n">
        <v>7</v>
      </c>
      <c r="G427" s="12" t="n">
        <v>1</v>
      </c>
      <c r="H427" s="9" t="n">
        <v>1</v>
      </c>
      <c r="I427" s="9" t="n">
        <v>25</v>
      </c>
      <c r="J427" s="9" t="n">
        <v>1</v>
      </c>
      <c r="K427" s="13" t="s">
        <v>16</v>
      </c>
    </row>
    <row r="428" customFormat="false" ht="15.75" hidden="false" customHeight="false" outlineLevel="0" collapsed="false">
      <c r="A428" s="9" t="n">
        <v>18</v>
      </c>
      <c r="B428" s="10" t="s">
        <v>14</v>
      </c>
      <c r="C428" s="11" t="n">
        <v>1420.069</v>
      </c>
      <c r="D428" s="10" t="s">
        <v>15</v>
      </c>
      <c r="E428" s="12" t="n">
        <v>2.5</v>
      </c>
      <c r="F428" s="12" t="n">
        <v>2.5</v>
      </c>
      <c r="G428" s="12" t="n">
        <v>0</v>
      </c>
      <c r="H428" s="9" t="n">
        <v>1</v>
      </c>
      <c r="I428" s="9" t="n">
        <v>21</v>
      </c>
      <c r="J428" s="9" t="n">
        <v>1</v>
      </c>
      <c r="K428" s="13" t="s">
        <v>13</v>
      </c>
    </row>
    <row r="429" customFormat="false" ht="15.75" hidden="false" customHeight="false" outlineLevel="0" collapsed="false">
      <c r="A429" s="9" t="n">
        <v>28</v>
      </c>
      <c r="B429" s="10" t="s">
        <v>11</v>
      </c>
      <c r="C429" s="11" t="n">
        <v>1401.673</v>
      </c>
      <c r="D429" s="10" t="s">
        <v>12</v>
      </c>
      <c r="E429" s="12" t="n">
        <v>8</v>
      </c>
      <c r="F429" s="12" t="n">
        <v>8</v>
      </c>
      <c r="G429" s="12" t="n">
        <v>0</v>
      </c>
      <c r="H429" s="9" t="n">
        <v>4</v>
      </c>
      <c r="I429" s="9" t="n">
        <v>29</v>
      </c>
      <c r="J429" s="9" t="n">
        <v>2</v>
      </c>
      <c r="K429" s="13" t="s">
        <v>13</v>
      </c>
    </row>
    <row r="430" customFormat="false" ht="15.75" hidden="false" customHeight="false" outlineLevel="0" collapsed="false">
      <c r="A430" s="9" t="n">
        <v>18</v>
      </c>
      <c r="B430" s="10" t="s">
        <v>11</v>
      </c>
      <c r="C430" s="11" t="n">
        <v>587.139</v>
      </c>
      <c r="D430" s="10" t="s">
        <v>15</v>
      </c>
      <c r="E430" s="12" t="n">
        <v>2.5</v>
      </c>
      <c r="F430" s="12" t="n">
        <v>2.5</v>
      </c>
      <c r="G430" s="12" t="n">
        <v>0</v>
      </c>
      <c r="H430" s="9" t="n">
        <v>4</v>
      </c>
      <c r="I430" s="9" t="n">
        <v>46</v>
      </c>
      <c r="J430" s="9" t="n">
        <v>2</v>
      </c>
      <c r="K430" s="13" t="s">
        <v>13</v>
      </c>
    </row>
    <row r="431" customFormat="false" ht="15.75" hidden="false" customHeight="false" outlineLevel="0" collapsed="false">
      <c r="A431" s="9" t="n">
        <v>9</v>
      </c>
      <c r="B431" s="10" t="s">
        <v>14</v>
      </c>
      <c r="C431" s="11" t="n">
        <v>670.943</v>
      </c>
      <c r="D431" s="10" t="s">
        <v>12</v>
      </c>
      <c r="E431" s="12" t="n">
        <v>8</v>
      </c>
      <c r="F431" s="12" t="n">
        <v>2</v>
      </c>
      <c r="G431" s="12" t="n">
        <v>1</v>
      </c>
      <c r="H431" s="9" t="n">
        <v>1</v>
      </c>
      <c r="I431" s="9" t="n">
        <v>20</v>
      </c>
      <c r="J431" s="9" t="n">
        <v>1</v>
      </c>
      <c r="K431" s="13" t="s">
        <v>13</v>
      </c>
    </row>
    <row r="432" customFormat="false" ht="15.75" hidden="false" customHeight="false" outlineLevel="0" collapsed="false">
      <c r="A432" s="9" t="n">
        <v>18</v>
      </c>
      <c r="B432" s="10" t="s">
        <v>11</v>
      </c>
      <c r="C432" s="11" t="n">
        <v>608.09</v>
      </c>
      <c r="D432" s="10" t="s">
        <v>19</v>
      </c>
      <c r="E432" s="12" t="n">
        <v>0</v>
      </c>
      <c r="F432" s="12" t="n">
        <v>0</v>
      </c>
      <c r="G432" s="12" t="n">
        <v>0</v>
      </c>
      <c r="H432" s="9" t="n">
        <v>2</v>
      </c>
      <c r="I432" s="9" t="n">
        <v>55</v>
      </c>
      <c r="J432" s="9" t="n">
        <v>3</v>
      </c>
      <c r="K432" s="13" t="s">
        <v>16</v>
      </c>
    </row>
    <row r="433" customFormat="false" ht="15.75" hidden="false" customHeight="false" outlineLevel="0" collapsed="false">
      <c r="A433" s="9" t="n">
        <v>5</v>
      </c>
      <c r="B433" s="10" t="s">
        <v>14</v>
      </c>
      <c r="C433" s="11" t="n">
        <v>1761.928</v>
      </c>
      <c r="D433" s="10" t="s">
        <v>17</v>
      </c>
      <c r="E433" s="12" t="n">
        <v>5.5</v>
      </c>
      <c r="F433" s="12" t="n">
        <v>5.5</v>
      </c>
      <c r="G433" s="12" t="n">
        <v>0</v>
      </c>
      <c r="H433" s="9" t="n">
        <v>1</v>
      </c>
      <c r="I433" s="9" t="n">
        <v>74</v>
      </c>
      <c r="J433" s="9" t="n">
        <v>1</v>
      </c>
      <c r="K433" s="13" t="s">
        <v>13</v>
      </c>
    </row>
    <row r="434" customFormat="false" ht="15.75" hidden="false" customHeight="false" outlineLevel="0" collapsed="false">
      <c r="A434" s="9" t="n">
        <v>24</v>
      </c>
      <c r="B434" s="10" t="s">
        <v>14</v>
      </c>
      <c r="C434" s="11" t="n">
        <v>5788.608</v>
      </c>
      <c r="D434" s="10" t="s">
        <v>15</v>
      </c>
      <c r="E434" s="12" t="n">
        <v>2.5</v>
      </c>
      <c r="F434" s="12" t="n">
        <v>2.5</v>
      </c>
      <c r="G434" s="12" t="n">
        <v>0</v>
      </c>
      <c r="H434" s="9" t="n">
        <v>2</v>
      </c>
      <c r="I434" s="9" t="n">
        <v>29</v>
      </c>
      <c r="J434" s="9" t="n">
        <v>2</v>
      </c>
      <c r="K434" s="13" t="s">
        <v>16</v>
      </c>
    </row>
    <row r="435" customFormat="false" ht="15.75" hidden="false" customHeight="false" outlineLevel="0" collapsed="false">
      <c r="A435" s="9" t="n">
        <v>6</v>
      </c>
      <c r="B435" s="10" t="s">
        <v>11</v>
      </c>
      <c r="C435" s="11" t="n">
        <v>956.592</v>
      </c>
      <c r="D435" s="10" t="s">
        <v>19</v>
      </c>
      <c r="E435" s="12" t="n">
        <v>0</v>
      </c>
      <c r="F435" s="12" t="n">
        <v>0</v>
      </c>
      <c r="G435" s="12" t="n">
        <v>0</v>
      </c>
      <c r="H435" s="9" t="n">
        <v>4</v>
      </c>
      <c r="I435" s="9" t="n">
        <v>36</v>
      </c>
      <c r="J435" s="9" t="n">
        <v>3</v>
      </c>
      <c r="K435" s="13" t="s">
        <v>13</v>
      </c>
    </row>
    <row r="436" customFormat="false" ht="15.75" hidden="false" customHeight="false" outlineLevel="0" collapsed="false">
      <c r="A436" s="9" t="n">
        <v>24</v>
      </c>
      <c r="B436" s="10" t="s">
        <v>11</v>
      </c>
      <c r="C436" s="11" t="n">
        <v>1051.638</v>
      </c>
      <c r="D436" s="10" t="s">
        <v>15</v>
      </c>
      <c r="E436" s="12" t="n">
        <v>2.5</v>
      </c>
      <c r="F436" s="12" t="n">
        <v>2.5</v>
      </c>
      <c r="G436" s="12" t="n">
        <v>0</v>
      </c>
      <c r="H436" s="9" t="n">
        <v>4</v>
      </c>
      <c r="I436" s="9" t="n">
        <v>33</v>
      </c>
      <c r="J436" s="9" t="n">
        <v>2</v>
      </c>
      <c r="K436" s="13" t="s">
        <v>13</v>
      </c>
    </row>
    <row r="437" customFormat="false" ht="15.75" hidden="false" customHeight="false" outlineLevel="0" collapsed="false">
      <c r="A437" s="9" t="n">
        <v>9</v>
      </c>
      <c r="B437" s="10" t="s">
        <v>14</v>
      </c>
      <c r="C437" s="11" t="n">
        <v>1091.496</v>
      </c>
      <c r="D437" s="10" t="s">
        <v>15</v>
      </c>
      <c r="E437" s="12" t="n">
        <v>2.5</v>
      </c>
      <c r="F437" s="12" t="n">
        <v>2.5</v>
      </c>
      <c r="G437" s="12" t="n">
        <v>0</v>
      </c>
      <c r="H437" s="9" t="n">
        <v>3</v>
      </c>
      <c r="I437" s="9" t="n">
        <v>25</v>
      </c>
      <c r="J437" s="9" t="n">
        <v>1</v>
      </c>
      <c r="K437" s="13" t="s">
        <v>13</v>
      </c>
    </row>
    <row r="438" customFormat="false" ht="15.75" hidden="false" customHeight="false" outlineLevel="0" collapsed="false">
      <c r="A438" s="9" t="n">
        <v>12</v>
      </c>
      <c r="B438" s="10" t="s">
        <v>14</v>
      </c>
      <c r="C438" s="11" t="n">
        <v>758.324</v>
      </c>
      <c r="D438" s="10" t="s">
        <v>15</v>
      </c>
      <c r="E438" s="12" t="n">
        <v>2.5</v>
      </c>
      <c r="F438" s="12" t="n">
        <v>2.5</v>
      </c>
      <c r="G438" s="12" t="n">
        <v>0</v>
      </c>
      <c r="H438" s="9" t="n">
        <v>2</v>
      </c>
      <c r="I438" s="9" t="n">
        <v>25</v>
      </c>
      <c r="J438" s="9" t="n">
        <v>1</v>
      </c>
      <c r="K438" s="13" t="s">
        <v>16</v>
      </c>
    </row>
    <row r="439" customFormat="false" ht="15.75" hidden="false" customHeight="false" outlineLevel="0" collapsed="false">
      <c r="A439" s="9" t="n">
        <v>6</v>
      </c>
      <c r="B439" s="10" t="s">
        <v>14</v>
      </c>
      <c r="C439" s="11" t="n">
        <v>337.26</v>
      </c>
      <c r="D439" s="10" t="s">
        <v>17</v>
      </c>
      <c r="E439" s="12" t="n">
        <v>5.5</v>
      </c>
      <c r="F439" s="12" t="n">
        <v>5</v>
      </c>
      <c r="G439" s="12" t="n">
        <v>1</v>
      </c>
      <c r="H439" s="9" t="n">
        <v>2</v>
      </c>
      <c r="I439" s="9" t="n">
        <v>23</v>
      </c>
      <c r="J439" s="9" t="n">
        <v>1</v>
      </c>
      <c r="K439" s="13" t="s">
        <v>13</v>
      </c>
    </row>
    <row r="440" customFormat="false" ht="15.75" hidden="false" customHeight="false" outlineLevel="0" collapsed="false">
      <c r="A440" s="9" t="n">
        <v>24</v>
      </c>
      <c r="B440" s="10" t="s">
        <v>11</v>
      </c>
      <c r="C440" s="11" t="n">
        <v>657.657</v>
      </c>
      <c r="D440" s="10" t="s">
        <v>12</v>
      </c>
      <c r="E440" s="12" t="n">
        <v>8</v>
      </c>
      <c r="F440" s="12" t="n">
        <v>8</v>
      </c>
      <c r="G440" s="12" t="n">
        <v>0</v>
      </c>
      <c r="H440" s="9" t="n">
        <v>4</v>
      </c>
      <c r="I440" s="9" t="n">
        <v>37</v>
      </c>
      <c r="J440" s="9" t="n">
        <v>2</v>
      </c>
      <c r="K440" s="13" t="s">
        <v>13</v>
      </c>
    </row>
    <row r="441" customFormat="false" ht="15.75" hidden="false" customHeight="false" outlineLevel="0" collapsed="false">
      <c r="A441" s="9" t="n">
        <v>42</v>
      </c>
      <c r="B441" s="10" t="s">
        <v>11</v>
      </c>
      <c r="C441" s="11" t="n">
        <v>1734.334</v>
      </c>
      <c r="D441" s="10" t="s">
        <v>19</v>
      </c>
      <c r="E441" s="12" t="n">
        <v>0</v>
      </c>
      <c r="F441" s="12" t="n">
        <v>0</v>
      </c>
      <c r="G441" s="12" t="n">
        <v>0</v>
      </c>
      <c r="H441" s="9" t="n">
        <v>4</v>
      </c>
      <c r="I441" s="9" t="n">
        <v>65</v>
      </c>
      <c r="J441" s="9" t="n">
        <v>2</v>
      </c>
      <c r="K441" s="13" t="s">
        <v>13</v>
      </c>
    </row>
    <row r="442" customFormat="false" ht="15.75" hidden="false" customHeight="false" outlineLevel="0" collapsed="false">
      <c r="A442" s="9" t="n">
        <v>12</v>
      </c>
      <c r="B442" s="10" t="s">
        <v>22</v>
      </c>
      <c r="C442" s="11" t="n">
        <v>311.199</v>
      </c>
      <c r="D442" s="10" t="s">
        <v>20</v>
      </c>
      <c r="E442" s="12" t="n">
        <v>0.5</v>
      </c>
      <c r="F442" s="12" t="n">
        <v>0.5</v>
      </c>
      <c r="G442" s="12" t="n">
        <v>0</v>
      </c>
      <c r="H442" s="9" t="n">
        <v>4</v>
      </c>
      <c r="I442" s="9" t="n">
        <v>26</v>
      </c>
      <c r="J442" s="9" t="n">
        <v>1</v>
      </c>
      <c r="K442" s="13" t="s">
        <v>16</v>
      </c>
    </row>
    <row r="443" customFormat="false" ht="15.75" hidden="false" customHeight="false" outlineLevel="0" collapsed="false">
      <c r="A443" s="9" t="n">
        <v>12</v>
      </c>
      <c r="B443" s="10" t="s">
        <v>14</v>
      </c>
      <c r="C443" s="11" t="n">
        <v>962.724</v>
      </c>
      <c r="D443" s="10" t="s">
        <v>12</v>
      </c>
      <c r="E443" s="12" t="n">
        <v>8</v>
      </c>
      <c r="F443" s="12" t="n">
        <v>8</v>
      </c>
      <c r="G443" s="12" t="n">
        <v>0</v>
      </c>
      <c r="H443" s="9" t="n">
        <v>4</v>
      </c>
      <c r="I443" s="9" t="n">
        <v>39</v>
      </c>
      <c r="J443" s="9" t="n">
        <v>1</v>
      </c>
      <c r="K443" s="13" t="s">
        <v>13</v>
      </c>
    </row>
    <row r="444" customFormat="false" ht="15.75" hidden="false" customHeight="false" outlineLevel="0" collapsed="false">
      <c r="A444" s="9" t="n">
        <v>12</v>
      </c>
      <c r="B444" s="10" t="s">
        <v>14</v>
      </c>
      <c r="C444" s="11" t="n">
        <v>827.82</v>
      </c>
      <c r="D444" s="10" t="s">
        <v>15</v>
      </c>
      <c r="E444" s="12" t="n">
        <v>2.5</v>
      </c>
      <c r="F444" s="12" t="n">
        <v>2.5</v>
      </c>
      <c r="G444" s="12" t="n">
        <v>0</v>
      </c>
      <c r="H444" s="9" t="n">
        <v>2</v>
      </c>
      <c r="I444" s="9" t="n">
        <v>30</v>
      </c>
      <c r="J444" s="9" t="n">
        <v>1</v>
      </c>
      <c r="K444" s="13" t="s">
        <v>13</v>
      </c>
    </row>
    <row r="445" customFormat="false" ht="15.75" hidden="false" customHeight="false" outlineLevel="0" collapsed="false">
      <c r="A445" s="9" t="n">
        <v>20</v>
      </c>
      <c r="B445" s="10" t="s">
        <v>18</v>
      </c>
      <c r="C445" s="11" t="n">
        <v>1343.419</v>
      </c>
      <c r="D445" s="10" t="s">
        <v>15</v>
      </c>
      <c r="E445" s="12" t="n">
        <v>2.5</v>
      </c>
      <c r="F445" s="12" t="n">
        <v>2.5</v>
      </c>
      <c r="G445" s="12" t="n">
        <v>0</v>
      </c>
      <c r="H445" s="9" t="n">
        <v>2</v>
      </c>
      <c r="I445" s="9" t="n">
        <v>29</v>
      </c>
      <c r="J445" s="9" t="n">
        <v>2</v>
      </c>
      <c r="K445" s="13" t="s">
        <v>13</v>
      </c>
    </row>
    <row r="446" customFormat="false" ht="15.75" hidden="false" customHeight="false" outlineLevel="0" collapsed="false">
      <c r="A446" s="9" t="n">
        <v>12</v>
      </c>
      <c r="B446" s="10" t="s">
        <v>14</v>
      </c>
      <c r="C446" s="11" t="n">
        <v>367.409</v>
      </c>
      <c r="D446" s="10" t="s">
        <v>12</v>
      </c>
      <c r="E446" s="12" t="n">
        <v>8</v>
      </c>
      <c r="F446" s="12" t="n">
        <v>8</v>
      </c>
      <c r="G446" s="12" t="n">
        <v>0</v>
      </c>
      <c r="H446" s="9" t="n">
        <v>4</v>
      </c>
      <c r="I446" s="9" t="n">
        <v>41</v>
      </c>
      <c r="J446" s="9" t="n">
        <v>1</v>
      </c>
      <c r="K446" s="13" t="s">
        <v>16</v>
      </c>
    </row>
    <row r="447" customFormat="false" ht="15.75" hidden="false" customHeight="false" outlineLevel="0" collapsed="false">
      <c r="A447" s="9" t="n">
        <v>48</v>
      </c>
      <c r="B447" s="10" t="s">
        <v>11</v>
      </c>
      <c r="C447" s="11" t="n">
        <v>2604.056</v>
      </c>
      <c r="D447" s="10" t="s">
        <v>15</v>
      </c>
      <c r="E447" s="12" t="n">
        <v>2.5</v>
      </c>
      <c r="F447" s="12" t="n">
        <v>2.5</v>
      </c>
      <c r="G447" s="12" t="n">
        <v>0</v>
      </c>
      <c r="H447" s="9" t="n">
        <v>2</v>
      </c>
      <c r="I447" s="9" t="n">
        <v>30</v>
      </c>
      <c r="J447" s="9" t="n">
        <v>1</v>
      </c>
      <c r="K447" s="13" t="s">
        <v>16</v>
      </c>
    </row>
    <row r="448" customFormat="false" ht="15.75" hidden="false" customHeight="false" outlineLevel="0" collapsed="false">
      <c r="A448" s="9" t="n">
        <v>9</v>
      </c>
      <c r="B448" s="10" t="s">
        <v>11</v>
      </c>
      <c r="C448" s="11" t="n">
        <v>635.684</v>
      </c>
      <c r="D448" s="10" t="s">
        <v>12</v>
      </c>
      <c r="E448" s="12" t="n">
        <v>8</v>
      </c>
      <c r="F448" s="12" t="n">
        <v>8</v>
      </c>
      <c r="G448" s="12" t="n">
        <v>0</v>
      </c>
      <c r="H448" s="9" t="n">
        <v>4</v>
      </c>
      <c r="I448" s="9" t="n">
        <v>41</v>
      </c>
      <c r="J448" s="9" t="n">
        <v>2</v>
      </c>
      <c r="K448" s="13" t="s">
        <v>13</v>
      </c>
    </row>
    <row r="449" customFormat="false" ht="15.75" hidden="false" customHeight="false" outlineLevel="0" collapsed="false">
      <c r="A449" s="9" t="n">
        <v>36</v>
      </c>
      <c r="B449" s="10" t="s">
        <v>14</v>
      </c>
      <c r="C449" s="11" t="n">
        <v>941.262</v>
      </c>
      <c r="D449" s="10" t="s">
        <v>20</v>
      </c>
      <c r="E449" s="12" t="n">
        <v>0.5</v>
      </c>
      <c r="F449" s="12" t="n">
        <v>0.5</v>
      </c>
      <c r="G449" s="12" t="n">
        <v>0</v>
      </c>
      <c r="H449" s="9" t="n">
        <v>4</v>
      </c>
      <c r="I449" s="9" t="n">
        <v>34</v>
      </c>
      <c r="J449" s="9" t="n">
        <v>1</v>
      </c>
      <c r="K449" s="13" t="s">
        <v>16</v>
      </c>
    </row>
    <row r="450" customFormat="false" ht="15.75" hidden="false" customHeight="false" outlineLevel="0" collapsed="false">
      <c r="A450" s="9" t="n">
        <v>7</v>
      </c>
      <c r="B450" s="10" t="s">
        <v>14</v>
      </c>
      <c r="C450" s="11" t="n">
        <v>1316.336</v>
      </c>
      <c r="D450" s="10" t="s">
        <v>15</v>
      </c>
      <c r="E450" s="12" t="n">
        <v>2.5</v>
      </c>
      <c r="F450" s="12" t="n">
        <v>2.5</v>
      </c>
      <c r="G450" s="12" t="n">
        <v>0</v>
      </c>
      <c r="H450" s="9" t="n">
        <v>2</v>
      </c>
      <c r="I450" s="9" t="n">
        <v>35</v>
      </c>
      <c r="J450" s="9" t="n">
        <v>1</v>
      </c>
      <c r="K450" s="13" t="s">
        <v>13</v>
      </c>
    </row>
    <row r="451" customFormat="false" ht="15.75" hidden="false" customHeight="false" outlineLevel="0" collapsed="false">
      <c r="A451" s="9" t="n">
        <v>12</v>
      </c>
      <c r="B451" s="10" t="s">
        <v>14</v>
      </c>
      <c r="C451" s="11" t="n">
        <v>727.664</v>
      </c>
      <c r="D451" s="10" t="s">
        <v>12</v>
      </c>
      <c r="E451" s="12" t="n">
        <v>8</v>
      </c>
      <c r="F451" s="12" t="n">
        <v>8</v>
      </c>
      <c r="G451" s="12" t="n">
        <v>0</v>
      </c>
      <c r="H451" s="9" t="n">
        <v>3</v>
      </c>
      <c r="I451" s="9" t="n">
        <v>55</v>
      </c>
      <c r="J451" s="9" t="n">
        <v>1</v>
      </c>
      <c r="K451" s="13" t="s">
        <v>13</v>
      </c>
    </row>
    <row r="452" customFormat="false" ht="15.75" hidden="false" customHeight="false" outlineLevel="0" collapsed="false">
      <c r="A452" s="9" t="n">
        <v>15</v>
      </c>
      <c r="B452" s="10" t="s">
        <v>18</v>
      </c>
      <c r="C452" s="11" t="n">
        <v>772.632</v>
      </c>
      <c r="D452" s="10" t="s">
        <v>15</v>
      </c>
      <c r="E452" s="12" t="n">
        <v>2.5</v>
      </c>
      <c r="F452" s="12" t="n">
        <v>2.5</v>
      </c>
      <c r="G452" s="12" t="n">
        <v>0</v>
      </c>
      <c r="H452" s="9" t="n">
        <v>3</v>
      </c>
      <c r="I452" s="9" t="n">
        <v>61</v>
      </c>
      <c r="J452" s="9" t="n">
        <v>2</v>
      </c>
      <c r="K452" s="13" t="s">
        <v>16</v>
      </c>
    </row>
    <row r="453" customFormat="false" ht="15.75" hidden="false" customHeight="false" outlineLevel="0" collapsed="false">
      <c r="A453" s="9" t="n">
        <v>36</v>
      </c>
      <c r="B453" s="10" t="s">
        <v>11</v>
      </c>
      <c r="C453" s="11" t="n">
        <v>5648.594</v>
      </c>
      <c r="D453" s="10" t="s">
        <v>15</v>
      </c>
      <c r="E453" s="12" t="n">
        <v>2.5</v>
      </c>
      <c r="F453" s="12" t="n">
        <v>2.5</v>
      </c>
      <c r="G453" s="12" t="n">
        <v>0</v>
      </c>
      <c r="H453" s="9" t="n">
        <v>4</v>
      </c>
      <c r="I453" s="9" t="n">
        <v>30</v>
      </c>
      <c r="J453" s="9" t="n">
        <v>1</v>
      </c>
      <c r="K453" s="13" t="s">
        <v>13</v>
      </c>
    </row>
    <row r="454" customFormat="false" ht="15.75" hidden="false" customHeight="false" outlineLevel="0" collapsed="false">
      <c r="A454" s="9" t="n">
        <v>6</v>
      </c>
      <c r="B454" s="10" t="s">
        <v>14</v>
      </c>
      <c r="C454" s="11" t="n">
        <v>264.698</v>
      </c>
      <c r="D454" s="10" t="s">
        <v>15</v>
      </c>
      <c r="E454" s="12" t="n">
        <v>2.5</v>
      </c>
      <c r="F454" s="12" t="n">
        <v>2.5</v>
      </c>
      <c r="G454" s="12" t="n">
        <v>0</v>
      </c>
      <c r="H454" s="9" t="n">
        <v>3</v>
      </c>
      <c r="I454" s="9" t="n">
        <v>29</v>
      </c>
      <c r="J454" s="9" t="n">
        <v>1</v>
      </c>
      <c r="K454" s="13" t="s">
        <v>13</v>
      </c>
    </row>
    <row r="455" customFormat="false" ht="15.75" hidden="false" customHeight="false" outlineLevel="0" collapsed="false">
      <c r="A455" s="9" t="n">
        <v>12</v>
      </c>
      <c r="B455" s="10" t="s">
        <v>21</v>
      </c>
      <c r="C455" s="11" t="n">
        <v>1409.849</v>
      </c>
      <c r="D455" s="10" t="s">
        <v>12</v>
      </c>
      <c r="E455" s="12" t="n">
        <v>8</v>
      </c>
      <c r="F455" s="12" t="n">
        <v>8</v>
      </c>
      <c r="G455" s="12" t="n">
        <v>0</v>
      </c>
      <c r="H455" s="9" t="n">
        <v>2</v>
      </c>
      <c r="I455" s="9" t="n">
        <v>34</v>
      </c>
      <c r="J455" s="9" t="n">
        <v>2</v>
      </c>
      <c r="K455" s="13" t="s">
        <v>13</v>
      </c>
    </row>
    <row r="456" customFormat="false" ht="15.75" hidden="false" customHeight="false" outlineLevel="0" collapsed="false">
      <c r="A456" s="9" t="n">
        <v>24</v>
      </c>
      <c r="B456" s="10" t="s">
        <v>14</v>
      </c>
      <c r="C456" s="11" t="n">
        <v>1364.37</v>
      </c>
      <c r="D456" s="10" t="s">
        <v>12</v>
      </c>
      <c r="E456" s="12" t="n">
        <v>8</v>
      </c>
      <c r="F456" s="12" t="n">
        <v>8</v>
      </c>
      <c r="G456" s="12" t="n">
        <v>0</v>
      </c>
      <c r="H456" s="9" t="n">
        <v>4</v>
      </c>
      <c r="I456" s="9" t="n">
        <v>35</v>
      </c>
      <c r="J456" s="9" t="n">
        <v>1</v>
      </c>
      <c r="K456" s="13" t="s">
        <v>13</v>
      </c>
    </row>
    <row r="457" customFormat="false" ht="15.75" hidden="false" customHeight="false" outlineLevel="0" collapsed="false">
      <c r="A457" s="9" t="n">
        <v>24</v>
      </c>
      <c r="B457" s="10" t="s">
        <v>14</v>
      </c>
      <c r="C457" s="11" t="n">
        <v>2461.487</v>
      </c>
      <c r="D457" s="10" t="s">
        <v>17</v>
      </c>
      <c r="E457" s="12" t="n">
        <v>5.5</v>
      </c>
      <c r="F457" s="12" t="n">
        <v>5.5</v>
      </c>
      <c r="G457" s="12" t="n">
        <v>0</v>
      </c>
      <c r="H457" s="9" t="n">
        <v>2</v>
      </c>
      <c r="I457" s="9" t="n">
        <v>31</v>
      </c>
      <c r="J457" s="9" t="n">
        <v>1</v>
      </c>
      <c r="K457" s="13" t="s">
        <v>16</v>
      </c>
    </row>
    <row r="458" customFormat="false" ht="15.75" hidden="false" customHeight="false" outlineLevel="0" collapsed="false">
      <c r="A458" s="9" t="n">
        <v>24</v>
      </c>
      <c r="B458" s="10" t="s">
        <v>14</v>
      </c>
      <c r="C458" s="11" t="n">
        <v>1368.969</v>
      </c>
      <c r="D458" s="10" t="s">
        <v>20</v>
      </c>
      <c r="E458" s="12" t="n">
        <v>0.5</v>
      </c>
      <c r="F458" s="12" t="n">
        <v>0.5</v>
      </c>
      <c r="G458" s="12" t="n">
        <v>0</v>
      </c>
      <c r="H458" s="9" t="n">
        <v>4</v>
      </c>
      <c r="I458" s="9" t="n">
        <v>29</v>
      </c>
      <c r="J458" s="9" t="n">
        <v>1</v>
      </c>
      <c r="K458" s="13" t="s">
        <v>13</v>
      </c>
    </row>
    <row r="459" customFormat="false" ht="15.75" hidden="false" customHeight="false" outlineLevel="0" collapsed="false">
      <c r="A459" s="9" t="n">
        <v>11</v>
      </c>
      <c r="B459" s="10" t="s">
        <v>11</v>
      </c>
      <c r="C459" s="11" t="n">
        <v>1995.455</v>
      </c>
      <c r="D459" s="10" t="s">
        <v>15</v>
      </c>
      <c r="E459" s="12" t="n">
        <v>2.5</v>
      </c>
      <c r="F459" s="12" t="n">
        <v>2.5</v>
      </c>
      <c r="G459" s="12" t="n">
        <v>0</v>
      </c>
      <c r="H459" s="9" t="n">
        <v>2</v>
      </c>
      <c r="I459" s="9" t="n">
        <v>36</v>
      </c>
      <c r="J459" s="9" t="n">
        <v>2</v>
      </c>
      <c r="K459" s="13" t="s">
        <v>13</v>
      </c>
    </row>
    <row r="460" customFormat="false" ht="15.75" hidden="false" customHeight="false" outlineLevel="0" collapsed="false">
      <c r="A460" s="9" t="n">
        <v>12</v>
      </c>
      <c r="B460" s="10" t="s">
        <v>14</v>
      </c>
      <c r="C460" s="11" t="n">
        <v>1730.246</v>
      </c>
      <c r="D460" s="10" t="s">
        <v>12</v>
      </c>
      <c r="E460" s="12" t="n">
        <v>8</v>
      </c>
      <c r="F460" s="12" t="n">
        <v>8</v>
      </c>
      <c r="G460" s="12" t="n">
        <v>0</v>
      </c>
      <c r="H460" s="9" t="n">
        <v>3</v>
      </c>
      <c r="I460" s="9" t="n">
        <v>35</v>
      </c>
      <c r="J460" s="9" t="n">
        <v>1</v>
      </c>
      <c r="K460" s="13" t="s">
        <v>16</v>
      </c>
    </row>
    <row r="461" customFormat="false" ht="15.75" hidden="false" customHeight="false" outlineLevel="0" collapsed="false">
      <c r="A461" s="9" t="n">
        <v>6</v>
      </c>
      <c r="B461" s="10" t="s">
        <v>14</v>
      </c>
      <c r="C461" s="11" t="n">
        <v>175.273</v>
      </c>
      <c r="D461" s="10" t="s">
        <v>20</v>
      </c>
      <c r="E461" s="12" t="n">
        <v>0.5</v>
      </c>
      <c r="F461" s="12" t="n">
        <v>0.5</v>
      </c>
      <c r="G461" s="12" t="n">
        <v>0</v>
      </c>
      <c r="H461" s="9" t="n">
        <v>4</v>
      </c>
      <c r="I461" s="9" t="n">
        <v>27</v>
      </c>
      <c r="J461" s="9" t="n">
        <v>1</v>
      </c>
      <c r="K461" s="13" t="s">
        <v>13</v>
      </c>
    </row>
    <row r="462" customFormat="false" ht="15.75" hidden="false" customHeight="false" outlineLevel="0" collapsed="false">
      <c r="A462" s="9" t="n">
        <v>18</v>
      </c>
      <c r="B462" s="10" t="s">
        <v>14</v>
      </c>
      <c r="C462" s="11" t="n">
        <v>2347.534</v>
      </c>
      <c r="D462" s="10" t="s">
        <v>20</v>
      </c>
      <c r="E462" s="12" t="n">
        <v>0.5</v>
      </c>
      <c r="F462" s="12" t="n">
        <v>0.5</v>
      </c>
      <c r="G462" s="12" t="n">
        <v>0</v>
      </c>
      <c r="H462" s="9" t="n">
        <v>3</v>
      </c>
      <c r="I462" s="9" t="n">
        <v>32</v>
      </c>
      <c r="J462" s="9" t="n">
        <v>1</v>
      </c>
      <c r="K462" s="13" t="s">
        <v>13</v>
      </c>
    </row>
    <row r="463" customFormat="false" ht="15.75" hidden="false" customHeight="false" outlineLevel="0" collapsed="false">
      <c r="A463" s="9" t="n">
        <v>36</v>
      </c>
      <c r="B463" s="10" t="s">
        <v>14</v>
      </c>
      <c r="C463" s="11" t="n">
        <v>1849.82</v>
      </c>
      <c r="D463" s="10" t="s">
        <v>15</v>
      </c>
      <c r="E463" s="12" t="n">
        <v>2.5</v>
      </c>
      <c r="F463" s="12" t="n">
        <v>2.5</v>
      </c>
      <c r="G463" s="12" t="n">
        <v>0</v>
      </c>
      <c r="H463" s="9" t="n">
        <v>1</v>
      </c>
      <c r="I463" s="9" t="n">
        <v>37</v>
      </c>
      <c r="J463" s="9" t="n">
        <v>1</v>
      </c>
      <c r="K463" s="13" t="s">
        <v>13</v>
      </c>
    </row>
    <row r="464" customFormat="false" ht="15.75" hidden="false" customHeight="false" outlineLevel="0" collapsed="false">
      <c r="A464" s="9" t="n">
        <v>15</v>
      </c>
      <c r="B464" s="10" t="s">
        <v>14</v>
      </c>
      <c r="C464" s="11" t="n">
        <v>879.431</v>
      </c>
      <c r="D464" s="10" t="s">
        <v>20</v>
      </c>
      <c r="E464" s="12" t="n">
        <v>0.5</v>
      </c>
      <c r="F464" s="12" t="n">
        <v>0.5</v>
      </c>
      <c r="G464" s="12" t="n">
        <v>0</v>
      </c>
      <c r="H464" s="9" t="n">
        <v>2</v>
      </c>
      <c r="I464" s="9" t="n">
        <v>36</v>
      </c>
      <c r="J464" s="9" t="n">
        <v>1</v>
      </c>
      <c r="K464" s="13" t="s">
        <v>13</v>
      </c>
    </row>
    <row r="465" customFormat="false" ht="15.75" hidden="false" customHeight="false" outlineLevel="0" collapsed="false">
      <c r="A465" s="9" t="n">
        <v>12</v>
      </c>
      <c r="B465" s="10" t="s">
        <v>14</v>
      </c>
      <c r="C465" s="11" t="n">
        <v>1541.687</v>
      </c>
      <c r="D465" s="10" t="s">
        <v>20</v>
      </c>
      <c r="E465" s="12" t="n">
        <v>0.5</v>
      </c>
      <c r="F465" s="12" t="n">
        <v>0.5</v>
      </c>
      <c r="G465" s="12" t="n">
        <v>0</v>
      </c>
      <c r="H465" s="9" t="n">
        <v>3</v>
      </c>
      <c r="I465" s="9" t="n">
        <v>34</v>
      </c>
      <c r="J465" s="9" t="n">
        <v>1</v>
      </c>
      <c r="K465" s="13" t="s">
        <v>13</v>
      </c>
    </row>
    <row r="466" customFormat="false" ht="15.75" hidden="false" customHeight="false" outlineLevel="0" collapsed="false">
      <c r="A466" s="9" t="n">
        <v>12</v>
      </c>
      <c r="B466" s="10" t="s">
        <v>14</v>
      </c>
      <c r="C466" s="11" t="n">
        <v>385.294</v>
      </c>
      <c r="D466" s="10" t="s">
        <v>12</v>
      </c>
      <c r="E466" s="12" t="n">
        <v>8</v>
      </c>
      <c r="F466" s="12" t="n">
        <v>8</v>
      </c>
      <c r="G466" s="12" t="n">
        <v>0</v>
      </c>
      <c r="H466" s="9" t="n">
        <v>4</v>
      </c>
      <c r="I466" s="9" t="n">
        <v>38</v>
      </c>
      <c r="J466" s="9" t="n">
        <v>2</v>
      </c>
      <c r="K466" s="13" t="s">
        <v>13</v>
      </c>
    </row>
    <row r="467" customFormat="false" ht="15.75" hidden="false" customHeight="false" outlineLevel="0" collapsed="false">
      <c r="A467" s="9" t="n">
        <v>18</v>
      </c>
      <c r="B467" s="10" t="s">
        <v>14</v>
      </c>
      <c r="C467" s="11" t="n">
        <v>996.45</v>
      </c>
      <c r="D467" s="10" t="s">
        <v>17</v>
      </c>
      <c r="E467" s="12" t="n">
        <v>5.5</v>
      </c>
      <c r="F467" s="12" t="n">
        <v>5.5</v>
      </c>
      <c r="G467" s="12" t="n">
        <v>0</v>
      </c>
      <c r="H467" s="9" t="n">
        <v>4</v>
      </c>
      <c r="I467" s="9" t="n">
        <v>34</v>
      </c>
      <c r="J467" s="9" t="n">
        <v>2</v>
      </c>
      <c r="K467" s="13" t="s">
        <v>13</v>
      </c>
    </row>
    <row r="468" customFormat="false" ht="15.75" hidden="false" customHeight="false" outlineLevel="0" collapsed="false">
      <c r="A468" s="9" t="n">
        <v>24</v>
      </c>
      <c r="B468" s="10" t="s">
        <v>14</v>
      </c>
      <c r="C468" s="11" t="n">
        <v>1494.164</v>
      </c>
      <c r="D468" s="10" t="s">
        <v>15</v>
      </c>
      <c r="E468" s="12" t="n">
        <v>2.5</v>
      </c>
      <c r="F468" s="12" t="n">
        <v>2.5</v>
      </c>
      <c r="G468" s="12" t="n">
        <v>0</v>
      </c>
      <c r="H468" s="9" t="n">
        <v>3</v>
      </c>
      <c r="I468" s="9" t="n">
        <v>63</v>
      </c>
      <c r="J468" s="9" t="n">
        <v>1</v>
      </c>
      <c r="K468" s="13" t="s">
        <v>13</v>
      </c>
    </row>
    <row r="469" customFormat="false" ht="15.75" hidden="false" customHeight="false" outlineLevel="0" collapsed="false">
      <c r="A469" s="9" t="n">
        <v>24</v>
      </c>
      <c r="B469" s="10" t="s">
        <v>18</v>
      </c>
      <c r="C469" s="11" t="n">
        <v>847.749</v>
      </c>
      <c r="D469" s="10" t="s">
        <v>20</v>
      </c>
      <c r="E469" s="12" t="n">
        <v>0.5</v>
      </c>
      <c r="F469" s="12" t="n">
        <v>0.5</v>
      </c>
      <c r="G469" s="12" t="n">
        <v>0</v>
      </c>
      <c r="H469" s="9" t="n">
        <v>4</v>
      </c>
      <c r="I469" s="9" t="n">
        <v>29</v>
      </c>
      <c r="J469" s="9" t="n">
        <v>1</v>
      </c>
      <c r="K469" s="13" t="s">
        <v>16</v>
      </c>
    </row>
    <row r="470" customFormat="false" ht="15.75" hidden="false" customHeight="false" outlineLevel="0" collapsed="false">
      <c r="A470" s="9" t="n">
        <v>48</v>
      </c>
      <c r="B470" s="10" t="s">
        <v>18</v>
      </c>
      <c r="C470" s="11" t="n">
        <v>3698.618</v>
      </c>
      <c r="D470" s="10" t="s">
        <v>12</v>
      </c>
      <c r="E470" s="12" t="n">
        <v>8</v>
      </c>
      <c r="F470" s="12" t="n">
        <v>8</v>
      </c>
      <c r="G470" s="12" t="n">
        <v>0</v>
      </c>
      <c r="H470" s="9" t="n">
        <v>3</v>
      </c>
      <c r="I470" s="9" t="n">
        <v>32</v>
      </c>
      <c r="J470" s="9" t="n">
        <v>2</v>
      </c>
      <c r="K470" s="13" t="s">
        <v>13</v>
      </c>
    </row>
    <row r="471" customFormat="false" ht="15.75" hidden="false" customHeight="false" outlineLevel="0" collapsed="false">
      <c r="A471" s="9" t="n">
        <v>33</v>
      </c>
      <c r="B471" s="10" t="s">
        <v>18</v>
      </c>
      <c r="C471" s="11" t="n">
        <v>1412.404</v>
      </c>
      <c r="D471" s="10" t="s">
        <v>15</v>
      </c>
      <c r="E471" s="12" t="n">
        <v>2.5</v>
      </c>
      <c r="F471" s="12" t="n">
        <v>2.5</v>
      </c>
      <c r="G471" s="12" t="n">
        <v>0</v>
      </c>
      <c r="H471" s="9" t="n">
        <v>2</v>
      </c>
      <c r="I471" s="9" t="n">
        <v>26</v>
      </c>
      <c r="J471" s="9" t="n">
        <v>2</v>
      </c>
      <c r="K471" s="13" t="s">
        <v>13</v>
      </c>
    </row>
    <row r="472" customFormat="false" ht="15.75" hidden="false" customHeight="false" outlineLevel="0" collapsed="false">
      <c r="A472" s="9" t="n">
        <v>24</v>
      </c>
      <c r="B472" s="10" t="s">
        <v>18</v>
      </c>
      <c r="C472" s="11" t="n">
        <v>2390.969</v>
      </c>
      <c r="D472" s="10" t="s">
        <v>17</v>
      </c>
      <c r="E472" s="12" t="n">
        <v>5.5</v>
      </c>
      <c r="F472" s="12" t="n">
        <v>5.5</v>
      </c>
      <c r="G472" s="12" t="n">
        <v>0</v>
      </c>
      <c r="H472" s="9" t="n">
        <v>3</v>
      </c>
      <c r="I472" s="9" t="n">
        <v>35</v>
      </c>
      <c r="J472" s="9" t="n">
        <v>2</v>
      </c>
      <c r="K472" s="13" t="s">
        <v>13</v>
      </c>
    </row>
    <row r="473" customFormat="false" ht="15.75" hidden="false" customHeight="false" outlineLevel="0" collapsed="false">
      <c r="A473" s="9" t="n">
        <v>24</v>
      </c>
      <c r="B473" s="10" t="s">
        <v>14</v>
      </c>
      <c r="C473" s="11" t="n">
        <v>1580.012</v>
      </c>
      <c r="D473" s="10" t="s">
        <v>20</v>
      </c>
      <c r="E473" s="12" t="n">
        <v>0.5</v>
      </c>
      <c r="F473" s="12" t="n">
        <v>0.5</v>
      </c>
      <c r="G473" s="12" t="n">
        <v>0</v>
      </c>
      <c r="H473" s="9" t="n">
        <v>3</v>
      </c>
      <c r="I473" s="9" t="n">
        <v>22</v>
      </c>
      <c r="J473" s="9" t="n">
        <v>1</v>
      </c>
      <c r="K473" s="13" t="s">
        <v>16</v>
      </c>
    </row>
    <row r="474" customFormat="false" ht="15.75" hidden="false" customHeight="false" outlineLevel="0" collapsed="false">
      <c r="A474" s="9" t="n">
        <v>6</v>
      </c>
      <c r="B474" s="10" t="s">
        <v>14</v>
      </c>
      <c r="C474" s="11" t="n">
        <v>228.928</v>
      </c>
      <c r="D474" s="10" t="s">
        <v>20</v>
      </c>
      <c r="E474" s="12" t="n">
        <v>0.5</v>
      </c>
      <c r="F474" s="12" t="n">
        <v>0.5</v>
      </c>
      <c r="G474" s="12" t="n">
        <v>0</v>
      </c>
      <c r="H474" s="9" t="n">
        <v>4</v>
      </c>
      <c r="I474" s="9" t="n">
        <v>23</v>
      </c>
      <c r="J474" s="9" t="n">
        <v>1</v>
      </c>
      <c r="K474" s="13" t="s">
        <v>16</v>
      </c>
    </row>
    <row r="475" customFormat="false" ht="15.75" hidden="false" customHeight="false" outlineLevel="0" collapsed="false">
      <c r="A475" s="9" t="n">
        <v>9</v>
      </c>
      <c r="B475" s="10" t="s">
        <v>14</v>
      </c>
      <c r="C475" s="11" t="n">
        <v>334.194</v>
      </c>
      <c r="D475" s="10" t="s">
        <v>15</v>
      </c>
      <c r="E475" s="12" t="n">
        <v>2.5</v>
      </c>
      <c r="F475" s="12" t="n">
        <v>2.5</v>
      </c>
      <c r="G475" s="12" t="n">
        <v>0</v>
      </c>
      <c r="H475" s="9" t="n">
        <v>4</v>
      </c>
      <c r="I475" s="9" t="n">
        <v>28</v>
      </c>
      <c r="J475" s="9" t="n">
        <v>1</v>
      </c>
      <c r="K475" s="13" t="s">
        <v>16</v>
      </c>
    </row>
    <row r="476" customFormat="false" ht="15.75" hidden="false" customHeight="false" outlineLevel="0" collapsed="false">
      <c r="A476" s="9" t="n">
        <v>6</v>
      </c>
      <c r="B476" s="10" t="s">
        <v>14</v>
      </c>
      <c r="C476" s="11" t="n">
        <v>632.618</v>
      </c>
      <c r="D476" s="10" t="s">
        <v>19</v>
      </c>
      <c r="E476" s="12" t="n">
        <v>0</v>
      </c>
      <c r="F476" s="12" t="n">
        <v>0</v>
      </c>
      <c r="G476" s="12" t="n">
        <v>0</v>
      </c>
      <c r="H476" s="9" t="n">
        <v>4</v>
      </c>
      <c r="I476" s="9" t="n">
        <v>36</v>
      </c>
      <c r="J476" s="9" t="n">
        <v>1</v>
      </c>
      <c r="K476" s="13" t="s">
        <v>13</v>
      </c>
    </row>
    <row r="477" customFormat="false" ht="15.75" hidden="false" customHeight="false" outlineLevel="0" collapsed="false">
      <c r="A477" s="9" t="n">
        <v>18</v>
      </c>
      <c r="B477" s="10" t="s">
        <v>11</v>
      </c>
      <c r="C477" s="11" t="n">
        <v>636.195</v>
      </c>
      <c r="D477" s="10" t="s">
        <v>15</v>
      </c>
      <c r="E477" s="12" t="n">
        <v>2.5</v>
      </c>
      <c r="F477" s="12" t="n">
        <v>2.5</v>
      </c>
      <c r="G477" s="12" t="n">
        <v>0</v>
      </c>
      <c r="H477" s="9" t="n">
        <v>4</v>
      </c>
      <c r="I477" s="9" t="n">
        <v>33</v>
      </c>
      <c r="J477" s="9" t="n">
        <v>1</v>
      </c>
      <c r="K477" s="13" t="s">
        <v>16</v>
      </c>
    </row>
    <row r="478" customFormat="false" ht="15.75" hidden="false" customHeight="false" outlineLevel="0" collapsed="false">
      <c r="A478" s="9" t="n">
        <v>18</v>
      </c>
      <c r="B478" s="10" t="s">
        <v>21</v>
      </c>
      <c r="C478" s="11" t="n">
        <v>1591.254</v>
      </c>
      <c r="D478" s="10" t="s">
        <v>20</v>
      </c>
      <c r="E478" s="12" t="n">
        <v>0.5</v>
      </c>
      <c r="F478" s="12" t="n">
        <v>0.5</v>
      </c>
      <c r="G478" s="12" t="n">
        <v>0</v>
      </c>
      <c r="H478" s="9" t="n">
        <v>1</v>
      </c>
      <c r="I478" s="9" t="n">
        <v>26</v>
      </c>
      <c r="J478" s="9" t="n">
        <v>1</v>
      </c>
      <c r="K478" s="13" t="s">
        <v>16</v>
      </c>
    </row>
    <row r="479" customFormat="false" ht="15.75" hidden="false" customHeight="false" outlineLevel="0" collapsed="false">
      <c r="A479" s="9" t="n">
        <v>39</v>
      </c>
      <c r="B479" s="10" t="s">
        <v>14</v>
      </c>
      <c r="C479" s="11" t="n">
        <v>1312.759</v>
      </c>
      <c r="D479" s="10" t="s">
        <v>15</v>
      </c>
      <c r="E479" s="12" t="n">
        <v>2.5</v>
      </c>
      <c r="F479" s="12" t="n">
        <v>2.5</v>
      </c>
      <c r="G479" s="12" t="n">
        <v>0</v>
      </c>
      <c r="H479" s="9" t="n">
        <v>4</v>
      </c>
      <c r="I479" s="9" t="n">
        <v>24</v>
      </c>
      <c r="J479" s="9" t="n">
        <v>1</v>
      </c>
      <c r="K479" s="13" t="s">
        <v>13</v>
      </c>
    </row>
    <row r="480" customFormat="false" ht="15.75" hidden="false" customHeight="false" outlineLevel="0" collapsed="false">
      <c r="A480" s="9" t="n">
        <v>24</v>
      </c>
      <c r="B480" s="10" t="s">
        <v>14</v>
      </c>
      <c r="C480" s="11" t="n">
        <v>2632.672</v>
      </c>
      <c r="D480" s="10" t="s">
        <v>17</v>
      </c>
      <c r="E480" s="12" t="n">
        <v>5.5</v>
      </c>
      <c r="F480" s="12" t="n">
        <v>5.5</v>
      </c>
      <c r="G480" s="12" t="n">
        <v>0</v>
      </c>
      <c r="H480" s="9" t="n">
        <v>4</v>
      </c>
      <c r="I480" s="9" t="n">
        <v>25</v>
      </c>
      <c r="J480" s="9" t="n">
        <v>1</v>
      </c>
      <c r="K480" s="13" t="s">
        <v>13</v>
      </c>
    </row>
    <row r="481" customFormat="false" ht="15.75" hidden="false" customHeight="false" outlineLevel="0" collapsed="false">
      <c r="A481" s="9" t="n">
        <v>12</v>
      </c>
      <c r="B481" s="10" t="s">
        <v>14</v>
      </c>
      <c r="C481" s="11" t="n">
        <v>529.907</v>
      </c>
      <c r="D481" s="10" t="s">
        <v>17</v>
      </c>
      <c r="E481" s="12" t="n">
        <v>5.5</v>
      </c>
      <c r="F481" s="12" t="n">
        <v>5.5</v>
      </c>
      <c r="G481" s="12" t="n">
        <v>0</v>
      </c>
      <c r="H481" s="9" t="n">
        <v>3</v>
      </c>
      <c r="I481" s="9" t="n">
        <v>39</v>
      </c>
      <c r="J481" s="9" t="n">
        <v>1</v>
      </c>
      <c r="K481" s="13" t="s">
        <v>13</v>
      </c>
    </row>
    <row r="482" customFormat="false" ht="15.75" hidden="false" customHeight="false" outlineLevel="0" collapsed="false">
      <c r="A482" s="9" t="n">
        <v>15</v>
      </c>
      <c r="B482" s="10" t="s">
        <v>11</v>
      </c>
      <c r="C482" s="11" t="n">
        <v>755.258</v>
      </c>
      <c r="D482" s="10" t="s">
        <v>12</v>
      </c>
      <c r="E482" s="12" t="n">
        <v>8</v>
      </c>
      <c r="F482" s="12" t="n">
        <v>8</v>
      </c>
      <c r="G482" s="12" t="n">
        <v>0</v>
      </c>
      <c r="H482" s="9" t="n">
        <v>4</v>
      </c>
      <c r="I482" s="9" t="n">
        <v>44</v>
      </c>
      <c r="J482" s="9" t="n">
        <v>2</v>
      </c>
      <c r="K482" s="13" t="s">
        <v>13</v>
      </c>
    </row>
    <row r="483" customFormat="false" ht="15.75" hidden="false" customHeight="false" outlineLevel="0" collapsed="false">
      <c r="A483" s="9" t="n">
        <v>12</v>
      </c>
      <c r="B483" s="10" t="s">
        <v>11</v>
      </c>
      <c r="C483" s="11" t="n">
        <v>1825.803</v>
      </c>
      <c r="D483" s="10" t="s">
        <v>15</v>
      </c>
      <c r="E483" s="12" t="n">
        <v>2.5</v>
      </c>
      <c r="F483" s="12" t="n">
        <v>2.5</v>
      </c>
      <c r="G483" s="12" t="n">
        <v>0</v>
      </c>
      <c r="H483" s="9" t="n">
        <v>1</v>
      </c>
      <c r="I483" s="9" t="n">
        <v>23</v>
      </c>
      <c r="J483" s="9" t="n">
        <v>1</v>
      </c>
      <c r="K483" s="13" t="s">
        <v>13</v>
      </c>
    </row>
    <row r="484" customFormat="false" ht="15.75" hidden="false" customHeight="false" outlineLevel="0" collapsed="false">
      <c r="A484" s="9" t="n">
        <v>24</v>
      </c>
      <c r="B484" s="10" t="s">
        <v>14</v>
      </c>
      <c r="C484" s="11" t="n">
        <v>613.711</v>
      </c>
      <c r="D484" s="10" t="s">
        <v>20</v>
      </c>
      <c r="E484" s="12" t="n">
        <v>0.5</v>
      </c>
      <c r="F484" s="12" t="n">
        <v>0.5</v>
      </c>
      <c r="G484" s="12" t="n">
        <v>0</v>
      </c>
      <c r="H484" s="9" t="n">
        <v>4</v>
      </c>
      <c r="I484" s="9" t="n">
        <v>26</v>
      </c>
      <c r="J484" s="9" t="n">
        <v>1</v>
      </c>
      <c r="K484" s="13" t="s">
        <v>13</v>
      </c>
    </row>
    <row r="485" customFormat="false" ht="15.75" hidden="false" customHeight="false" outlineLevel="0" collapsed="false">
      <c r="A485" s="9" t="n">
        <v>30</v>
      </c>
      <c r="B485" s="10" t="s">
        <v>14</v>
      </c>
      <c r="C485" s="11" t="n">
        <v>1850.842</v>
      </c>
      <c r="D485" s="10" t="s">
        <v>12</v>
      </c>
      <c r="E485" s="12" t="n">
        <v>8</v>
      </c>
      <c r="F485" s="12" t="n">
        <v>8</v>
      </c>
      <c r="G485" s="12" t="n">
        <v>0</v>
      </c>
      <c r="H485" s="9" t="n">
        <v>4</v>
      </c>
      <c r="I485" s="9" t="n">
        <v>57</v>
      </c>
      <c r="J485" s="9" t="n">
        <v>2</v>
      </c>
      <c r="K485" s="13" t="s">
        <v>13</v>
      </c>
    </row>
    <row r="486" customFormat="false" ht="15.75" hidden="false" customHeight="false" outlineLevel="0" collapsed="false">
      <c r="A486" s="9" t="n">
        <v>15</v>
      </c>
      <c r="B486" s="10" t="s">
        <v>18</v>
      </c>
      <c r="C486" s="11" t="n">
        <v>490.56</v>
      </c>
      <c r="D486" s="10" t="s">
        <v>17</v>
      </c>
      <c r="E486" s="12" t="n">
        <v>5.5</v>
      </c>
      <c r="F486" s="12" t="n">
        <v>5.5</v>
      </c>
      <c r="G486" s="12" t="n">
        <v>0</v>
      </c>
      <c r="H486" s="9" t="n">
        <v>3</v>
      </c>
      <c r="I486" s="9" t="n">
        <v>30</v>
      </c>
      <c r="J486" s="9" t="n">
        <v>2</v>
      </c>
      <c r="K486" s="13" t="s">
        <v>13</v>
      </c>
    </row>
    <row r="487" customFormat="false" ht="15.75" hidden="false" customHeight="false" outlineLevel="0" collapsed="false">
      <c r="A487" s="9" t="n">
        <v>12</v>
      </c>
      <c r="B487" s="10" t="s">
        <v>11</v>
      </c>
      <c r="C487" s="11" t="n">
        <v>594.293</v>
      </c>
      <c r="D487" s="10" t="s">
        <v>15</v>
      </c>
      <c r="E487" s="12" t="n">
        <v>2.5</v>
      </c>
      <c r="F487" s="12" t="n">
        <v>2.5</v>
      </c>
      <c r="G487" s="12" t="n">
        <v>0</v>
      </c>
      <c r="H487" s="9" t="n">
        <v>4</v>
      </c>
      <c r="I487" s="9" t="n">
        <v>44</v>
      </c>
      <c r="J487" s="9" t="n">
        <v>1</v>
      </c>
      <c r="K487" s="13" t="s">
        <v>13</v>
      </c>
    </row>
    <row r="488" customFormat="false" ht="15.75" hidden="false" customHeight="false" outlineLevel="0" collapsed="false">
      <c r="A488" s="9" t="n">
        <v>6</v>
      </c>
      <c r="B488" s="10" t="s">
        <v>18</v>
      </c>
      <c r="C488" s="11" t="n">
        <v>617.799</v>
      </c>
      <c r="D488" s="10" t="s">
        <v>19</v>
      </c>
      <c r="E488" s="12" t="n">
        <v>0</v>
      </c>
      <c r="F488" s="12" t="n">
        <v>0</v>
      </c>
      <c r="G488" s="12" t="n">
        <v>0</v>
      </c>
      <c r="H488" s="9" t="n">
        <v>4</v>
      </c>
      <c r="I488" s="9" t="n">
        <v>47</v>
      </c>
      <c r="J488" s="9" t="n">
        <v>1</v>
      </c>
      <c r="K488" s="13" t="s">
        <v>16</v>
      </c>
    </row>
    <row r="489" customFormat="false" ht="15.75" hidden="false" customHeight="false" outlineLevel="0" collapsed="false">
      <c r="A489" s="9" t="n">
        <v>12</v>
      </c>
      <c r="B489" s="10" t="s">
        <v>14</v>
      </c>
      <c r="C489" s="11" t="n">
        <v>1572.347</v>
      </c>
      <c r="D489" s="10" t="s">
        <v>15</v>
      </c>
      <c r="E489" s="12" t="n">
        <v>2.5</v>
      </c>
      <c r="F489" s="12" t="n">
        <v>2.5</v>
      </c>
      <c r="G489" s="12" t="n">
        <v>0</v>
      </c>
      <c r="H489" s="9" t="n">
        <v>2</v>
      </c>
      <c r="I489" s="9" t="n">
        <v>52</v>
      </c>
      <c r="J489" s="9" t="n">
        <v>1</v>
      </c>
      <c r="K489" s="13" t="s">
        <v>13</v>
      </c>
    </row>
    <row r="490" customFormat="false" ht="15.75" hidden="false" customHeight="false" outlineLevel="0" collapsed="false">
      <c r="A490" s="9" t="n">
        <v>24</v>
      </c>
      <c r="B490" s="10" t="s">
        <v>14</v>
      </c>
      <c r="C490" s="11" t="n">
        <v>1919.827</v>
      </c>
      <c r="D490" s="10" t="s">
        <v>12</v>
      </c>
      <c r="E490" s="12" t="n">
        <v>8</v>
      </c>
      <c r="F490" s="12" t="n">
        <v>8</v>
      </c>
      <c r="G490" s="12" t="n">
        <v>0</v>
      </c>
      <c r="H490" s="9" t="n">
        <v>4</v>
      </c>
      <c r="I490" s="9" t="n">
        <v>62</v>
      </c>
      <c r="J490" s="9" t="n">
        <v>1</v>
      </c>
      <c r="K490" s="13" t="s">
        <v>13</v>
      </c>
    </row>
    <row r="491" customFormat="false" ht="15.75" hidden="false" customHeight="false" outlineLevel="0" collapsed="false">
      <c r="A491" s="9" t="n">
        <v>10</v>
      </c>
      <c r="B491" s="10" t="s">
        <v>14</v>
      </c>
      <c r="C491" s="11" t="n">
        <v>724.598</v>
      </c>
      <c r="D491" s="10" t="s">
        <v>15</v>
      </c>
      <c r="E491" s="12" t="n">
        <v>2.5</v>
      </c>
      <c r="F491" s="12" t="n">
        <v>2.5</v>
      </c>
      <c r="G491" s="12" t="n">
        <v>0</v>
      </c>
      <c r="H491" s="9" t="n">
        <v>3</v>
      </c>
      <c r="I491" s="9" t="n">
        <v>35</v>
      </c>
      <c r="J491" s="9" t="n">
        <v>1</v>
      </c>
      <c r="K491" s="13" t="s">
        <v>13</v>
      </c>
    </row>
    <row r="492" customFormat="false" ht="15.75" hidden="false" customHeight="false" outlineLevel="0" collapsed="false">
      <c r="A492" s="9" t="n">
        <v>6</v>
      </c>
      <c r="B492" s="10" t="s">
        <v>14</v>
      </c>
      <c r="C492" s="11" t="n">
        <v>1797.698</v>
      </c>
      <c r="D492" s="10" t="s">
        <v>15</v>
      </c>
      <c r="E492" s="12" t="n">
        <v>2.5</v>
      </c>
      <c r="F492" s="12" t="n">
        <v>2.5</v>
      </c>
      <c r="G492" s="12" t="n">
        <v>0</v>
      </c>
      <c r="H492" s="9" t="n">
        <v>2</v>
      </c>
      <c r="I492" s="9" t="n">
        <v>26</v>
      </c>
      <c r="J492" s="9" t="n">
        <v>1</v>
      </c>
      <c r="K492" s="13" t="s">
        <v>13</v>
      </c>
    </row>
    <row r="493" customFormat="false" ht="15.75" hidden="false" customHeight="false" outlineLevel="0" collapsed="false">
      <c r="A493" s="9" t="n">
        <v>12</v>
      </c>
      <c r="B493" s="10" t="s">
        <v>11</v>
      </c>
      <c r="C493" s="11" t="n">
        <v>988.274</v>
      </c>
      <c r="D493" s="10" t="s">
        <v>12</v>
      </c>
      <c r="E493" s="12" t="n">
        <v>8</v>
      </c>
      <c r="F493" s="12" t="n">
        <v>8</v>
      </c>
      <c r="G493" s="12" t="n">
        <v>0</v>
      </c>
      <c r="H493" s="9" t="n">
        <v>2</v>
      </c>
      <c r="I493" s="9" t="n">
        <v>26</v>
      </c>
      <c r="J493" s="9" t="n">
        <v>2</v>
      </c>
      <c r="K493" s="13" t="s">
        <v>13</v>
      </c>
    </row>
    <row r="494" customFormat="false" ht="15.75" hidden="false" customHeight="false" outlineLevel="0" collapsed="false">
      <c r="A494" s="9" t="n">
        <v>27</v>
      </c>
      <c r="B494" s="10" t="s">
        <v>21</v>
      </c>
      <c r="C494" s="11" t="n">
        <v>4250.498</v>
      </c>
      <c r="D494" s="10" t="s">
        <v>12</v>
      </c>
      <c r="E494" s="12" t="n">
        <v>8</v>
      </c>
      <c r="F494" s="12" t="n">
        <v>8</v>
      </c>
      <c r="G494" s="12" t="n">
        <v>0</v>
      </c>
      <c r="H494" s="9" t="n">
        <v>2</v>
      </c>
      <c r="I494" s="9" t="n">
        <v>42</v>
      </c>
      <c r="J494" s="9" t="n">
        <v>2</v>
      </c>
      <c r="K494" s="13" t="s">
        <v>16</v>
      </c>
    </row>
    <row r="495" customFormat="false" ht="15.75" hidden="false" customHeight="false" outlineLevel="0" collapsed="false">
      <c r="A495" s="9" t="n">
        <v>6</v>
      </c>
      <c r="B495" s="10" t="s">
        <v>11</v>
      </c>
      <c r="C495" s="11" t="n">
        <v>632.107</v>
      </c>
      <c r="D495" s="10" t="s">
        <v>15</v>
      </c>
      <c r="E495" s="12" t="n">
        <v>2.5</v>
      </c>
      <c r="F495" s="12" t="n">
        <v>2.5</v>
      </c>
      <c r="G495" s="12" t="n">
        <v>0</v>
      </c>
      <c r="H495" s="9" t="n">
        <v>1</v>
      </c>
      <c r="I495" s="9" t="n">
        <v>27</v>
      </c>
      <c r="J495" s="9" t="n">
        <v>2</v>
      </c>
      <c r="K495" s="13" t="s">
        <v>13</v>
      </c>
    </row>
    <row r="496" customFormat="false" ht="15.75" hidden="false" customHeight="false" outlineLevel="0" collapsed="false">
      <c r="A496" s="9" t="n">
        <v>6</v>
      </c>
      <c r="B496" s="10" t="s">
        <v>14</v>
      </c>
      <c r="C496" s="11" t="n">
        <v>188.048</v>
      </c>
      <c r="D496" s="10" t="s">
        <v>12</v>
      </c>
      <c r="E496" s="12" t="n">
        <v>8</v>
      </c>
      <c r="F496" s="12" t="n">
        <v>8</v>
      </c>
      <c r="G496" s="12" t="n">
        <v>0</v>
      </c>
      <c r="H496" s="9" t="n">
        <v>4</v>
      </c>
      <c r="I496" s="9" t="n">
        <v>38</v>
      </c>
      <c r="J496" s="9" t="n">
        <v>1</v>
      </c>
      <c r="K496" s="13" t="s">
        <v>13</v>
      </c>
    </row>
    <row r="497" customFormat="false" ht="15.75" hidden="false" customHeight="false" outlineLevel="0" collapsed="false">
      <c r="A497" s="9" t="n">
        <v>12</v>
      </c>
      <c r="B497" s="10" t="s">
        <v>11</v>
      </c>
      <c r="C497" s="11" t="n">
        <v>1084.342</v>
      </c>
      <c r="D497" s="10" t="s">
        <v>15</v>
      </c>
      <c r="E497" s="12" t="n">
        <v>2.5</v>
      </c>
      <c r="F497" s="12" t="n">
        <v>2.5</v>
      </c>
      <c r="G497" s="12" t="n">
        <v>0</v>
      </c>
      <c r="H497" s="9" t="n">
        <v>3</v>
      </c>
      <c r="I497" s="9" t="n">
        <v>39</v>
      </c>
      <c r="J497" s="9" t="n">
        <v>2</v>
      </c>
      <c r="K497" s="13" t="s">
        <v>13</v>
      </c>
    </row>
    <row r="498" customFormat="false" ht="15.75" hidden="false" customHeight="false" outlineLevel="0" collapsed="false">
      <c r="A498" s="9" t="n">
        <v>24</v>
      </c>
      <c r="B498" s="10" t="s">
        <v>14</v>
      </c>
      <c r="C498" s="11" t="n">
        <v>1530.956</v>
      </c>
      <c r="D498" s="10" t="s">
        <v>15</v>
      </c>
      <c r="E498" s="12" t="n">
        <v>2.5</v>
      </c>
      <c r="F498" s="12" t="n">
        <v>2</v>
      </c>
      <c r="G498" s="12" t="n">
        <v>1</v>
      </c>
      <c r="H498" s="9" t="n">
        <v>2</v>
      </c>
      <c r="I498" s="9" t="n">
        <v>20</v>
      </c>
      <c r="J498" s="9" t="n">
        <v>1</v>
      </c>
      <c r="K498" s="13" t="s">
        <v>16</v>
      </c>
    </row>
    <row r="499" customFormat="false" ht="15.75" hidden="false" customHeight="false" outlineLevel="0" collapsed="false">
      <c r="A499" s="9" t="n">
        <v>36</v>
      </c>
      <c r="B499" s="10" t="s">
        <v>14</v>
      </c>
      <c r="C499" s="11" t="n">
        <v>4616.374</v>
      </c>
      <c r="D499" s="10" t="s">
        <v>20</v>
      </c>
      <c r="E499" s="12" t="n">
        <v>0.5</v>
      </c>
      <c r="F499" s="12" t="n">
        <v>0.5</v>
      </c>
      <c r="G499" s="12" t="n">
        <v>0</v>
      </c>
      <c r="H499" s="9" t="n">
        <v>4</v>
      </c>
      <c r="I499" s="9" t="n">
        <v>29</v>
      </c>
      <c r="J499" s="9" t="n">
        <v>1</v>
      </c>
      <c r="K499" s="13" t="s">
        <v>16</v>
      </c>
    </row>
    <row r="500" customFormat="false" ht="15.75" hidden="false" customHeight="false" outlineLevel="0" collapsed="false">
      <c r="A500" s="9" t="n">
        <v>24</v>
      </c>
      <c r="B500" s="10" t="s">
        <v>11</v>
      </c>
      <c r="C500" s="11" t="n">
        <v>809.935</v>
      </c>
      <c r="D500" s="10" t="s">
        <v>17</v>
      </c>
      <c r="E500" s="12" t="n">
        <v>5.5</v>
      </c>
      <c r="F500" s="12" t="n">
        <v>5.5</v>
      </c>
      <c r="G500" s="12" t="n">
        <v>0</v>
      </c>
      <c r="H500" s="9" t="n">
        <v>4</v>
      </c>
      <c r="I500" s="9" t="n">
        <v>40</v>
      </c>
      <c r="J500" s="9" t="n">
        <v>2</v>
      </c>
      <c r="K500" s="13" t="s">
        <v>13</v>
      </c>
    </row>
    <row r="501" customFormat="false" ht="15.75" hidden="false" customHeight="false" outlineLevel="0" collapsed="false">
      <c r="A501" s="9" t="n">
        <v>18</v>
      </c>
      <c r="B501" s="10" t="s">
        <v>14</v>
      </c>
      <c r="C501" s="11" t="n">
        <v>664.811</v>
      </c>
      <c r="D501" s="10" t="s">
        <v>12</v>
      </c>
      <c r="E501" s="12" t="n">
        <v>8</v>
      </c>
      <c r="F501" s="12" t="n">
        <v>8</v>
      </c>
      <c r="G501" s="12" t="n">
        <v>0</v>
      </c>
      <c r="H501" s="9" t="n">
        <v>4</v>
      </c>
      <c r="I501" s="9" t="n">
        <v>32</v>
      </c>
      <c r="J501" s="9" t="n">
        <v>1</v>
      </c>
      <c r="K501" s="13" t="s">
        <v>13</v>
      </c>
    </row>
    <row r="502" customFormat="false" ht="15.75" hidden="false" customHeight="false" outlineLevel="0" collapsed="false">
      <c r="A502" s="9" t="n">
        <v>6</v>
      </c>
      <c r="B502" s="10" t="s">
        <v>11</v>
      </c>
      <c r="C502" s="11" t="n">
        <v>676.053</v>
      </c>
      <c r="D502" s="10" t="s">
        <v>12</v>
      </c>
      <c r="E502" s="12" t="n">
        <v>8</v>
      </c>
      <c r="F502" s="12" t="n">
        <v>8</v>
      </c>
      <c r="G502" s="12" t="n">
        <v>0</v>
      </c>
      <c r="H502" s="9" t="n">
        <v>2</v>
      </c>
      <c r="I502" s="9" t="n">
        <v>28</v>
      </c>
      <c r="J502" s="9" t="n">
        <v>2</v>
      </c>
      <c r="K502" s="13" t="s">
        <v>13</v>
      </c>
    </row>
    <row r="503" customFormat="false" ht="15.75" hidden="false" customHeight="false" outlineLevel="0" collapsed="false">
      <c r="A503" s="9" t="n">
        <v>24</v>
      </c>
      <c r="B503" s="10" t="s">
        <v>14</v>
      </c>
      <c r="C503" s="11" t="n">
        <v>1595.853</v>
      </c>
      <c r="D503" s="10" t="s">
        <v>20</v>
      </c>
      <c r="E503" s="12" t="n">
        <v>0.5</v>
      </c>
      <c r="F503" s="12" t="n">
        <v>0.5</v>
      </c>
      <c r="G503" s="12" t="n">
        <v>0</v>
      </c>
      <c r="H503" s="9" t="n">
        <v>4</v>
      </c>
      <c r="I503" s="9" t="n">
        <v>27</v>
      </c>
      <c r="J503" s="9" t="n">
        <v>1</v>
      </c>
      <c r="K503" s="13" t="s">
        <v>16</v>
      </c>
    </row>
    <row r="504" customFormat="false" ht="15.75" hidden="false" customHeight="false" outlineLevel="0" collapsed="false">
      <c r="A504" s="9" t="n">
        <v>36</v>
      </c>
      <c r="B504" s="10" t="s">
        <v>14</v>
      </c>
      <c r="C504" s="11" t="n">
        <v>2806.923</v>
      </c>
      <c r="D504" s="10" t="s">
        <v>12</v>
      </c>
      <c r="E504" s="12" t="n">
        <v>8</v>
      </c>
      <c r="F504" s="12" t="n">
        <v>8</v>
      </c>
      <c r="G504" s="12" t="n">
        <v>0</v>
      </c>
      <c r="H504" s="9" t="n">
        <v>2</v>
      </c>
      <c r="I504" s="9" t="n">
        <v>42</v>
      </c>
      <c r="J504" s="9" t="n">
        <v>1</v>
      </c>
      <c r="K504" s="13" t="s">
        <v>13</v>
      </c>
    </row>
    <row r="505" customFormat="false" ht="15.75" hidden="false" customHeight="false" outlineLevel="0" collapsed="false">
      <c r="A505" s="9" t="n">
        <v>9</v>
      </c>
      <c r="B505" s="10" t="s">
        <v>14</v>
      </c>
      <c r="C505" s="11" t="n">
        <v>575.386</v>
      </c>
      <c r="D505" s="10" t="s">
        <v>12</v>
      </c>
      <c r="E505" s="12" t="n">
        <v>8</v>
      </c>
      <c r="F505" s="12" t="n">
        <v>8</v>
      </c>
      <c r="G505" s="12" t="n">
        <v>0</v>
      </c>
      <c r="H505" s="9" t="n">
        <v>2</v>
      </c>
      <c r="I505" s="9" t="n">
        <v>49</v>
      </c>
      <c r="J505" s="9" t="n">
        <v>1</v>
      </c>
      <c r="K505" s="13" t="s">
        <v>13</v>
      </c>
    </row>
    <row r="506" customFormat="false" ht="15.75" hidden="false" customHeight="false" outlineLevel="0" collapsed="false">
      <c r="A506" s="9" t="n">
        <v>24</v>
      </c>
      <c r="B506" s="10" t="s">
        <v>11</v>
      </c>
      <c r="C506" s="11" t="n">
        <v>621.376</v>
      </c>
      <c r="D506" s="10" t="s">
        <v>20</v>
      </c>
      <c r="E506" s="12" t="n">
        <v>0.5</v>
      </c>
      <c r="F506" s="12" t="n">
        <v>0.5</v>
      </c>
      <c r="G506" s="12" t="n">
        <v>0</v>
      </c>
      <c r="H506" s="9" t="n">
        <v>4</v>
      </c>
      <c r="I506" s="9" t="n">
        <v>38</v>
      </c>
      <c r="J506" s="9" t="n">
        <v>2</v>
      </c>
      <c r="K506" s="13" t="s">
        <v>16</v>
      </c>
    </row>
    <row r="507" customFormat="false" ht="15.75" hidden="false" customHeight="false" outlineLevel="0" collapsed="false">
      <c r="A507" s="9" t="n">
        <v>24</v>
      </c>
      <c r="B507" s="10" t="s">
        <v>14</v>
      </c>
      <c r="C507" s="11" t="n">
        <v>616.777</v>
      </c>
      <c r="D507" s="10" t="s">
        <v>20</v>
      </c>
      <c r="E507" s="12" t="n">
        <v>0.5</v>
      </c>
      <c r="F507" s="12" t="n">
        <v>0.5</v>
      </c>
      <c r="G507" s="12" t="n">
        <v>0</v>
      </c>
      <c r="H507" s="9" t="n">
        <v>4</v>
      </c>
      <c r="I507" s="9" t="n">
        <v>24</v>
      </c>
      <c r="J507" s="9" t="n">
        <v>1</v>
      </c>
      <c r="K507" s="13" t="s">
        <v>16</v>
      </c>
    </row>
    <row r="508" customFormat="false" ht="15.75" hidden="false" customHeight="false" outlineLevel="0" collapsed="false">
      <c r="A508" s="9" t="n">
        <v>10</v>
      </c>
      <c r="B508" s="10" t="s">
        <v>14</v>
      </c>
      <c r="C508" s="11" t="n">
        <v>668.899</v>
      </c>
      <c r="D508" s="10" t="s">
        <v>15</v>
      </c>
      <c r="E508" s="12" t="n">
        <v>2.5</v>
      </c>
      <c r="F508" s="12" t="n">
        <v>2.5</v>
      </c>
      <c r="G508" s="12" t="n">
        <v>0</v>
      </c>
      <c r="H508" s="9" t="n">
        <v>4</v>
      </c>
      <c r="I508" s="9" t="n">
        <v>27</v>
      </c>
      <c r="J508" s="9" t="n">
        <v>1</v>
      </c>
      <c r="K508" s="13" t="s">
        <v>16</v>
      </c>
    </row>
    <row r="509" customFormat="false" ht="15.75" hidden="false" customHeight="false" outlineLevel="0" collapsed="false">
      <c r="A509" s="9" t="n">
        <v>15</v>
      </c>
      <c r="B509" s="10" t="s">
        <v>11</v>
      </c>
      <c r="C509" s="11" t="n">
        <v>1205.96</v>
      </c>
      <c r="D509" s="10" t="s">
        <v>15</v>
      </c>
      <c r="E509" s="12" t="n">
        <v>2.5</v>
      </c>
      <c r="F509" s="12" t="n">
        <v>2.5</v>
      </c>
      <c r="G509" s="12" t="n">
        <v>0</v>
      </c>
      <c r="H509" s="9" t="n">
        <v>2</v>
      </c>
      <c r="I509" s="9" t="n">
        <v>36</v>
      </c>
      <c r="J509" s="9" t="n">
        <v>1</v>
      </c>
      <c r="K509" s="13" t="s">
        <v>13</v>
      </c>
    </row>
    <row r="510" customFormat="false" ht="15.75" hidden="false" customHeight="false" outlineLevel="0" collapsed="false">
      <c r="A510" s="9" t="n">
        <v>15</v>
      </c>
      <c r="B510" s="10" t="s">
        <v>22</v>
      </c>
      <c r="C510" s="11" t="n">
        <v>3500.35</v>
      </c>
      <c r="D510" s="10" t="s">
        <v>19</v>
      </c>
      <c r="E510" s="12" t="n">
        <v>0</v>
      </c>
      <c r="F510" s="12" t="n">
        <v>0</v>
      </c>
      <c r="G510" s="12" t="n">
        <v>0</v>
      </c>
      <c r="H510" s="9" t="n">
        <v>1</v>
      </c>
      <c r="I510" s="9" t="n">
        <v>34</v>
      </c>
      <c r="J510" s="9" t="n">
        <v>1</v>
      </c>
      <c r="K510" s="13" t="s">
        <v>16</v>
      </c>
    </row>
    <row r="511" customFormat="false" ht="15.75" hidden="false" customHeight="false" outlineLevel="0" collapsed="false">
      <c r="A511" s="9" t="n">
        <v>24</v>
      </c>
      <c r="B511" s="10" t="s">
        <v>14</v>
      </c>
      <c r="C511" s="11" t="n">
        <v>722.043</v>
      </c>
      <c r="D511" s="10" t="s">
        <v>15</v>
      </c>
      <c r="E511" s="12" t="n">
        <v>2.5</v>
      </c>
      <c r="F511" s="12" t="n">
        <v>2.5</v>
      </c>
      <c r="G511" s="12" t="n">
        <v>0</v>
      </c>
      <c r="H511" s="9" t="n">
        <v>4</v>
      </c>
      <c r="I511" s="9" t="n">
        <v>28</v>
      </c>
      <c r="J511" s="9" t="n">
        <v>1</v>
      </c>
      <c r="K511" s="13" t="s">
        <v>13</v>
      </c>
    </row>
    <row r="512" customFormat="false" ht="15.75" hidden="false" customHeight="false" outlineLevel="0" collapsed="false">
      <c r="A512" s="9" t="n">
        <v>39</v>
      </c>
      <c r="B512" s="10" t="s">
        <v>14</v>
      </c>
      <c r="C512" s="11" t="n">
        <v>4388.468</v>
      </c>
      <c r="D512" s="10" t="s">
        <v>12</v>
      </c>
      <c r="E512" s="12" t="n">
        <v>8</v>
      </c>
      <c r="F512" s="12" t="n">
        <v>8</v>
      </c>
      <c r="G512" s="12" t="n">
        <v>0</v>
      </c>
      <c r="H512" s="9" t="n">
        <v>4</v>
      </c>
      <c r="I512" s="9" t="n">
        <v>45</v>
      </c>
      <c r="J512" s="9" t="n">
        <v>1</v>
      </c>
      <c r="K512" s="13" t="s">
        <v>13</v>
      </c>
    </row>
    <row r="513" customFormat="false" ht="15.75" hidden="false" customHeight="false" outlineLevel="0" collapsed="false">
      <c r="A513" s="9" t="n">
        <v>12</v>
      </c>
      <c r="B513" s="10" t="s">
        <v>14</v>
      </c>
      <c r="C513" s="11" t="n">
        <v>387.849</v>
      </c>
      <c r="D513" s="10" t="s">
        <v>17</v>
      </c>
      <c r="E513" s="12" t="n">
        <v>5.5</v>
      </c>
      <c r="F513" s="12" t="n">
        <v>5.5</v>
      </c>
      <c r="G513" s="12" t="n">
        <v>0</v>
      </c>
      <c r="H513" s="9" t="n">
        <v>4</v>
      </c>
      <c r="I513" s="9" t="n">
        <v>26</v>
      </c>
      <c r="J513" s="9" t="n">
        <v>1</v>
      </c>
      <c r="K513" s="13" t="s">
        <v>16</v>
      </c>
    </row>
    <row r="514" customFormat="false" ht="15.75" hidden="false" customHeight="false" outlineLevel="0" collapsed="false">
      <c r="A514" s="9" t="n">
        <v>36</v>
      </c>
      <c r="B514" s="10" t="s">
        <v>14</v>
      </c>
      <c r="C514" s="11" t="n">
        <v>2394.546</v>
      </c>
      <c r="D514" s="10" t="s">
        <v>15</v>
      </c>
      <c r="E514" s="12" t="n">
        <v>2.5</v>
      </c>
      <c r="F514" s="12" t="n">
        <v>2.5</v>
      </c>
      <c r="G514" s="12" t="n">
        <v>0</v>
      </c>
      <c r="H514" s="9" t="n">
        <v>2</v>
      </c>
      <c r="I514" s="9" t="n">
        <v>32</v>
      </c>
      <c r="J514" s="9" t="n">
        <v>1</v>
      </c>
      <c r="K514" s="13" t="s">
        <v>13</v>
      </c>
    </row>
    <row r="515" customFormat="false" ht="15.75" hidden="false" customHeight="false" outlineLevel="0" collapsed="false">
      <c r="A515" s="9" t="n">
        <v>15</v>
      </c>
      <c r="B515" s="10" t="s">
        <v>14</v>
      </c>
      <c r="C515" s="11" t="n">
        <v>1373.057</v>
      </c>
      <c r="D515" s="10" t="s">
        <v>17</v>
      </c>
      <c r="E515" s="12" t="n">
        <v>5.5</v>
      </c>
      <c r="F515" s="12" t="n">
        <v>5.5</v>
      </c>
      <c r="G515" s="12" t="n">
        <v>0</v>
      </c>
      <c r="H515" s="9" t="n">
        <v>2</v>
      </c>
      <c r="I515" s="9" t="n">
        <v>26</v>
      </c>
      <c r="J515" s="9" t="n">
        <v>1</v>
      </c>
      <c r="K515" s="13" t="s">
        <v>13</v>
      </c>
    </row>
    <row r="516" customFormat="false" ht="15.75" hidden="false" customHeight="false" outlineLevel="0" collapsed="false">
      <c r="A516" s="9" t="n">
        <v>12</v>
      </c>
      <c r="B516" s="10" t="s">
        <v>18</v>
      </c>
      <c r="C516" s="11" t="n">
        <v>298.935</v>
      </c>
      <c r="D516" s="10" t="s">
        <v>15</v>
      </c>
      <c r="E516" s="12" t="n">
        <v>2.5</v>
      </c>
      <c r="F516" s="12" t="n">
        <v>2</v>
      </c>
      <c r="G516" s="12" t="n">
        <v>1</v>
      </c>
      <c r="H516" s="9" t="n">
        <v>4</v>
      </c>
      <c r="I516" s="9" t="n">
        <v>20</v>
      </c>
      <c r="J516" s="9" t="n">
        <v>2</v>
      </c>
      <c r="K516" s="13" t="s">
        <v>13</v>
      </c>
    </row>
    <row r="517" customFormat="false" ht="15.75" hidden="false" customHeight="false" outlineLevel="0" collapsed="false">
      <c r="A517" s="9" t="n">
        <v>24</v>
      </c>
      <c r="B517" s="10" t="s">
        <v>14</v>
      </c>
      <c r="C517" s="11" t="n">
        <v>1152.305</v>
      </c>
      <c r="D517" s="10" t="s">
        <v>20</v>
      </c>
      <c r="E517" s="12" t="n">
        <v>0.5</v>
      </c>
      <c r="F517" s="12" t="n">
        <v>0.5</v>
      </c>
      <c r="G517" s="12" t="n">
        <v>0</v>
      </c>
      <c r="H517" s="9" t="n">
        <v>4</v>
      </c>
      <c r="I517" s="9" t="n">
        <v>54</v>
      </c>
      <c r="J517" s="9" t="n">
        <v>1</v>
      </c>
      <c r="K517" s="13" t="s">
        <v>13</v>
      </c>
    </row>
    <row r="518" customFormat="false" ht="15.75" hidden="false" customHeight="false" outlineLevel="0" collapsed="false">
      <c r="A518" s="9" t="n">
        <v>6</v>
      </c>
      <c r="B518" s="10" t="s">
        <v>11</v>
      </c>
      <c r="C518" s="11" t="n">
        <v>311.199</v>
      </c>
      <c r="D518" s="10" t="s">
        <v>17</v>
      </c>
      <c r="E518" s="12" t="n">
        <v>5.5</v>
      </c>
      <c r="F518" s="12" t="n">
        <v>5.5</v>
      </c>
      <c r="G518" s="12" t="n">
        <v>0</v>
      </c>
      <c r="H518" s="9" t="n">
        <v>4</v>
      </c>
      <c r="I518" s="9" t="n">
        <v>37</v>
      </c>
      <c r="J518" s="9" t="n">
        <v>2</v>
      </c>
      <c r="K518" s="13" t="s">
        <v>13</v>
      </c>
    </row>
    <row r="519" customFormat="false" ht="15.75" hidden="false" customHeight="false" outlineLevel="0" collapsed="false">
      <c r="A519" s="9" t="n">
        <v>6</v>
      </c>
      <c r="B519" s="10" t="s">
        <v>11</v>
      </c>
      <c r="C519" s="11" t="n">
        <v>695.471</v>
      </c>
      <c r="D519" s="10" t="s">
        <v>20</v>
      </c>
      <c r="E519" s="12" t="n">
        <v>0.5</v>
      </c>
      <c r="F519" s="12" t="n">
        <v>0.5</v>
      </c>
      <c r="G519" s="12" t="n">
        <v>0</v>
      </c>
      <c r="H519" s="9" t="n">
        <v>2</v>
      </c>
      <c r="I519" s="9" t="n">
        <v>40</v>
      </c>
      <c r="J519" s="9" t="n">
        <v>1</v>
      </c>
      <c r="K519" s="13" t="s">
        <v>13</v>
      </c>
    </row>
    <row r="520" customFormat="false" ht="15.75" hidden="false" customHeight="false" outlineLevel="0" collapsed="false">
      <c r="A520" s="9" t="n">
        <v>36</v>
      </c>
      <c r="B520" s="10" t="s">
        <v>11</v>
      </c>
      <c r="C520" s="11" t="n">
        <v>3641.897</v>
      </c>
      <c r="D520" s="10" t="s">
        <v>20</v>
      </c>
      <c r="E520" s="12" t="n">
        <v>0.5</v>
      </c>
      <c r="F520" s="12" t="n">
        <v>0.5</v>
      </c>
      <c r="G520" s="12" t="n">
        <v>0</v>
      </c>
      <c r="H520" s="9" t="n">
        <v>2</v>
      </c>
      <c r="I520" s="9" t="n">
        <v>23</v>
      </c>
      <c r="J520" s="9" t="n">
        <v>2</v>
      </c>
      <c r="K520" s="13" t="s">
        <v>16</v>
      </c>
    </row>
    <row r="521" customFormat="false" ht="15.75" hidden="false" customHeight="false" outlineLevel="0" collapsed="false">
      <c r="A521" s="9" t="n">
        <v>6</v>
      </c>
      <c r="B521" s="10" t="s">
        <v>14</v>
      </c>
      <c r="C521" s="11" t="n">
        <v>614.733</v>
      </c>
      <c r="D521" s="10" t="s">
        <v>12</v>
      </c>
      <c r="E521" s="12" t="n">
        <v>8</v>
      </c>
      <c r="F521" s="12" t="n">
        <v>8</v>
      </c>
      <c r="G521" s="12" t="n">
        <v>0</v>
      </c>
      <c r="H521" s="9" t="n">
        <v>3</v>
      </c>
      <c r="I521" s="9" t="n">
        <v>43</v>
      </c>
      <c r="J521" s="9" t="n">
        <v>1</v>
      </c>
      <c r="K521" s="13" t="s">
        <v>13</v>
      </c>
    </row>
    <row r="522" customFormat="false" ht="15.75" hidden="false" customHeight="false" outlineLevel="0" collapsed="false">
      <c r="A522" s="9" t="n">
        <v>6</v>
      </c>
      <c r="B522" s="10" t="s">
        <v>11</v>
      </c>
      <c r="C522" s="11" t="n">
        <v>357.7</v>
      </c>
      <c r="D522" s="10" t="s">
        <v>12</v>
      </c>
      <c r="E522" s="12" t="n">
        <v>8</v>
      </c>
      <c r="F522" s="12" t="n">
        <v>8</v>
      </c>
      <c r="G522" s="12" t="n">
        <v>0</v>
      </c>
      <c r="H522" s="9" t="n">
        <v>4</v>
      </c>
      <c r="I522" s="9" t="n">
        <v>36</v>
      </c>
      <c r="J522" s="9" t="n">
        <v>2</v>
      </c>
      <c r="K522" s="13" t="s">
        <v>13</v>
      </c>
    </row>
    <row r="523" customFormat="false" ht="15.75" hidden="false" customHeight="false" outlineLevel="0" collapsed="false">
      <c r="A523" s="9" t="n">
        <v>24</v>
      </c>
      <c r="B523" s="10" t="s">
        <v>11</v>
      </c>
      <c r="C523" s="11" t="n">
        <v>2814.077</v>
      </c>
      <c r="D523" s="10" t="s">
        <v>12</v>
      </c>
      <c r="E523" s="12" t="n">
        <v>8</v>
      </c>
      <c r="F523" s="12" t="n">
        <v>8</v>
      </c>
      <c r="G523" s="12" t="n">
        <v>0</v>
      </c>
      <c r="H523" s="9" t="n">
        <v>3</v>
      </c>
      <c r="I523" s="9" t="n">
        <v>44</v>
      </c>
      <c r="J523" s="9" t="n">
        <v>2</v>
      </c>
      <c r="K523" s="13" t="s">
        <v>13</v>
      </c>
    </row>
    <row r="524" customFormat="false" ht="15.75" hidden="false" customHeight="false" outlineLevel="0" collapsed="false">
      <c r="A524" s="9" t="n">
        <v>18</v>
      </c>
      <c r="B524" s="10" t="s">
        <v>14</v>
      </c>
      <c r="C524" s="11" t="n">
        <v>1630.09</v>
      </c>
      <c r="D524" s="10" t="s">
        <v>15</v>
      </c>
      <c r="E524" s="12" t="n">
        <v>2.5</v>
      </c>
      <c r="F524" s="12" t="n">
        <v>2.5</v>
      </c>
      <c r="G524" s="12" t="n">
        <v>0</v>
      </c>
      <c r="H524" s="9" t="n">
        <v>2</v>
      </c>
      <c r="I524" s="9" t="n">
        <v>24</v>
      </c>
      <c r="J524" s="9" t="n">
        <v>1</v>
      </c>
      <c r="K524" s="13" t="s">
        <v>16</v>
      </c>
    </row>
    <row r="525" customFormat="false" ht="15.75" hidden="false" customHeight="false" outlineLevel="0" collapsed="false">
      <c r="A525" s="9" t="n">
        <v>48</v>
      </c>
      <c r="B525" s="10" t="s">
        <v>21</v>
      </c>
      <c r="C525" s="11" t="n">
        <v>3637.809</v>
      </c>
      <c r="D525" s="10" t="s">
        <v>15</v>
      </c>
      <c r="E525" s="12" t="n">
        <v>2.5</v>
      </c>
      <c r="F525" s="12" t="n">
        <v>2.5</v>
      </c>
      <c r="G525" s="12" t="n">
        <v>0</v>
      </c>
      <c r="H525" s="9" t="n">
        <v>3</v>
      </c>
      <c r="I525" s="9" t="n">
        <v>53</v>
      </c>
      <c r="J525" s="9" t="n">
        <v>2</v>
      </c>
      <c r="K525" s="13" t="s">
        <v>16</v>
      </c>
    </row>
    <row r="526" customFormat="false" ht="15.75" hidden="false" customHeight="false" outlineLevel="0" collapsed="false">
      <c r="A526" s="9" t="n">
        <v>24</v>
      </c>
      <c r="B526" s="10" t="s">
        <v>14</v>
      </c>
      <c r="C526" s="11" t="n">
        <v>1782.368</v>
      </c>
      <c r="D526" s="10" t="s">
        <v>17</v>
      </c>
      <c r="E526" s="12" t="n">
        <v>5.5</v>
      </c>
      <c r="F526" s="12" t="n">
        <v>5</v>
      </c>
      <c r="G526" s="12" t="n">
        <v>1</v>
      </c>
      <c r="H526" s="9" t="n">
        <v>3</v>
      </c>
      <c r="I526" s="9" t="n">
        <v>23</v>
      </c>
      <c r="J526" s="9" t="n">
        <v>1</v>
      </c>
      <c r="K526" s="13" t="s">
        <v>13</v>
      </c>
    </row>
    <row r="527" customFormat="false" ht="15.75" hidden="false" customHeight="false" outlineLevel="0" collapsed="false">
      <c r="A527" s="9" t="n">
        <v>18</v>
      </c>
      <c r="B527" s="10" t="s">
        <v>14</v>
      </c>
      <c r="C527" s="11" t="n">
        <v>568.743</v>
      </c>
      <c r="D527" s="10" t="s">
        <v>15</v>
      </c>
      <c r="E527" s="12" t="n">
        <v>2.5</v>
      </c>
      <c r="F527" s="12" t="n">
        <v>2.5</v>
      </c>
      <c r="G527" s="12" t="n">
        <v>0</v>
      </c>
      <c r="H527" s="9" t="n">
        <v>4</v>
      </c>
      <c r="I527" s="9" t="n">
        <v>26</v>
      </c>
      <c r="J527" s="9" t="n">
        <v>1</v>
      </c>
      <c r="K527" s="13" t="s">
        <v>13</v>
      </c>
    </row>
    <row r="528" customFormat="false" ht="15.75" hidden="false" customHeight="false" outlineLevel="0" collapsed="false">
      <c r="A528" s="9" t="n">
        <v>26</v>
      </c>
      <c r="B528" s="10" t="s">
        <v>14</v>
      </c>
      <c r="C528" s="11" t="n">
        <v>4070.626</v>
      </c>
      <c r="D528" s="10" t="s">
        <v>20</v>
      </c>
      <c r="E528" s="12" t="n">
        <v>0.5</v>
      </c>
      <c r="F528" s="12" t="n">
        <v>0.5</v>
      </c>
      <c r="G528" s="12" t="n">
        <v>0</v>
      </c>
      <c r="H528" s="9" t="n">
        <v>2</v>
      </c>
      <c r="I528" s="9" t="n">
        <v>30</v>
      </c>
      <c r="J528" s="9" t="n">
        <v>2</v>
      </c>
      <c r="K528" s="13" t="s">
        <v>13</v>
      </c>
    </row>
    <row r="529" customFormat="false" ht="15.75" hidden="false" customHeight="false" outlineLevel="0" collapsed="false">
      <c r="A529" s="9" t="n">
        <v>15</v>
      </c>
      <c r="B529" s="10" t="s">
        <v>11</v>
      </c>
      <c r="C529" s="11" t="n">
        <v>782.852</v>
      </c>
      <c r="D529" s="10" t="s">
        <v>15</v>
      </c>
      <c r="E529" s="12" t="n">
        <v>2.5</v>
      </c>
      <c r="F529" s="12" t="n">
        <v>2.5</v>
      </c>
      <c r="G529" s="12" t="n">
        <v>0</v>
      </c>
      <c r="H529" s="9" t="n">
        <v>4</v>
      </c>
      <c r="I529" s="9" t="n">
        <v>31</v>
      </c>
      <c r="J529" s="9" t="n">
        <v>1</v>
      </c>
      <c r="K529" s="13" t="s">
        <v>13</v>
      </c>
    </row>
    <row r="530" customFormat="false" ht="15.75" hidden="false" customHeight="false" outlineLevel="0" collapsed="false">
      <c r="A530" s="9" t="n">
        <v>4</v>
      </c>
      <c r="B530" s="10" t="s">
        <v>11</v>
      </c>
      <c r="C530" s="11" t="n">
        <v>768.033</v>
      </c>
      <c r="D530" s="10" t="s">
        <v>17</v>
      </c>
      <c r="E530" s="12" t="n">
        <v>5.5</v>
      </c>
      <c r="F530" s="12" t="n">
        <v>5.5</v>
      </c>
      <c r="G530" s="12" t="n">
        <v>0</v>
      </c>
      <c r="H530" s="9" t="n">
        <v>2</v>
      </c>
      <c r="I530" s="9" t="n">
        <v>42</v>
      </c>
      <c r="J530" s="9" t="n">
        <v>2</v>
      </c>
      <c r="K530" s="13" t="s">
        <v>13</v>
      </c>
    </row>
    <row r="531" customFormat="false" ht="15.75" hidden="false" customHeight="false" outlineLevel="0" collapsed="false">
      <c r="A531" s="9" t="n">
        <v>36</v>
      </c>
      <c r="B531" s="10" t="s">
        <v>14</v>
      </c>
      <c r="C531" s="11" t="n">
        <v>1176.322</v>
      </c>
      <c r="D531" s="10" t="s">
        <v>15</v>
      </c>
      <c r="E531" s="12" t="n">
        <v>2.5</v>
      </c>
      <c r="F531" s="12" t="n">
        <v>2.5</v>
      </c>
      <c r="G531" s="12" t="n">
        <v>0</v>
      </c>
      <c r="H531" s="9" t="n">
        <v>4</v>
      </c>
      <c r="I531" s="9" t="n">
        <v>31</v>
      </c>
      <c r="J531" s="9" t="n">
        <v>1</v>
      </c>
      <c r="K531" s="13" t="s">
        <v>16</v>
      </c>
    </row>
    <row r="532" customFormat="false" ht="15.75" hidden="false" customHeight="false" outlineLevel="0" collapsed="false">
      <c r="A532" s="9" t="n">
        <v>6</v>
      </c>
      <c r="B532" s="10" t="s">
        <v>14</v>
      </c>
      <c r="C532" s="11" t="n">
        <v>338.282</v>
      </c>
      <c r="D532" s="10" t="s">
        <v>20</v>
      </c>
      <c r="E532" s="12" t="n">
        <v>0.5</v>
      </c>
      <c r="F532" s="12" t="n">
        <v>0.5</v>
      </c>
      <c r="G532" s="12" t="n">
        <v>0</v>
      </c>
      <c r="H532" s="9" t="n">
        <v>3</v>
      </c>
      <c r="I532" s="9" t="n">
        <v>41</v>
      </c>
      <c r="J532" s="9" t="n">
        <v>1</v>
      </c>
      <c r="K532" s="13" t="s">
        <v>13</v>
      </c>
    </row>
    <row r="533" customFormat="false" ht="15.75" hidden="false" customHeight="false" outlineLevel="0" collapsed="false">
      <c r="A533" s="9" t="n">
        <v>36</v>
      </c>
      <c r="B533" s="10" t="s">
        <v>14</v>
      </c>
      <c r="C533" s="11" t="n">
        <v>1161.503</v>
      </c>
      <c r="D533" s="10" t="s">
        <v>17</v>
      </c>
      <c r="E533" s="12" t="n">
        <v>5.5</v>
      </c>
      <c r="F533" s="12" t="n">
        <v>5.5</v>
      </c>
      <c r="G533" s="12" t="n">
        <v>0</v>
      </c>
      <c r="H533" s="9" t="n">
        <v>3</v>
      </c>
      <c r="I533" s="9" t="n">
        <v>32</v>
      </c>
      <c r="J533" s="9" t="n">
        <v>2</v>
      </c>
      <c r="K533" s="13" t="s">
        <v>13</v>
      </c>
    </row>
    <row r="534" customFormat="false" ht="15.75" hidden="false" customHeight="false" outlineLevel="0" collapsed="false">
      <c r="A534" s="9" t="n">
        <v>15</v>
      </c>
      <c r="B534" s="10" t="s">
        <v>14</v>
      </c>
      <c r="C534" s="11" t="n">
        <v>1344.441</v>
      </c>
      <c r="D534" s="10" t="s">
        <v>15</v>
      </c>
      <c r="E534" s="12" t="n">
        <v>2.5</v>
      </c>
      <c r="F534" s="12" t="n">
        <v>2.5</v>
      </c>
      <c r="G534" s="12" t="n">
        <v>0</v>
      </c>
      <c r="H534" s="9" t="n">
        <v>2</v>
      </c>
      <c r="I534" s="9" t="n">
        <v>28</v>
      </c>
      <c r="J534" s="9" t="n">
        <v>2</v>
      </c>
      <c r="K534" s="13" t="s">
        <v>16</v>
      </c>
    </row>
    <row r="535" customFormat="false" ht="15.75" hidden="false" customHeight="false" outlineLevel="0" collapsed="false">
      <c r="A535" s="9" t="n">
        <v>12</v>
      </c>
      <c r="B535" s="10" t="s">
        <v>18</v>
      </c>
      <c r="C535" s="11" t="n">
        <v>768.033</v>
      </c>
      <c r="D535" s="10" t="s">
        <v>15</v>
      </c>
      <c r="E535" s="12" t="n">
        <v>2.5</v>
      </c>
      <c r="F535" s="12" t="n">
        <v>2.5</v>
      </c>
      <c r="G535" s="12" t="n">
        <v>0</v>
      </c>
      <c r="H535" s="9" t="n">
        <v>4</v>
      </c>
      <c r="I535" s="9" t="n">
        <v>41</v>
      </c>
      <c r="J535" s="9" t="n">
        <v>1</v>
      </c>
      <c r="K535" s="13" t="s">
        <v>13</v>
      </c>
    </row>
    <row r="536" customFormat="false" ht="15.75" hidden="false" customHeight="false" outlineLevel="0" collapsed="false">
      <c r="A536" s="9" t="n">
        <v>24</v>
      </c>
      <c r="B536" s="10" t="s">
        <v>14</v>
      </c>
      <c r="C536" s="11" t="n">
        <v>669.921</v>
      </c>
      <c r="D536" s="10" t="s">
        <v>17</v>
      </c>
      <c r="E536" s="12" t="n">
        <v>5.5</v>
      </c>
      <c r="F536" s="12" t="n">
        <v>5.5</v>
      </c>
      <c r="G536" s="12" t="n">
        <v>0</v>
      </c>
      <c r="H536" s="9" t="n">
        <v>4</v>
      </c>
      <c r="I536" s="9" t="n">
        <v>26</v>
      </c>
      <c r="J536" s="9" t="n">
        <v>1</v>
      </c>
      <c r="K536" s="13" t="s">
        <v>13</v>
      </c>
    </row>
    <row r="537" customFormat="false" ht="15.75" hidden="false" customHeight="false" outlineLevel="0" collapsed="false">
      <c r="A537" s="9" t="n">
        <v>24</v>
      </c>
      <c r="B537" s="10" t="s">
        <v>14</v>
      </c>
      <c r="C537" s="11" t="n">
        <v>1586.655</v>
      </c>
      <c r="D537" s="10" t="s">
        <v>20</v>
      </c>
      <c r="E537" s="12" t="n">
        <v>0.5</v>
      </c>
      <c r="F537" s="12" t="n">
        <v>0.5</v>
      </c>
      <c r="G537" s="12" t="n">
        <v>0</v>
      </c>
      <c r="H537" s="9" t="n">
        <v>4</v>
      </c>
      <c r="I537" s="9" t="n">
        <v>25</v>
      </c>
      <c r="J537" s="9" t="n">
        <v>2</v>
      </c>
      <c r="K537" s="13" t="s">
        <v>13</v>
      </c>
    </row>
    <row r="538" customFormat="false" ht="15.75" hidden="false" customHeight="false" outlineLevel="0" collapsed="false">
      <c r="A538" s="9" t="n">
        <v>21</v>
      </c>
      <c r="B538" s="10" t="s">
        <v>11</v>
      </c>
      <c r="C538" s="11" t="n">
        <v>1185.009</v>
      </c>
      <c r="D538" s="10" t="s">
        <v>20</v>
      </c>
      <c r="E538" s="12" t="n">
        <v>0.5</v>
      </c>
      <c r="F538" s="12" t="n">
        <v>0.5</v>
      </c>
      <c r="G538" s="12" t="n">
        <v>0</v>
      </c>
      <c r="H538" s="9" t="n">
        <v>2</v>
      </c>
      <c r="I538" s="9" t="n">
        <v>33</v>
      </c>
      <c r="J538" s="9" t="n">
        <v>1</v>
      </c>
      <c r="K538" s="13" t="s">
        <v>16</v>
      </c>
    </row>
    <row r="539" customFormat="false" ht="15.75" hidden="false" customHeight="false" outlineLevel="0" collapsed="false">
      <c r="A539" s="9" t="n">
        <v>6</v>
      </c>
      <c r="B539" s="10" t="s">
        <v>14</v>
      </c>
      <c r="C539" s="11" t="n">
        <v>702.114</v>
      </c>
      <c r="D539" s="10" t="s">
        <v>19</v>
      </c>
      <c r="E539" s="12" t="n">
        <v>0</v>
      </c>
      <c r="F539" s="12" t="n">
        <v>0</v>
      </c>
      <c r="G539" s="12" t="n">
        <v>0</v>
      </c>
      <c r="H539" s="9" t="n">
        <v>4</v>
      </c>
      <c r="I539" s="9" t="n">
        <v>75</v>
      </c>
      <c r="J539" s="9" t="n">
        <v>1</v>
      </c>
      <c r="K539" s="13" t="s">
        <v>13</v>
      </c>
    </row>
    <row r="540" customFormat="false" ht="15.75" hidden="false" customHeight="false" outlineLevel="0" collapsed="false">
      <c r="A540" s="9" t="n">
        <v>18</v>
      </c>
      <c r="B540" s="10" t="s">
        <v>11</v>
      </c>
      <c r="C540" s="11" t="n">
        <v>1845.732</v>
      </c>
      <c r="D540" s="10" t="s">
        <v>12</v>
      </c>
      <c r="E540" s="12" t="n">
        <v>8</v>
      </c>
      <c r="F540" s="12" t="n">
        <v>8</v>
      </c>
      <c r="G540" s="12" t="n">
        <v>0</v>
      </c>
      <c r="H540" s="9" t="n">
        <v>3</v>
      </c>
      <c r="I540" s="9" t="n">
        <v>37</v>
      </c>
      <c r="J540" s="9" t="n">
        <v>1</v>
      </c>
      <c r="K540" s="13" t="s">
        <v>13</v>
      </c>
    </row>
    <row r="541" customFormat="false" ht="15.75" hidden="false" customHeight="false" outlineLevel="0" collapsed="false">
      <c r="A541" s="9" t="n">
        <v>48</v>
      </c>
      <c r="B541" s="10" t="s">
        <v>14</v>
      </c>
      <c r="C541" s="11" t="n">
        <v>3966.893</v>
      </c>
      <c r="D541" s="10" t="s">
        <v>12</v>
      </c>
      <c r="E541" s="12" t="n">
        <v>8</v>
      </c>
      <c r="F541" s="12" t="n">
        <v>8</v>
      </c>
      <c r="G541" s="12" t="n">
        <v>0</v>
      </c>
      <c r="H541" s="9" t="n">
        <v>4</v>
      </c>
      <c r="I541" s="9" t="n">
        <v>42</v>
      </c>
      <c r="J541" s="9" t="n">
        <v>1</v>
      </c>
      <c r="K541" s="13" t="s">
        <v>16</v>
      </c>
    </row>
    <row r="542" customFormat="false" ht="15.75" hidden="false" customHeight="false" outlineLevel="0" collapsed="false">
      <c r="A542" s="9" t="n">
        <v>18</v>
      </c>
      <c r="B542" s="10" t="s">
        <v>14</v>
      </c>
      <c r="C542" s="11" t="n">
        <v>1558.039</v>
      </c>
      <c r="D542" s="10" t="s">
        <v>20</v>
      </c>
      <c r="E542" s="12" t="n">
        <v>0.5</v>
      </c>
      <c r="F542" s="12" t="n">
        <v>0.5</v>
      </c>
      <c r="G542" s="12" t="n">
        <v>0</v>
      </c>
      <c r="H542" s="9" t="n">
        <v>1</v>
      </c>
      <c r="I542" s="9" t="n">
        <v>45</v>
      </c>
      <c r="J542" s="9" t="n">
        <v>1</v>
      </c>
      <c r="K542" s="13" t="s">
        <v>13</v>
      </c>
    </row>
    <row r="543" customFormat="false" ht="15.75" hidden="false" customHeight="false" outlineLevel="0" collapsed="false">
      <c r="A543" s="9" t="n">
        <v>12</v>
      </c>
      <c r="B543" s="10" t="s">
        <v>14</v>
      </c>
      <c r="C543" s="11" t="n">
        <v>783.874</v>
      </c>
      <c r="D543" s="10" t="s">
        <v>20</v>
      </c>
      <c r="E543" s="12" t="n">
        <v>0.5</v>
      </c>
      <c r="F543" s="12" t="n">
        <v>0.5</v>
      </c>
      <c r="G543" s="12" t="n">
        <v>0</v>
      </c>
      <c r="H543" s="9" t="n">
        <v>1</v>
      </c>
      <c r="I543" s="9" t="n">
        <v>23</v>
      </c>
      <c r="J543" s="9" t="n">
        <v>1</v>
      </c>
      <c r="K543" s="13" t="s">
        <v>16</v>
      </c>
    </row>
    <row r="544" customFormat="false" ht="15.75" hidden="false" customHeight="false" outlineLevel="0" collapsed="false">
      <c r="A544" s="9" t="n">
        <v>24</v>
      </c>
      <c r="B544" s="10" t="s">
        <v>18</v>
      </c>
      <c r="C544" s="11" t="n">
        <v>1038.352</v>
      </c>
      <c r="D544" s="10" t="s">
        <v>12</v>
      </c>
      <c r="E544" s="12" t="n">
        <v>8</v>
      </c>
      <c r="F544" s="12" t="n">
        <v>8</v>
      </c>
      <c r="G544" s="12" t="n">
        <v>0</v>
      </c>
      <c r="H544" s="9" t="n">
        <v>4</v>
      </c>
      <c r="I544" s="9" t="n">
        <v>60</v>
      </c>
      <c r="J544" s="9" t="n">
        <v>2</v>
      </c>
      <c r="K544" s="13" t="s">
        <v>13</v>
      </c>
    </row>
    <row r="545" customFormat="false" ht="15.75" hidden="false" customHeight="false" outlineLevel="0" collapsed="false">
      <c r="A545" s="9" t="n">
        <v>30</v>
      </c>
      <c r="B545" s="10" t="s">
        <v>14</v>
      </c>
      <c r="C545" s="11" t="n">
        <v>3244.85</v>
      </c>
      <c r="D545" s="10" t="s">
        <v>12</v>
      </c>
      <c r="E545" s="12" t="n">
        <v>8</v>
      </c>
      <c r="F545" s="12" t="n">
        <v>8</v>
      </c>
      <c r="G545" s="12" t="n">
        <v>0</v>
      </c>
      <c r="H545" s="9" t="n">
        <v>4</v>
      </c>
      <c r="I545" s="9" t="n">
        <v>31</v>
      </c>
      <c r="J545" s="9" t="n">
        <v>1</v>
      </c>
      <c r="K545" s="13" t="s">
        <v>16</v>
      </c>
    </row>
    <row r="546" customFormat="false" ht="15.75" hidden="false" customHeight="false" outlineLevel="0" collapsed="false">
      <c r="A546" s="9" t="n">
        <v>18</v>
      </c>
      <c r="B546" s="10" t="s">
        <v>14</v>
      </c>
      <c r="C546" s="11" t="n">
        <v>1463.504</v>
      </c>
      <c r="D546" s="10" t="s">
        <v>15</v>
      </c>
      <c r="E546" s="12" t="n">
        <v>2.5</v>
      </c>
      <c r="F546" s="12" t="n">
        <v>2.5</v>
      </c>
      <c r="G546" s="12" t="n">
        <v>0</v>
      </c>
      <c r="H546" s="9" t="n">
        <v>2</v>
      </c>
      <c r="I546" s="9" t="n">
        <v>34</v>
      </c>
      <c r="J546" s="9" t="n">
        <v>1</v>
      </c>
      <c r="K546" s="13" t="s">
        <v>16</v>
      </c>
    </row>
    <row r="547" customFormat="false" ht="15.75" hidden="false" customHeight="false" outlineLevel="0" collapsed="false">
      <c r="A547" s="9" t="n">
        <v>12</v>
      </c>
      <c r="B547" s="10" t="s">
        <v>11</v>
      </c>
      <c r="C547" s="11" t="n">
        <v>641.305</v>
      </c>
      <c r="D547" s="10" t="s">
        <v>12</v>
      </c>
      <c r="E547" s="12" t="n">
        <v>8</v>
      </c>
      <c r="F547" s="12" t="n">
        <v>8</v>
      </c>
      <c r="G547" s="12" t="n">
        <v>0</v>
      </c>
      <c r="H547" s="9" t="n">
        <v>4</v>
      </c>
      <c r="I547" s="9" t="n">
        <v>61</v>
      </c>
      <c r="J547" s="9" t="n">
        <v>2</v>
      </c>
      <c r="K547" s="13" t="s">
        <v>13</v>
      </c>
    </row>
    <row r="548" customFormat="false" ht="15.75" hidden="false" customHeight="false" outlineLevel="0" collapsed="false">
      <c r="A548" s="9" t="n">
        <v>24</v>
      </c>
      <c r="B548" s="10" t="s">
        <v>18</v>
      </c>
      <c r="C548" s="11" t="n">
        <v>681.163</v>
      </c>
      <c r="D548" s="10" t="s">
        <v>19</v>
      </c>
      <c r="E548" s="12" t="n">
        <v>0</v>
      </c>
      <c r="F548" s="12" t="n">
        <v>0</v>
      </c>
      <c r="G548" s="12" t="n">
        <v>0</v>
      </c>
      <c r="H548" s="9" t="n">
        <v>4</v>
      </c>
      <c r="I548" s="9" t="n">
        <v>43</v>
      </c>
      <c r="J548" s="9" t="n">
        <v>2</v>
      </c>
      <c r="K548" s="13" t="s">
        <v>16</v>
      </c>
    </row>
    <row r="549" customFormat="false" ht="15.75" hidden="false" customHeight="false" outlineLevel="0" collapsed="false">
      <c r="A549" s="9" t="n">
        <v>24</v>
      </c>
      <c r="B549" s="10" t="s">
        <v>11</v>
      </c>
      <c r="C549" s="11" t="n">
        <v>1033.242</v>
      </c>
      <c r="D549" s="10" t="s">
        <v>15</v>
      </c>
      <c r="E549" s="12" t="n">
        <v>2.5</v>
      </c>
      <c r="F549" s="12" t="n">
        <v>2.5</v>
      </c>
      <c r="G549" s="12" t="n">
        <v>0</v>
      </c>
      <c r="H549" s="9" t="n">
        <v>4</v>
      </c>
      <c r="I549" s="9" t="n">
        <v>37</v>
      </c>
      <c r="J549" s="9" t="n">
        <v>1</v>
      </c>
      <c r="K549" s="13" t="s">
        <v>13</v>
      </c>
    </row>
    <row r="550" customFormat="false" ht="15.75" hidden="false" customHeight="false" outlineLevel="0" collapsed="false">
      <c r="A550" s="9" t="n">
        <v>24</v>
      </c>
      <c r="B550" s="10" t="s">
        <v>14</v>
      </c>
      <c r="C550" s="11" t="n">
        <v>793.072</v>
      </c>
      <c r="D550" s="10" t="s">
        <v>17</v>
      </c>
      <c r="E550" s="12" t="n">
        <v>5.5</v>
      </c>
      <c r="F550" s="12" t="n">
        <v>5.5</v>
      </c>
      <c r="G550" s="12" t="n">
        <v>0</v>
      </c>
      <c r="H550" s="9" t="n">
        <v>3</v>
      </c>
      <c r="I550" s="9" t="n">
        <v>32</v>
      </c>
      <c r="J550" s="9" t="n">
        <v>1</v>
      </c>
      <c r="K550" s="13" t="s">
        <v>13</v>
      </c>
    </row>
    <row r="551" customFormat="false" ht="15.75" hidden="false" customHeight="false" outlineLevel="0" collapsed="false">
      <c r="A551" s="9" t="n">
        <v>12</v>
      </c>
      <c r="B551" s="10" t="s">
        <v>22</v>
      </c>
      <c r="C551" s="11" t="n">
        <v>319.886</v>
      </c>
      <c r="D551" s="10" t="s">
        <v>15</v>
      </c>
      <c r="E551" s="12" t="n">
        <v>2.5</v>
      </c>
      <c r="F551" s="12" t="n">
        <v>2.5</v>
      </c>
      <c r="G551" s="12" t="n">
        <v>0</v>
      </c>
      <c r="H551" s="9" t="n">
        <v>4</v>
      </c>
      <c r="I551" s="9" t="n">
        <v>24</v>
      </c>
      <c r="J551" s="9" t="n">
        <v>1</v>
      </c>
      <c r="K551" s="13" t="s">
        <v>16</v>
      </c>
    </row>
    <row r="552" customFormat="false" ht="15.75" hidden="false" customHeight="false" outlineLevel="0" collapsed="false">
      <c r="A552" s="9" t="n">
        <v>48</v>
      </c>
      <c r="B552" s="10" t="s">
        <v>11</v>
      </c>
      <c r="C552" s="11" t="n">
        <v>4526.438</v>
      </c>
      <c r="D552" s="10" t="s">
        <v>17</v>
      </c>
      <c r="E552" s="12" t="n">
        <v>5.5</v>
      </c>
      <c r="F552" s="12" t="n">
        <v>5.5</v>
      </c>
      <c r="G552" s="12" t="n">
        <v>0</v>
      </c>
      <c r="H552" s="9" t="n">
        <v>2</v>
      </c>
      <c r="I552" s="9" t="n">
        <v>35</v>
      </c>
      <c r="J552" s="9" t="n">
        <v>2</v>
      </c>
      <c r="K552" s="13" t="s">
        <v>13</v>
      </c>
    </row>
    <row r="553" customFormat="false" ht="15.75" hidden="false" customHeight="false" outlineLevel="0" collapsed="false">
      <c r="A553" s="9" t="n">
        <v>12</v>
      </c>
      <c r="B553" s="10" t="s">
        <v>11</v>
      </c>
      <c r="C553" s="11" t="n">
        <v>508.956</v>
      </c>
      <c r="D553" s="10" t="s">
        <v>17</v>
      </c>
      <c r="E553" s="12" t="n">
        <v>5.5</v>
      </c>
      <c r="F553" s="12" t="n">
        <v>5</v>
      </c>
      <c r="G553" s="12" t="n">
        <v>1</v>
      </c>
      <c r="H553" s="9" t="n">
        <v>4</v>
      </c>
      <c r="I553" s="9" t="n">
        <v>23</v>
      </c>
      <c r="J553" s="9" t="n">
        <v>2</v>
      </c>
      <c r="K553" s="13" t="s">
        <v>13</v>
      </c>
    </row>
    <row r="554" customFormat="false" ht="15.75" hidden="false" customHeight="false" outlineLevel="0" collapsed="false">
      <c r="A554" s="9" t="n">
        <v>6</v>
      </c>
      <c r="B554" s="10" t="s">
        <v>22</v>
      </c>
      <c r="C554" s="11" t="n">
        <v>894.25</v>
      </c>
      <c r="D554" s="10" t="s">
        <v>12</v>
      </c>
      <c r="E554" s="12" t="n">
        <v>8</v>
      </c>
      <c r="F554" s="12" t="n">
        <v>8</v>
      </c>
      <c r="G554" s="12" t="n">
        <v>0</v>
      </c>
      <c r="H554" s="9" t="n">
        <v>2</v>
      </c>
      <c r="I554" s="9" t="n">
        <v>45</v>
      </c>
      <c r="J554" s="9" t="n">
        <v>1</v>
      </c>
      <c r="K554" s="13" t="s">
        <v>13</v>
      </c>
    </row>
    <row r="555" customFormat="false" ht="15.75" hidden="false" customHeight="false" outlineLevel="0" collapsed="false">
      <c r="A555" s="9" t="n">
        <v>48</v>
      </c>
      <c r="B555" s="10" t="s">
        <v>14</v>
      </c>
      <c r="C555" s="11" t="n">
        <v>3576.489</v>
      </c>
      <c r="D555" s="10" t="s">
        <v>17</v>
      </c>
      <c r="E555" s="12" t="n">
        <v>5.5</v>
      </c>
      <c r="F555" s="12" t="n">
        <v>5.5</v>
      </c>
      <c r="G555" s="12" t="n">
        <v>0</v>
      </c>
      <c r="H555" s="9" t="n">
        <v>1</v>
      </c>
      <c r="I555" s="9" t="n">
        <v>34</v>
      </c>
      <c r="J555" s="9" t="n">
        <v>2</v>
      </c>
      <c r="K555" s="13" t="s">
        <v>16</v>
      </c>
    </row>
    <row r="556" customFormat="false" ht="15.75" hidden="false" customHeight="false" outlineLevel="0" collapsed="false">
      <c r="A556" s="9" t="n">
        <v>12</v>
      </c>
      <c r="B556" s="10" t="s">
        <v>11</v>
      </c>
      <c r="C556" s="11" t="n">
        <v>1019.445</v>
      </c>
      <c r="D556" s="10" t="s">
        <v>20</v>
      </c>
      <c r="E556" s="12" t="n">
        <v>0.5</v>
      </c>
      <c r="F556" s="12" t="n">
        <v>0.5</v>
      </c>
      <c r="G556" s="12" t="n">
        <v>0</v>
      </c>
      <c r="H556" s="9" t="n">
        <v>4</v>
      </c>
      <c r="I556" s="9" t="n">
        <v>27</v>
      </c>
      <c r="J556" s="9" t="n">
        <v>1</v>
      </c>
      <c r="K556" s="13" t="s">
        <v>13</v>
      </c>
    </row>
    <row r="557" customFormat="false" ht="15.75" hidden="false" customHeight="false" outlineLevel="0" collapsed="false">
      <c r="A557" s="9" t="n">
        <v>9</v>
      </c>
      <c r="B557" s="10" t="s">
        <v>14</v>
      </c>
      <c r="C557" s="11" t="n">
        <v>612.689</v>
      </c>
      <c r="D557" s="10" t="s">
        <v>17</v>
      </c>
      <c r="E557" s="12" t="n">
        <v>5.5</v>
      </c>
      <c r="F557" s="12" t="n">
        <v>5.5</v>
      </c>
      <c r="G557" s="12" t="n">
        <v>0</v>
      </c>
      <c r="H557" s="9" t="n">
        <v>4</v>
      </c>
      <c r="I557" s="9" t="n">
        <v>67</v>
      </c>
      <c r="J557" s="9" t="n">
        <v>2</v>
      </c>
      <c r="K557" s="13" t="s">
        <v>13</v>
      </c>
    </row>
    <row r="558" customFormat="false" ht="15.75" hidden="false" customHeight="false" outlineLevel="0" collapsed="false">
      <c r="A558" s="9" t="n">
        <v>12</v>
      </c>
      <c r="B558" s="10" t="s">
        <v>14</v>
      </c>
      <c r="C558" s="11" t="n">
        <v>680.141</v>
      </c>
      <c r="D558" s="10" t="s">
        <v>20</v>
      </c>
      <c r="E558" s="12" t="n">
        <v>0.5</v>
      </c>
      <c r="F558" s="12" t="n">
        <v>0.5</v>
      </c>
      <c r="G558" s="12" t="n">
        <v>0</v>
      </c>
      <c r="H558" s="9" t="n">
        <v>2</v>
      </c>
      <c r="I558" s="9" t="n">
        <v>22</v>
      </c>
      <c r="J558" s="9" t="n">
        <v>1</v>
      </c>
      <c r="K558" s="13" t="s">
        <v>16</v>
      </c>
    </row>
    <row r="559" customFormat="false" ht="15.75" hidden="false" customHeight="false" outlineLevel="0" collapsed="false">
      <c r="A559" s="9" t="n">
        <v>18</v>
      </c>
      <c r="B559" s="10" t="s">
        <v>21</v>
      </c>
      <c r="C559" s="11" t="n">
        <v>1164.058</v>
      </c>
      <c r="D559" s="10" t="s">
        <v>20</v>
      </c>
      <c r="E559" s="12" t="n">
        <v>0.5</v>
      </c>
      <c r="F559" s="12" t="n">
        <v>0.5</v>
      </c>
      <c r="G559" s="12" t="n">
        <v>0</v>
      </c>
      <c r="H559" s="9" t="n">
        <v>3</v>
      </c>
      <c r="I559" s="9" t="n">
        <v>28</v>
      </c>
      <c r="J559" s="9" t="n">
        <v>2</v>
      </c>
      <c r="K559" s="13" t="s">
        <v>16</v>
      </c>
    </row>
    <row r="560" customFormat="false" ht="15.75" hidden="false" customHeight="false" outlineLevel="0" collapsed="false">
      <c r="A560" s="9" t="n">
        <v>21</v>
      </c>
      <c r="B560" s="10" t="s">
        <v>21</v>
      </c>
      <c r="C560" s="11" t="n">
        <v>2556.533</v>
      </c>
      <c r="D560" s="10" t="s">
        <v>15</v>
      </c>
      <c r="E560" s="12" t="n">
        <v>2.5</v>
      </c>
      <c r="F560" s="12" t="n">
        <v>2.5</v>
      </c>
      <c r="G560" s="12" t="n">
        <v>0</v>
      </c>
      <c r="H560" s="9" t="n">
        <v>1</v>
      </c>
      <c r="I560" s="9" t="n">
        <v>29</v>
      </c>
      <c r="J560" s="9" t="n">
        <v>2</v>
      </c>
      <c r="K560" s="13" t="s">
        <v>16</v>
      </c>
    </row>
    <row r="561" customFormat="false" ht="15.75" hidden="false" customHeight="false" outlineLevel="0" collapsed="false">
      <c r="A561" s="9" t="n">
        <v>24</v>
      </c>
      <c r="B561" s="10" t="s">
        <v>22</v>
      </c>
      <c r="C561" s="11" t="n">
        <v>1815.072</v>
      </c>
      <c r="D561" s="10" t="s">
        <v>17</v>
      </c>
      <c r="E561" s="12" t="n">
        <v>5.5</v>
      </c>
      <c r="F561" s="12" t="n">
        <v>5.5</v>
      </c>
      <c r="G561" s="12" t="n">
        <v>0</v>
      </c>
      <c r="H561" s="9" t="n">
        <v>3</v>
      </c>
      <c r="I561" s="9" t="n">
        <v>27</v>
      </c>
      <c r="J561" s="9" t="n">
        <v>1</v>
      </c>
      <c r="K561" s="13" t="s">
        <v>16</v>
      </c>
    </row>
    <row r="562" customFormat="false" ht="15.75" hidden="false" customHeight="false" outlineLevel="0" collapsed="false">
      <c r="A562" s="9" t="n">
        <v>18</v>
      </c>
      <c r="B562" s="10" t="s">
        <v>11</v>
      </c>
      <c r="C562" s="11" t="n">
        <v>985.208</v>
      </c>
      <c r="D562" s="10" t="s">
        <v>20</v>
      </c>
      <c r="E562" s="12" t="n">
        <v>0.5</v>
      </c>
      <c r="F562" s="12" t="n">
        <v>0.5</v>
      </c>
      <c r="G562" s="12" t="n">
        <v>0</v>
      </c>
      <c r="H562" s="9" t="n">
        <v>2</v>
      </c>
      <c r="I562" s="9" t="n">
        <v>31</v>
      </c>
      <c r="J562" s="9" t="n">
        <v>2</v>
      </c>
      <c r="K562" s="13" t="s">
        <v>16</v>
      </c>
    </row>
    <row r="563" customFormat="false" ht="15.75" hidden="false" customHeight="false" outlineLevel="0" collapsed="false">
      <c r="A563" s="9" t="n">
        <v>24</v>
      </c>
      <c r="B563" s="10" t="s">
        <v>14</v>
      </c>
      <c r="C563" s="11" t="n">
        <v>1514.604</v>
      </c>
      <c r="D563" s="10" t="s">
        <v>12</v>
      </c>
      <c r="E563" s="12" t="n">
        <v>8</v>
      </c>
      <c r="F563" s="12" t="n">
        <v>8</v>
      </c>
      <c r="G563" s="12" t="n">
        <v>0</v>
      </c>
      <c r="H563" s="9" t="n">
        <v>4</v>
      </c>
      <c r="I563" s="9" t="n">
        <v>49</v>
      </c>
      <c r="J563" s="9" t="n">
        <v>1</v>
      </c>
      <c r="K563" s="13" t="s">
        <v>13</v>
      </c>
    </row>
    <row r="564" customFormat="false" ht="15.75" hidden="false" customHeight="false" outlineLevel="0" collapsed="false">
      <c r="A564" s="9" t="n">
        <v>24</v>
      </c>
      <c r="B564" s="10" t="s">
        <v>22</v>
      </c>
      <c r="C564" s="11" t="n">
        <v>790.006</v>
      </c>
      <c r="D564" s="10" t="s">
        <v>17</v>
      </c>
      <c r="E564" s="12" t="n">
        <v>5.5</v>
      </c>
      <c r="F564" s="12" t="n">
        <v>5.5</v>
      </c>
      <c r="G564" s="12" t="n">
        <v>0</v>
      </c>
      <c r="H564" s="9" t="n">
        <v>4</v>
      </c>
      <c r="I564" s="9" t="n">
        <v>24</v>
      </c>
      <c r="J564" s="9" t="n">
        <v>1</v>
      </c>
      <c r="K564" s="13" t="s">
        <v>16</v>
      </c>
    </row>
    <row r="565" customFormat="false" ht="15.75" hidden="false" customHeight="false" outlineLevel="0" collapsed="false">
      <c r="A565" s="9" t="n">
        <v>6</v>
      </c>
      <c r="B565" s="10" t="s">
        <v>18</v>
      </c>
      <c r="C565" s="11" t="n">
        <v>349.013</v>
      </c>
      <c r="D565" s="10" t="s">
        <v>20</v>
      </c>
      <c r="E565" s="12" t="n">
        <v>0.5</v>
      </c>
      <c r="F565" s="12" t="n">
        <v>0.5</v>
      </c>
      <c r="G565" s="12" t="n">
        <v>0</v>
      </c>
      <c r="H565" s="9" t="n">
        <v>2</v>
      </c>
      <c r="I565" s="9" t="n">
        <v>29</v>
      </c>
      <c r="J565" s="9" t="n">
        <v>1</v>
      </c>
      <c r="K565" s="13" t="s">
        <v>13</v>
      </c>
    </row>
    <row r="566" customFormat="false" ht="15.75" hidden="false" customHeight="false" outlineLevel="0" collapsed="false">
      <c r="A566" s="9" t="n">
        <v>36</v>
      </c>
      <c r="B566" s="10" t="s">
        <v>14</v>
      </c>
      <c r="C566" s="11" t="n">
        <v>6330.779</v>
      </c>
      <c r="D566" s="10" t="s">
        <v>15</v>
      </c>
      <c r="E566" s="12" t="n">
        <v>2.5</v>
      </c>
      <c r="F566" s="12" t="n">
        <v>2.5</v>
      </c>
      <c r="G566" s="12" t="n">
        <v>0</v>
      </c>
      <c r="H566" s="9" t="n">
        <v>1</v>
      </c>
      <c r="I566" s="9" t="n">
        <v>37</v>
      </c>
      <c r="J566" s="9" t="n">
        <v>1</v>
      </c>
      <c r="K566" s="13" t="s">
        <v>16</v>
      </c>
    </row>
    <row r="567" customFormat="false" ht="15.75" hidden="false" customHeight="false" outlineLevel="0" collapsed="false">
      <c r="A567" s="9" t="n">
        <v>24</v>
      </c>
      <c r="B567" s="10" t="s">
        <v>18</v>
      </c>
      <c r="C567" s="11" t="n">
        <v>2407.832</v>
      </c>
      <c r="D567" s="10" t="s">
        <v>15</v>
      </c>
      <c r="E567" s="12" t="n">
        <v>2.5</v>
      </c>
      <c r="F567" s="12" t="n">
        <v>2.5</v>
      </c>
      <c r="G567" s="12" t="n">
        <v>0</v>
      </c>
      <c r="H567" s="9" t="n">
        <v>4</v>
      </c>
      <c r="I567" s="9" t="n">
        <v>37</v>
      </c>
      <c r="J567" s="9" t="n">
        <v>2</v>
      </c>
      <c r="K567" s="13" t="s">
        <v>13</v>
      </c>
    </row>
    <row r="568" customFormat="false" ht="15.75" hidden="false" customHeight="false" outlineLevel="0" collapsed="false">
      <c r="A568" s="9" t="n">
        <v>24</v>
      </c>
      <c r="B568" s="10" t="s">
        <v>18</v>
      </c>
      <c r="C568" s="11" t="n">
        <v>793.583</v>
      </c>
      <c r="D568" s="10" t="s">
        <v>17</v>
      </c>
      <c r="E568" s="12" t="n">
        <v>5.5</v>
      </c>
      <c r="F568" s="12" t="n">
        <v>5</v>
      </c>
      <c r="G568" s="12" t="n">
        <v>1</v>
      </c>
      <c r="H568" s="9" t="n">
        <v>3</v>
      </c>
      <c r="I568" s="9" t="n">
        <v>23</v>
      </c>
      <c r="J568" s="9" t="n">
        <v>2</v>
      </c>
      <c r="K568" s="13" t="s">
        <v>13</v>
      </c>
    </row>
    <row r="569" customFormat="false" ht="15.75" hidden="false" customHeight="false" outlineLevel="0" collapsed="false">
      <c r="A569" s="9" t="n">
        <v>12</v>
      </c>
      <c r="B569" s="10" t="s">
        <v>14</v>
      </c>
      <c r="C569" s="11" t="n">
        <v>701.092</v>
      </c>
      <c r="D569" s="10" t="s">
        <v>17</v>
      </c>
      <c r="E569" s="12" t="n">
        <v>5.5</v>
      </c>
      <c r="F569" s="12" t="n">
        <v>5.5</v>
      </c>
      <c r="G569" s="12" t="n">
        <v>0</v>
      </c>
      <c r="H569" s="9" t="n">
        <v>2</v>
      </c>
      <c r="I569" s="9" t="n">
        <v>36</v>
      </c>
      <c r="J569" s="9" t="n">
        <v>1</v>
      </c>
      <c r="K569" s="13" t="s">
        <v>16</v>
      </c>
    </row>
    <row r="570" customFormat="false" ht="15.75" hidden="false" customHeight="false" outlineLevel="0" collapsed="false">
      <c r="A570" s="9" t="n">
        <v>24</v>
      </c>
      <c r="B570" s="10" t="s">
        <v>11</v>
      </c>
      <c r="C570" s="11" t="n">
        <v>1317.358</v>
      </c>
      <c r="D570" s="10" t="s">
        <v>12</v>
      </c>
      <c r="E570" s="12" t="n">
        <v>8</v>
      </c>
      <c r="F570" s="12" t="n">
        <v>8</v>
      </c>
      <c r="G570" s="12" t="n">
        <v>0</v>
      </c>
      <c r="H570" s="9" t="n">
        <v>2</v>
      </c>
      <c r="I570" s="9" t="n">
        <v>34</v>
      </c>
      <c r="J570" s="9" t="n">
        <v>1</v>
      </c>
      <c r="K570" s="13" t="s">
        <v>13</v>
      </c>
    </row>
    <row r="571" customFormat="false" ht="15.75" hidden="false" customHeight="false" outlineLevel="0" collapsed="false">
      <c r="A571" s="9" t="n">
        <v>48</v>
      </c>
      <c r="B571" s="10" t="s">
        <v>14</v>
      </c>
      <c r="C571" s="11" t="n">
        <v>2033.269</v>
      </c>
      <c r="D571" s="10" t="s">
        <v>17</v>
      </c>
      <c r="E571" s="12" t="n">
        <v>5.5</v>
      </c>
      <c r="F571" s="12" t="n">
        <v>5.5</v>
      </c>
      <c r="G571" s="12" t="n">
        <v>0</v>
      </c>
      <c r="H571" s="9" t="n">
        <v>4</v>
      </c>
      <c r="I571" s="9" t="n">
        <v>41</v>
      </c>
      <c r="J571" s="9" t="n">
        <v>2</v>
      </c>
      <c r="K571" s="13" t="s">
        <v>13</v>
      </c>
    </row>
    <row r="572" customFormat="false" ht="15.75" hidden="false" customHeight="false" outlineLevel="0" collapsed="false">
      <c r="A572" s="9" t="n">
        <v>48</v>
      </c>
      <c r="B572" s="10" t="s">
        <v>14</v>
      </c>
      <c r="C572" s="11" t="n">
        <v>3453.338</v>
      </c>
      <c r="D572" s="10" t="s">
        <v>15</v>
      </c>
      <c r="E572" s="12" t="n">
        <v>2.5</v>
      </c>
      <c r="F572" s="12" t="n">
        <v>2.5</v>
      </c>
      <c r="G572" s="12" t="n">
        <v>0</v>
      </c>
      <c r="H572" s="9" t="n">
        <v>3</v>
      </c>
      <c r="I572" s="9" t="n">
        <v>31</v>
      </c>
      <c r="J572" s="9" t="n">
        <v>1</v>
      </c>
      <c r="K572" s="13" t="s">
        <v>16</v>
      </c>
    </row>
    <row r="573" customFormat="false" ht="15.75" hidden="false" customHeight="false" outlineLevel="0" collapsed="false">
      <c r="A573" s="9" t="n">
        <v>24</v>
      </c>
      <c r="B573" s="10" t="s">
        <v>14</v>
      </c>
      <c r="C573" s="11" t="n">
        <v>1652.574</v>
      </c>
      <c r="D573" s="10" t="s">
        <v>20</v>
      </c>
      <c r="E573" s="12" t="n">
        <v>0.5</v>
      </c>
      <c r="F573" s="12" t="n">
        <v>0.5</v>
      </c>
      <c r="G573" s="12" t="n">
        <v>0</v>
      </c>
      <c r="H573" s="9" t="n">
        <v>4</v>
      </c>
      <c r="I573" s="9" t="n">
        <v>23</v>
      </c>
      <c r="J573" s="9" t="n">
        <v>1</v>
      </c>
      <c r="K573" s="13" t="s">
        <v>16</v>
      </c>
    </row>
    <row r="574" customFormat="false" ht="15.75" hidden="false" customHeight="false" outlineLevel="0" collapsed="false">
      <c r="A574" s="9" t="n">
        <v>30</v>
      </c>
      <c r="B574" s="10" t="s">
        <v>11</v>
      </c>
      <c r="C574" s="11" t="n">
        <v>3042.494</v>
      </c>
      <c r="D574" s="10" t="s">
        <v>17</v>
      </c>
      <c r="E574" s="12" t="n">
        <v>5.5</v>
      </c>
      <c r="F574" s="12" t="n">
        <v>5.5</v>
      </c>
      <c r="G574" s="12" t="n">
        <v>0</v>
      </c>
      <c r="H574" s="9" t="n">
        <v>3</v>
      </c>
      <c r="I574" s="9" t="n">
        <v>38</v>
      </c>
      <c r="J574" s="9" t="n">
        <v>1</v>
      </c>
      <c r="K574" s="13" t="s">
        <v>13</v>
      </c>
    </row>
    <row r="575" customFormat="false" ht="15.75" hidden="false" customHeight="false" outlineLevel="0" collapsed="false">
      <c r="A575" s="9" t="n">
        <v>24</v>
      </c>
      <c r="B575" s="10" t="s">
        <v>14</v>
      </c>
      <c r="C575" s="11" t="n">
        <v>2776.263</v>
      </c>
      <c r="D575" s="10" t="s">
        <v>19</v>
      </c>
      <c r="E575" s="12" t="n">
        <v>0</v>
      </c>
      <c r="F575" s="12" t="n">
        <v>0</v>
      </c>
      <c r="G575" s="12" t="n">
        <v>0</v>
      </c>
      <c r="H575" s="9" t="n">
        <v>2</v>
      </c>
      <c r="I575" s="9" t="n">
        <v>26</v>
      </c>
      <c r="J575" s="9" t="n">
        <v>1</v>
      </c>
      <c r="K575" s="13" t="s">
        <v>13</v>
      </c>
    </row>
    <row r="576" customFormat="false" ht="15.75" hidden="false" customHeight="false" outlineLevel="0" collapsed="false">
      <c r="A576" s="9" t="n">
        <v>15</v>
      </c>
      <c r="B576" s="10" t="s">
        <v>14</v>
      </c>
      <c r="C576" s="11" t="n">
        <v>411.866</v>
      </c>
      <c r="D576" s="10" t="s">
        <v>15</v>
      </c>
      <c r="E576" s="12" t="n">
        <v>2.5</v>
      </c>
      <c r="F576" s="12" t="n">
        <v>2.5</v>
      </c>
      <c r="G576" s="12" t="n">
        <v>0</v>
      </c>
      <c r="H576" s="9" t="n">
        <v>4</v>
      </c>
      <c r="I576" s="9" t="n">
        <v>22</v>
      </c>
      <c r="J576" s="9" t="n">
        <v>1</v>
      </c>
      <c r="K576" s="13" t="s">
        <v>13</v>
      </c>
    </row>
    <row r="577" customFormat="false" ht="15.75" hidden="false" customHeight="false" outlineLevel="0" collapsed="false">
      <c r="A577" s="9" t="n">
        <v>9</v>
      </c>
      <c r="B577" s="10" t="s">
        <v>14</v>
      </c>
      <c r="C577" s="11" t="n">
        <v>552.902</v>
      </c>
      <c r="D577" s="10" t="s">
        <v>12</v>
      </c>
      <c r="E577" s="12" t="n">
        <v>8</v>
      </c>
      <c r="F577" s="12" t="n">
        <v>8</v>
      </c>
      <c r="G577" s="12" t="n">
        <v>0</v>
      </c>
      <c r="H577" s="9" t="n">
        <v>4</v>
      </c>
      <c r="I577" s="9" t="n">
        <v>27</v>
      </c>
      <c r="J577" s="9" t="n">
        <v>2</v>
      </c>
      <c r="K577" s="13" t="s">
        <v>13</v>
      </c>
    </row>
    <row r="578" customFormat="false" ht="15.75" hidden="false" customHeight="false" outlineLevel="0" collapsed="false">
      <c r="A578" s="9" t="n">
        <v>15</v>
      </c>
      <c r="B578" s="10" t="s">
        <v>11</v>
      </c>
      <c r="C578" s="11" t="n">
        <v>1424.668</v>
      </c>
      <c r="D578" s="10" t="s">
        <v>17</v>
      </c>
      <c r="E578" s="12" t="n">
        <v>5.5</v>
      </c>
      <c r="F578" s="12" t="n">
        <v>5.5</v>
      </c>
      <c r="G578" s="12" t="n">
        <v>0</v>
      </c>
      <c r="H578" s="9" t="n">
        <v>2</v>
      </c>
      <c r="I578" s="9" t="n">
        <v>24</v>
      </c>
      <c r="J578" s="9" t="n">
        <v>2</v>
      </c>
      <c r="K578" s="13" t="s">
        <v>13</v>
      </c>
    </row>
    <row r="579" customFormat="false" ht="15.75" hidden="false" customHeight="false" outlineLevel="0" collapsed="false">
      <c r="A579" s="9" t="n">
        <v>12</v>
      </c>
      <c r="B579" s="10" t="s">
        <v>14</v>
      </c>
      <c r="C579" s="11" t="n">
        <v>1497.23</v>
      </c>
      <c r="D579" s="10" t="s">
        <v>17</v>
      </c>
      <c r="E579" s="12" t="n">
        <v>5.5</v>
      </c>
      <c r="F579" s="12" t="n">
        <v>5.5</v>
      </c>
      <c r="G579" s="12" t="n">
        <v>0</v>
      </c>
      <c r="H579" s="9" t="n">
        <v>2</v>
      </c>
      <c r="I579" s="9" t="n">
        <v>27</v>
      </c>
      <c r="J579" s="9" t="n">
        <v>1</v>
      </c>
      <c r="K579" s="13" t="s">
        <v>13</v>
      </c>
    </row>
    <row r="580" customFormat="false" ht="15.75" hidden="false" customHeight="false" outlineLevel="0" collapsed="false">
      <c r="A580" s="9" t="n">
        <v>24</v>
      </c>
      <c r="B580" s="10" t="s">
        <v>11</v>
      </c>
      <c r="C580" s="11" t="n">
        <v>984.697</v>
      </c>
      <c r="D580" s="10" t="s">
        <v>15</v>
      </c>
      <c r="E580" s="12" t="n">
        <v>2.5</v>
      </c>
      <c r="F580" s="12" t="n">
        <v>2.5</v>
      </c>
      <c r="G580" s="12" t="n">
        <v>0</v>
      </c>
      <c r="H580" s="9" t="n">
        <v>3</v>
      </c>
      <c r="I580" s="9" t="n">
        <v>33</v>
      </c>
      <c r="J580" s="9" t="n">
        <v>2</v>
      </c>
      <c r="K580" s="13" t="s">
        <v>13</v>
      </c>
    </row>
    <row r="581" customFormat="false" ht="15.75" hidden="false" customHeight="false" outlineLevel="0" collapsed="false">
      <c r="A581" s="9" t="n">
        <v>36</v>
      </c>
      <c r="B581" s="10" t="s">
        <v>11</v>
      </c>
      <c r="C581" s="11" t="n">
        <v>1441.02</v>
      </c>
      <c r="D581" s="10" t="s">
        <v>20</v>
      </c>
      <c r="E581" s="12" t="n">
        <v>0.5</v>
      </c>
      <c r="F581" s="12" t="n">
        <v>0.5</v>
      </c>
      <c r="G581" s="12" t="n">
        <v>0</v>
      </c>
      <c r="H581" s="9" t="n">
        <v>4</v>
      </c>
      <c r="I581" s="9" t="n">
        <v>27</v>
      </c>
      <c r="J581" s="9" t="n">
        <v>2</v>
      </c>
      <c r="K581" s="13" t="s">
        <v>16</v>
      </c>
    </row>
    <row r="582" customFormat="false" ht="15.75" hidden="false" customHeight="false" outlineLevel="0" collapsed="false">
      <c r="A582" s="9" t="n">
        <v>24</v>
      </c>
      <c r="B582" s="10" t="s">
        <v>14</v>
      </c>
      <c r="C582" s="11" t="n">
        <v>478.807</v>
      </c>
      <c r="D582" s="10" t="s">
        <v>20</v>
      </c>
      <c r="E582" s="12" t="n">
        <v>0.5</v>
      </c>
      <c r="F582" s="12" t="n">
        <v>0.5</v>
      </c>
      <c r="G582" s="12" t="n">
        <v>0</v>
      </c>
      <c r="H582" s="9" t="n">
        <v>4</v>
      </c>
      <c r="I582" s="9" t="n">
        <v>27</v>
      </c>
      <c r="J582" s="9" t="n">
        <v>2</v>
      </c>
      <c r="K582" s="13" t="s">
        <v>13</v>
      </c>
    </row>
    <row r="583" customFormat="false" ht="15.75" hidden="false" customHeight="false" outlineLevel="0" collapsed="false">
      <c r="A583" s="9" t="n">
        <v>18</v>
      </c>
      <c r="B583" s="10" t="s">
        <v>11</v>
      </c>
      <c r="C583" s="11" t="n">
        <v>539.616</v>
      </c>
      <c r="D583" s="10" t="s">
        <v>12</v>
      </c>
      <c r="E583" s="12" t="n">
        <v>8</v>
      </c>
      <c r="F583" s="12" t="n">
        <v>8</v>
      </c>
      <c r="G583" s="12" t="n">
        <v>0</v>
      </c>
      <c r="H583" s="9" t="n">
        <v>3</v>
      </c>
      <c r="I583" s="9" t="n">
        <v>30</v>
      </c>
      <c r="J583" s="9" t="n">
        <v>2</v>
      </c>
      <c r="K583" s="13" t="s">
        <v>16</v>
      </c>
    </row>
    <row r="584" customFormat="false" ht="15.75" hidden="false" customHeight="false" outlineLevel="0" collapsed="false">
      <c r="A584" s="9" t="n">
        <v>12</v>
      </c>
      <c r="B584" s="10" t="s">
        <v>11</v>
      </c>
      <c r="C584" s="11" t="n">
        <v>1596.364</v>
      </c>
      <c r="D584" s="10" t="s">
        <v>20</v>
      </c>
      <c r="E584" s="12" t="n">
        <v>0.5</v>
      </c>
      <c r="F584" s="12" t="n">
        <v>0.5</v>
      </c>
      <c r="G584" s="12" t="n">
        <v>0</v>
      </c>
      <c r="H584" s="9" t="n">
        <v>1</v>
      </c>
      <c r="I584" s="9" t="n">
        <v>49</v>
      </c>
      <c r="J584" s="9" t="n">
        <v>2</v>
      </c>
      <c r="K584" s="13" t="s">
        <v>13</v>
      </c>
    </row>
    <row r="585" customFormat="false" ht="15.75" hidden="false" customHeight="false" outlineLevel="0" collapsed="false">
      <c r="A585" s="9" t="n">
        <v>9</v>
      </c>
      <c r="B585" s="10" t="s">
        <v>14</v>
      </c>
      <c r="C585" s="11" t="n">
        <v>709.268</v>
      </c>
      <c r="D585" s="10" t="s">
        <v>15</v>
      </c>
      <c r="E585" s="12" t="n">
        <v>2.5</v>
      </c>
      <c r="F585" s="12" t="n">
        <v>2.5</v>
      </c>
      <c r="G585" s="12" t="n">
        <v>0</v>
      </c>
      <c r="H585" s="9" t="n">
        <v>4</v>
      </c>
      <c r="I585" s="9" t="n">
        <v>26</v>
      </c>
      <c r="J585" s="9" t="n">
        <v>1</v>
      </c>
      <c r="K585" s="13" t="s">
        <v>13</v>
      </c>
    </row>
    <row r="586" customFormat="false" ht="15.75" hidden="false" customHeight="false" outlineLevel="0" collapsed="false">
      <c r="A586" s="9" t="n">
        <v>36</v>
      </c>
      <c r="B586" s="10" t="s">
        <v>14</v>
      </c>
      <c r="C586" s="11" t="n">
        <v>1218.224</v>
      </c>
      <c r="D586" s="10" t="s">
        <v>20</v>
      </c>
      <c r="E586" s="12" t="n">
        <v>0.5</v>
      </c>
      <c r="F586" s="12" t="n">
        <v>0.5</v>
      </c>
      <c r="G586" s="12" t="n">
        <v>0</v>
      </c>
      <c r="H586" s="9" t="n">
        <v>4</v>
      </c>
      <c r="I586" s="9" t="n">
        <v>33</v>
      </c>
      <c r="J586" s="9" t="n">
        <v>1</v>
      </c>
      <c r="K586" s="13" t="s">
        <v>16</v>
      </c>
    </row>
    <row r="587" customFormat="false" ht="15.75" hidden="false" customHeight="false" outlineLevel="0" collapsed="false">
      <c r="A587" s="9" t="n">
        <v>12</v>
      </c>
      <c r="B587" s="10" t="s">
        <v>14</v>
      </c>
      <c r="C587" s="11" t="n">
        <v>1089.963</v>
      </c>
      <c r="D587" s="10" t="s">
        <v>12</v>
      </c>
      <c r="E587" s="12" t="n">
        <v>8</v>
      </c>
      <c r="F587" s="12" t="n">
        <v>8</v>
      </c>
      <c r="G587" s="12" t="n">
        <v>0</v>
      </c>
      <c r="H587" s="9" t="n">
        <v>4</v>
      </c>
      <c r="I587" s="9" t="n">
        <v>52</v>
      </c>
      <c r="J587" s="9" t="n">
        <v>1</v>
      </c>
      <c r="K587" s="13" t="s">
        <v>13</v>
      </c>
    </row>
    <row r="588" customFormat="false" ht="15.75" hidden="false" customHeight="false" outlineLevel="0" collapsed="false">
      <c r="A588" s="9" t="n">
        <v>18</v>
      </c>
      <c r="B588" s="10" t="s">
        <v>14</v>
      </c>
      <c r="C588" s="11" t="n">
        <v>1041.929</v>
      </c>
      <c r="D588" s="10" t="s">
        <v>15</v>
      </c>
      <c r="E588" s="12" t="n">
        <v>2.5</v>
      </c>
      <c r="F588" s="12" t="n">
        <v>2</v>
      </c>
      <c r="G588" s="12" t="n">
        <v>1</v>
      </c>
      <c r="H588" s="9" t="n">
        <v>1</v>
      </c>
      <c r="I588" s="9" t="n">
        <v>20</v>
      </c>
      <c r="J588" s="9" t="n">
        <v>1</v>
      </c>
      <c r="K588" s="13" t="s">
        <v>16</v>
      </c>
    </row>
    <row r="589" customFormat="false" ht="15.75" hidden="false" customHeight="false" outlineLevel="0" collapsed="false">
      <c r="A589" s="9" t="n">
        <v>9</v>
      </c>
      <c r="B589" s="10" t="s">
        <v>11</v>
      </c>
      <c r="C589" s="11" t="n">
        <v>1430.289</v>
      </c>
      <c r="D589" s="10" t="s">
        <v>15</v>
      </c>
      <c r="E589" s="12" t="n">
        <v>2.5</v>
      </c>
      <c r="F589" s="12" t="n">
        <v>2.5</v>
      </c>
      <c r="G589" s="12" t="n">
        <v>0</v>
      </c>
      <c r="H589" s="9" t="n">
        <v>2</v>
      </c>
      <c r="I589" s="9" t="n">
        <v>36</v>
      </c>
      <c r="J589" s="9" t="n">
        <v>2</v>
      </c>
      <c r="K589" s="13" t="s">
        <v>13</v>
      </c>
    </row>
    <row r="590" customFormat="false" ht="15.75" hidden="false" customHeight="false" outlineLevel="0" collapsed="false">
      <c r="A590" s="9" t="n">
        <v>12</v>
      </c>
      <c r="B590" s="10" t="s">
        <v>14</v>
      </c>
      <c r="C590" s="11" t="n">
        <v>658.679</v>
      </c>
      <c r="D590" s="10" t="s">
        <v>15</v>
      </c>
      <c r="E590" s="12" t="n">
        <v>2.5</v>
      </c>
      <c r="F590" s="12" t="n">
        <v>2.5</v>
      </c>
      <c r="G590" s="12" t="n">
        <v>0</v>
      </c>
      <c r="H590" s="9" t="n">
        <v>4</v>
      </c>
      <c r="I590" s="9" t="n">
        <v>21</v>
      </c>
      <c r="J590" s="9" t="n">
        <v>1</v>
      </c>
      <c r="K590" s="13" t="s">
        <v>13</v>
      </c>
    </row>
    <row r="591" customFormat="false" ht="15.75" hidden="false" customHeight="false" outlineLevel="0" collapsed="false">
      <c r="A591" s="9" t="n">
        <v>18</v>
      </c>
      <c r="B591" s="10" t="s">
        <v>14</v>
      </c>
      <c r="C591" s="11" t="n">
        <v>621.887</v>
      </c>
      <c r="D591" s="10" t="s">
        <v>15</v>
      </c>
      <c r="E591" s="12" t="n">
        <v>2.5</v>
      </c>
      <c r="F591" s="12" t="n">
        <v>2.5</v>
      </c>
      <c r="G591" s="12" t="n">
        <v>0</v>
      </c>
      <c r="H591" s="9" t="n">
        <v>4</v>
      </c>
      <c r="I591" s="9" t="n">
        <v>47</v>
      </c>
      <c r="J591" s="9" t="n">
        <v>1</v>
      </c>
      <c r="K591" s="13" t="s">
        <v>16</v>
      </c>
    </row>
    <row r="592" customFormat="false" ht="15.75" hidden="false" customHeight="false" outlineLevel="0" collapsed="false">
      <c r="A592" s="9" t="n">
        <v>12</v>
      </c>
      <c r="B592" s="10" t="s">
        <v>11</v>
      </c>
      <c r="C592" s="11" t="n">
        <v>1147.706</v>
      </c>
      <c r="D592" s="10" t="s">
        <v>12</v>
      </c>
      <c r="E592" s="12" t="n">
        <v>8</v>
      </c>
      <c r="F592" s="12" t="n">
        <v>8</v>
      </c>
      <c r="G592" s="12" t="n">
        <v>0</v>
      </c>
      <c r="H592" s="9" t="n">
        <v>3</v>
      </c>
      <c r="I592" s="9" t="n">
        <v>60</v>
      </c>
      <c r="J592" s="9" t="n">
        <v>2</v>
      </c>
      <c r="K592" s="13" t="s">
        <v>16</v>
      </c>
    </row>
    <row r="593" customFormat="false" ht="15.75" hidden="false" customHeight="false" outlineLevel="0" collapsed="false">
      <c r="A593" s="9" t="n">
        <v>12</v>
      </c>
      <c r="B593" s="10" t="s">
        <v>11</v>
      </c>
      <c r="C593" s="11" t="n">
        <v>196.735</v>
      </c>
      <c r="D593" s="10" t="s">
        <v>17</v>
      </c>
      <c r="E593" s="12" t="n">
        <v>5.5</v>
      </c>
      <c r="F593" s="12" t="n">
        <v>5.5</v>
      </c>
      <c r="G593" s="12" t="n">
        <v>0</v>
      </c>
      <c r="H593" s="9" t="n">
        <v>4</v>
      </c>
      <c r="I593" s="9" t="n">
        <v>58</v>
      </c>
      <c r="J593" s="9" t="n">
        <v>4</v>
      </c>
      <c r="K593" s="13" t="s">
        <v>13</v>
      </c>
    </row>
    <row r="594" customFormat="false" ht="15.75" hidden="false" customHeight="false" outlineLevel="0" collapsed="false">
      <c r="A594" s="9" t="n">
        <v>24</v>
      </c>
      <c r="B594" s="10" t="s">
        <v>18</v>
      </c>
      <c r="C594" s="11" t="n">
        <v>1004.115</v>
      </c>
      <c r="D594" s="10" t="s">
        <v>15</v>
      </c>
      <c r="E594" s="12" t="n">
        <v>2.5</v>
      </c>
      <c r="F594" s="12" t="n">
        <v>2.5</v>
      </c>
      <c r="G594" s="12" t="n">
        <v>0</v>
      </c>
      <c r="H594" s="9" t="n">
        <v>4</v>
      </c>
      <c r="I594" s="9" t="n">
        <v>42</v>
      </c>
      <c r="J594" s="9" t="n">
        <v>2</v>
      </c>
      <c r="K594" s="13" t="s">
        <v>13</v>
      </c>
    </row>
    <row r="595" customFormat="false" ht="15.75" hidden="false" customHeight="false" outlineLevel="0" collapsed="false">
      <c r="A595" s="9" t="n">
        <v>21</v>
      </c>
      <c r="B595" s="10" t="s">
        <v>14</v>
      </c>
      <c r="C595" s="11" t="n">
        <v>803.292</v>
      </c>
      <c r="D595" s="10" t="s">
        <v>12</v>
      </c>
      <c r="E595" s="12" t="n">
        <v>8</v>
      </c>
      <c r="F595" s="12" t="n">
        <v>8</v>
      </c>
      <c r="G595" s="12" t="n">
        <v>0</v>
      </c>
      <c r="H595" s="9" t="n">
        <v>4</v>
      </c>
      <c r="I595" s="9" t="n">
        <v>36</v>
      </c>
      <c r="J595" s="9" t="n">
        <v>1</v>
      </c>
      <c r="K595" s="13" t="s">
        <v>13</v>
      </c>
    </row>
    <row r="596" customFormat="false" ht="15.75" hidden="false" customHeight="false" outlineLevel="0" collapsed="false">
      <c r="A596" s="9" t="n">
        <v>24</v>
      </c>
      <c r="B596" s="10" t="s">
        <v>14</v>
      </c>
      <c r="C596" s="11" t="n">
        <v>1388.898</v>
      </c>
      <c r="D596" s="10" t="s">
        <v>15</v>
      </c>
      <c r="E596" s="12" t="n">
        <v>2.5</v>
      </c>
      <c r="F596" s="12" t="n">
        <v>2</v>
      </c>
      <c r="G596" s="12" t="n">
        <v>1</v>
      </c>
      <c r="H596" s="9" t="n">
        <v>3</v>
      </c>
      <c r="I596" s="9" t="n">
        <v>20</v>
      </c>
      <c r="J596" s="9" t="n">
        <v>1</v>
      </c>
      <c r="K596" s="13" t="s">
        <v>16</v>
      </c>
    </row>
    <row r="597" customFormat="false" ht="15.75" hidden="false" customHeight="false" outlineLevel="0" collapsed="false">
      <c r="A597" s="9" t="n">
        <v>24</v>
      </c>
      <c r="B597" s="10" t="s">
        <v>22</v>
      </c>
      <c r="C597" s="11" t="n">
        <v>693.938</v>
      </c>
      <c r="D597" s="10" t="s">
        <v>12</v>
      </c>
      <c r="E597" s="12" t="n">
        <v>8</v>
      </c>
      <c r="F597" s="12" t="n">
        <v>8</v>
      </c>
      <c r="G597" s="12" t="n">
        <v>0</v>
      </c>
      <c r="H597" s="9" t="n">
        <v>4</v>
      </c>
      <c r="I597" s="9" t="n">
        <v>40</v>
      </c>
      <c r="J597" s="9" t="n">
        <v>1</v>
      </c>
      <c r="K597" s="13" t="s">
        <v>16</v>
      </c>
    </row>
    <row r="598" customFormat="false" ht="15.75" hidden="false" customHeight="false" outlineLevel="0" collapsed="false">
      <c r="A598" s="9" t="n">
        <v>6</v>
      </c>
      <c r="B598" s="10" t="s">
        <v>22</v>
      </c>
      <c r="C598" s="11" t="n">
        <v>475.741</v>
      </c>
      <c r="D598" s="10" t="s">
        <v>20</v>
      </c>
      <c r="E598" s="12" t="n">
        <v>0.5</v>
      </c>
      <c r="F598" s="12" t="n">
        <v>0.5</v>
      </c>
      <c r="G598" s="12" t="n">
        <v>0</v>
      </c>
      <c r="H598" s="9" t="n">
        <v>1</v>
      </c>
      <c r="I598" s="9" t="n">
        <v>32</v>
      </c>
      <c r="J598" s="9" t="n">
        <v>1</v>
      </c>
      <c r="K598" s="13" t="s">
        <v>16</v>
      </c>
    </row>
    <row r="599" customFormat="false" ht="15.75" hidden="false" customHeight="false" outlineLevel="0" collapsed="false">
      <c r="A599" s="9" t="n">
        <v>24</v>
      </c>
      <c r="B599" s="10" t="s">
        <v>14</v>
      </c>
      <c r="C599" s="11" t="n">
        <v>736.862</v>
      </c>
      <c r="D599" s="10" t="s">
        <v>17</v>
      </c>
      <c r="E599" s="12" t="n">
        <v>5.5</v>
      </c>
      <c r="F599" s="12" t="n">
        <v>5</v>
      </c>
      <c r="G599" s="12" t="n">
        <v>1</v>
      </c>
      <c r="H599" s="9" t="n">
        <v>4</v>
      </c>
      <c r="I599" s="9" t="n">
        <v>23</v>
      </c>
      <c r="J599" s="9" t="n">
        <v>2</v>
      </c>
      <c r="K599" s="13" t="s">
        <v>16</v>
      </c>
    </row>
    <row r="600" customFormat="false" ht="15.75" hidden="false" customHeight="false" outlineLevel="0" collapsed="false">
      <c r="A600" s="9" t="n">
        <v>24</v>
      </c>
      <c r="B600" s="10" t="s">
        <v>21</v>
      </c>
      <c r="C600" s="11" t="n">
        <v>2167.151</v>
      </c>
      <c r="D600" s="10" t="s">
        <v>15</v>
      </c>
      <c r="E600" s="12" t="n">
        <v>2.5</v>
      </c>
      <c r="F600" s="12" t="n">
        <v>2.5</v>
      </c>
      <c r="G600" s="12" t="n">
        <v>0</v>
      </c>
      <c r="H600" s="9" t="n">
        <v>1</v>
      </c>
      <c r="I600" s="9" t="n">
        <v>36</v>
      </c>
      <c r="J600" s="9" t="n">
        <v>3</v>
      </c>
      <c r="K600" s="13" t="s">
        <v>16</v>
      </c>
    </row>
    <row r="601" customFormat="false" ht="15.75" hidden="false" customHeight="false" outlineLevel="0" collapsed="false">
      <c r="A601" s="9" t="n">
        <v>18</v>
      </c>
      <c r="B601" s="10" t="s">
        <v>11</v>
      </c>
      <c r="C601" s="11" t="n">
        <v>1418.025</v>
      </c>
      <c r="D601" s="10" t="s">
        <v>17</v>
      </c>
      <c r="E601" s="12" t="n">
        <v>5.5</v>
      </c>
      <c r="F601" s="12" t="n">
        <v>5.5</v>
      </c>
      <c r="G601" s="12" t="n">
        <v>0</v>
      </c>
      <c r="H601" s="9" t="n">
        <v>2</v>
      </c>
      <c r="I601" s="9" t="n">
        <v>31</v>
      </c>
      <c r="J601" s="9" t="n">
        <v>2</v>
      </c>
      <c r="K601" s="13" t="s">
        <v>16</v>
      </c>
    </row>
    <row r="602" customFormat="false" ht="15.75" hidden="false" customHeight="false" outlineLevel="0" collapsed="false">
      <c r="A602" s="9" t="n">
        <v>24</v>
      </c>
      <c r="B602" s="10" t="s">
        <v>18</v>
      </c>
      <c r="C602" s="11" t="n">
        <v>1973.993</v>
      </c>
      <c r="D602" s="10" t="s">
        <v>15</v>
      </c>
      <c r="E602" s="12" t="n">
        <v>2.5</v>
      </c>
      <c r="F602" s="12" t="n">
        <v>2.5</v>
      </c>
      <c r="G602" s="12" t="n">
        <v>0</v>
      </c>
      <c r="H602" s="9" t="n">
        <v>1</v>
      </c>
      <c r="I602" s="9" t="n">
        <v>32</v>
      </c>
      <c r="J602" s="9" t="n">
        <v>1</v>
      </c>
      <c r="K602" s="13" t="s">
        <v>13</v>
      </c>
    </row>
    <row r="603" customFormat="false" ht="15.75" hidden="false" customHeight="false" outlineLevel="0" collapsed="false">
      <c r="A603" s="9" t="n">
        <v>7</v>
      </c>
      <c r="B603" s="10" t="s">
        <v>14</v>
      </c>
      <c r="C603" s="11" t="n">
        <v>1190.119</v>
      </c>
      <c r="D603" s="10" t="s">
        <v>20</v>
      </c>
      <c r="E603" s="12" t="n">
        <v>0.5</v>
      </c>
      <c r="F603" s="12" t="n">
        <v>0.5</v>
      </c>
      <c r="G603" s="12" t="n">
        <v>0</v>
      </c>
      <c r="H603" s="9" t="n">
        <v>1</v>
      </c>
      <c r="I603" s="9" t="n">
        <v>45</v>
      </c>
      <c r="J603" s="9" t="n">
        <v>1</v>
      </c>
      <c r="K603" s="13" t="s">
        <v>13</v>
      </c>
    </row>
    <row r="604" customFormat="false" ht="15.75" hidden="false" customHeight="false" outlineLevel="0" collapsed="false">
      <c r="A604" s="9" t="n">
        <v>9</v>
      </c>
      <c r="B604" s="10" t="s">
        <v>14</v>
      </c>
      <c r="C604" s="11" t="n">
        <v>469.098</v>
      </c>
      <c r="D604" s="10" t="s">
        <v>15</v>
      </c>
      <c r="E604" s="12" t="n">
        <v>2.5</v>
      </c>
      <c r="F604" s="12" t="n">
        <v>2.5</v>
      </c>
      <c r="G604" s="12" t="n">
        <v>0</v>
      </c>
      <c r="H604" s="9" t="n">
        <v>4</v>
      </c>
      <c r="I604" s="9" t="n">
        <v>30</v>
      </c>
      <c r="J604" s="9" t="n">
        <v>1</v>
      </c>
      <c r="K604" s="13" t="s">
        <v>16</v>
      </c>
    </row>
    <row r="605" customFormat="false" ht="15.75" hidden="false" customHeight="false" outlineLevel="0" collapsed="false">
      <c r="A605" s="9" t="n">
        <v>24</v>
      </c>
      <c r="B605" s="10" t="s">
        <v>22</v>
      </c>
      <c r="C605" s="11" t="n">
        <v>938.707</v>
      </c>
      <c r="D605" s="10" t="s">
        <v>17</v>
      </c>
      <c r="E605" s="12" t="n">
        <v>5.5</v>
      </c>
      <c r="F605" s="12" t="n">
        <v>5.5</v>
      </c>
      <c r="G605" s="12" t="n">
        <v>0</v>
      </c>
      <c r="H605" s="9" t="n">
        <v>4</v>
      </c>
      <c r="I605" s="9" t="n">
        <v>34</v>
      </c>
      <c r="J605" s="9" t="n">
        <v>1</v>
      </c>
      <c r="K605" s="13" t="s">
        <v>16</v>
      </c>
    </row>
    <row r="606" customFormat="false" ht="15.75" hidden="false" customHeight="false" outlineLevel="0" collapsed="false">
      <c r="A606" s="9" t="n">
        <v>36</v>
      </c>
      <c r="B606" s="10" t="s">
        <v>14</v>
      </c>
      <c r="C606" s="11" t="n">
        <v>1711.339</v>
      </c>
      <c r="D606" s="10" t="s">
        <v>15</v>
      </c>
      <c r="E606" s="12" t="n">
        <v>2.5</v>
      </c>
      <c r="F606" s="12" t="n">
        <v>2.5</v>
      </c>
      <c r="G606" s="12" t="n">
        <v>0</v>
      </c>
      <c r="H606" s="9" t="n">
        <v>4</v>
      </c>
      <c r="I606" s="9" t="n">
        <v>28</v>
      </c>
      <c r="J606" s="9" t="n">
        <v>1</v>
      </c>
      <c r="K606" s="13" t="s">
        <v>16</v>
      </c>
    </row>
    <row r="607" customFormat="false" ht="15.75" hidden="false" customHeight="false" outlineLevel="0" collapsed="false">
      <c r="A607" s="9" t="n">
        <v>10</v>
      </c>
      <c r="B607" s="10" t="s">
        <v>14</v>
      </c>
      <c r="C607" s="11" t="n">
        <v>651.525</v>
      </c>
      <c r="D607" s="10" t="s">
        <v>20</v>
      </c>
      <c r="E607" s="12" t="n">
        <v>0.5</v>
      </c>
      <c r="F607" s="12" t="n">
        <v>0.5</v>
      </c>
      <c r="G607" s="12" t="n">
        <v>0</v>
      </c>
      <c r="H607" s="9" t="n">
        <v>4</v>
      </c>
      <c r="I607" s="9" t="n">
        <v>23</v>
      </c>
      <c r="J607" s="9" t="n">
        <v>1</v>
      </c>
      <c r="K607" s="13" t="s">
        <v>13</v>
      </c>
    </row>
    <row r="608" customFormat="false" ht="15.75" hidden="false" customHeight="false" outlineLevel="0" collapsed="false">
      <c r="A608" s="9" t="n">
        <v>24</v>
      </c>
      <c r="B608" s="10" t="s">
        <v>22</v>
      </c>
      <c r="C608" s="11" t="n">
        <v>1445.108</v>
      </c>
      <c r="D608" s="10" t="s">
        <v>15</v>
      </c>
      <c r="E608" s="12" t="n">
        <v>2.5</v>
      </c>
      <c r="F608" s="12" t="n">
        <v>2.5</v>
      </c>
      <c r="G608" s="12" t="n">
        <v>0</v>
      </c>
      <c r="H608" s="9" t="n">
        <v>4</v>
      </c>
      <c r="I608" s="9" t="n">
        <v>22</v>
      </c>
      <c r="J608" s="9" t="n">
        <v>1</v>
      </c>
      <c r="K608" s="13" t="s">
        <v>13</v>
      </c>
    </row>
    <row r="609" customFormat="false" ht="15.75" hidden="false" customHeight="false" outlineLevel="0" collapsed="false">
      <c r="A609" s="9" t="n">
        <v>24</v>
      </c>
      <c r="B609" s="10" t="s">
        <v>11</v>
      </c>
      <c r="C609" s="11" t="n">
        <v>2312.786</v>
      </c>
      <c r="D609" s="10" t="s">
        <v>15</v>
      </c>
      <c r="E609" s="12" t="n">
        <v>2.5</v>
      </c>
      <c r="F609" s="12" t="n">
        <v>2.5</v>
      </c>
      <c r="G609" s="12" t="n">
        <v>0</v>
      </c>
      <c r="H609" s="9" t="n">
        <v>3</v>
      </c>
      <c r="I609" s="9" t="n">
        <v>74</v>
      </c>
      <c r="J609" s="9" t="n">
        <v>1</v>
      </c>
      <c r="K609" s="13" t="s">
        <v>13</v>
      </c>
    </row>
    <row r="610" customFormat="false" ht="15.75" hidden="false" customHeight="false" outlineLevel="0" collapsed="false">
      <c r="A610" s="9" t="n">
        <v>36</v>
      </c>
      <c r="B610" s="10" t="s">
        <v>14</v>
      </c>
      <c r="C610" s="11" t="n">
        <v>1364.881</v>
      </c>
      <c r="D610" s="10" t="s">
        <v>15</v>
      </c>
      <c r="E610" s="12" t="n">
        <v>2.5</v>
      </c>
      <c r="F610" s="12" t="n">
        <v>2.5</v>
      </c>
      <c r="G610" s="12" t="n">
        <v>0</v>
      </c>
      <c r="H610" s="9" t="n">
        <v>4</v>
      </c>
      <c r="I610" s="9" t="n">
        <v>50</v>
      </c>
      <c r="J610" s="9" t="n">
        <v>1</v>
      </c>
      <c r="K610" s="13" t="s">
        <v>16</v>
      </c>
    </row>
    <row r="611" customFormat="false" ht="15.75" hidden="false" customHeight="false" outlineLevel="0" collapsed="false">
      <c r="A611" s="9" t="n">
        <v>18</v>
      </c>
      <c r="B611" s="10" t="s">
        <v>14</v>
      </c>
      <c r="C611" s="11" t="n">
        <v>1048.061</v>
      </c>
      <c r="D611" s="10" t="s">
        <v>20</v>
      </c>
      <c r="E611" s="12" t="n">
        <v>0.5</v>
      </c>
      <c r="F611" s="12" t="n">
        <v>0.5</v>
      </c>
      <c r="G611" s="12" t="n">
        <v>0</v>
      </c>
      <c r="H611" s="9" t="n">
        <v>4</v>
      </c>
      <c r="I611" s="9" t="n">
        <v>33</v>
      </c>
      <c r="J611" s="9" t="n">
        <v>1</v>
      </c>
      <c r="K611" s="13" t="s">
        <v>13</v>
      </c>
    </row>
    <row r="612" customFormat="false" ht="15.75" hidden="false" customHeight="false" outlineLevel="0" collapsed="false">
      <c r="A612" s="9" t="n">
        <v>15</v>
      </c>
      <c r="B612" s="10" t="s">
        <v>14</v>
      </c>
      <c r="C612" s="11" t="n">
        <v>664.3</v>
      </c>
      <c r="D612" s="10" t="s">
        <v>12</v>
      </c>
      <c r="E612" s="12" t="n">
        <v>8</v>
      </c>
      <c r="F612" s="12" t="n">
        <v>8</v>
      </c>
      <c r="G612" s="12" t="n">
        <v>0</v>
      </c>
      <c r="H612" s="9" t="n">
        <v>4</v>
      </c>
      <c r="I612" s="9" t="n">
        <v>45</v>
      </c>
      <c r="J612" s="9" t="n">
        <v>1</v>
      </c>
      <c r="K612" s="13" t="s">
        <v>13</v>
      </c>
    </row>
    <row r="613" customFormat="false" ht="15.75" hidden="false" customHeight="false" outlineLevel="0" collapsed="false">
      <c r="A613" s="9" t="n">
        <v>12</v>
      </c>
      <c r="B613" s="10" t="s">
        <v>14</v>
      </c>
      <c r="C613" s="11" t="n">
        <v>378.651</v>
      </c>
      <c r="D613" s="10" t="s">
        <v>19</v>
      </c>
      <c r="E613" s="12" t="n">
        <v>0</v>
      </c>
      <c r="F613" s="12" t="n">
        <v>0</v>
      </c>
      <c r="G613" s="12" t="n">
        <v>0</v>
      </c>
      <c r="H613" s="9" t="n">
        <v>4</v>
      </c>
      <c r="I613" s="9" t="n">
        <v>22</v>
      </c>
      <c r="J613" s="9" t="n">
        <v>1</v>
      </c>
      <c r="K613" s="13" t="s">
        <v>16</v>
      </c>
    </row>
    <row r="614" customFormat="false" ht="15.75" hidden="false" customHeight="false" outlineLevel="0" collapsed="false">
      <c r="A614" s="9" t="n">
        <v>10</v>
      </c>
      <c r="B614" s="10" t="s">
        <v>14</v>
      </c>
      <c r="C614" s="11" t="n">
        <v>633.64</v>
      </c>
      <c r="D614" s="10" t="s">
        <v>12</v>
      </c>
      <c r="E614" s="12" t="n">
        <v>8</v>
      </c>
      <c r="F614" s="12" t="n">
        <v>8</v>
      </c>
      <c r="G614" s="12" t="n">
        <v>0</v>
      </c>
      <c r="H614" s="9" t="n">
        <v>1</v>
      </c>
      <c r="I614" s="9" t="n">
        <v>48</v>
      </c>
      <c r="J614" s="9" t="n">
        <v>1</v>
      </c>
      <c r="K614" s="13" t="s">
        <v>16</v>
      </c>
    </row>
    <row r="615" customFormat="false" ht="15.75" hidden="false" customHeight="false" outlineLevel="0" collapsed="false">
      <c r="A615" s="9" t="n">
        <v>21</v>
      </c>
      <c r="B615" s="10" t="s">
        <v>14</v>
      </c>
      <c r="C615" s="11" t="n">
        <v>1715.427</v>
      </c>
      <c r="D615" s="10" t="s">
        <v>20</v>
      </c>
      <c r="E615" s="12" t="n">
        <v>0.5</v>
      </c>
      <c r="F615" s="12" t="n">
        <v>0.5</v>
      </c>
      <c r="G615" s="12" t="n">
        <v>0</v>
      </c>
      <c r="H615" s="9" t="n">
        <v>4</v>
      </c>
      <c r="I615" s="9" t="n">
        <v>29</v>
      </c>
      <c r="J615" s="9" t="n">
        <v>1</v>
      </c>
      <c r="K615" s="13" t="s">
        <v>13</v>
      </c>
    </row>
    <row r="616" customFormat="false" ht="15.75" hidden="false" customHeight="false" outlineLevel="0" collapsed="false">
      <c r="A616" s="9" t="n">
        <v>24</v>
      </c>
      <c r="B616" s="10" t="s">
        <v>22</v>
      </c>
      <c r="C616" s="11" t="n">
        <v>1855.952</v>
      </c>
      <c r="D616" s="10" t="s">
        <v>15</v>
      </c>
      <c r="E616" s="12" t="n">
        <v>2.5</v>
      </c>
      <c r="F616" s="12" t="n">
        <v>2.5</v>
      </c>
      <c r="G616" s="12" t="n">
        <v>0</v>
      </c>
      <c r="H616" s="9" t="n">
        <v>1</v>
      </c>
      <c r="I616" s="9" t="n">
        <v>22</v>
      </c>
      <c r="J616" s="9" t="n">
        <v>1</v>
      </c>
      <c r="K616" s="13" t="s">
        <v>13</v>
      </c>
    </row>
    <row r="617" customFormat="false" ht="15.75" hidden="false" customHeight="false" outlineLevel="0" collapsed="false">
      <c r="A617" s="9" t="n">
        <v>18</v>
      </c>
      <c r="B617" s="10" t="s">
        <v>18</v>
      </c>
      <c r="C617" s="11" t="n">
        <v>923.888</v>
      </c>
      <c r="D617" s="10" t="s">
        <v>17</v>
      </c>
      <c r="E617" s="12" t="n">
        <v>5.5</v>
      </c>
      <c r="F617" s="12" t="n">
        <v>4</v>
      </c>
      <c r="G617" s="12" t="n">
        <v>1</v>
      </c>
      <c r="H617" s="9" t="n">
        <v>4</v>
      </c>
      <c r="I617" s="9" t="n">
        <v>22</v>
      </c>
      <c r="J617" s="9" t="n">
        <v>1</v>
      </c>
      <c r="K617" s="13" t="s">
        <v>16</v>
      </c>
    </row>
    <row r="618" customFormat="false" ht="15.75" hidden="false" customHeight="false" outlineLevel="0" collapsed="false">
      <c r="A618" s="9" t="n">
        <v>48</v>
      </c>
      <c r="B618" s="10" t="s">
        <v>21</v>
      </c>
      <c r="C618" s="11" t="n">
        <v>6236.244</v>
      </c>
      <c r="D618" s="10" t="s">
        <v>15</v>
      </c>
      <c r="E618" s="12" t="n">
        <v>2.5</v>
      </c>
      <c r="F618" s="12" t="n">
        <v>2.5</v>
      </c>
      <c r="G618" s="12" t="n">
        <v>0</v>
      </c>
      <c r="H618" s="9" t="n">
        <v>2</v>
      </c>
      <c r="I618" s="9" t="n">
        <v>48</v>
      </c>
      <c r="J618" s="9" t="n">
        <v>1</v>
      </c>
      <c r="K618" s="13" t="s">
        <v>13</v>
      </c>
    </row>
    <row r="619" customFormat="false" ht="15.75" hidden="false" customHeight="false" outlineLevel="0" collapsed="false">
      <c r="A619" s="9" t="n">
        <v>60</v>
      </c>
      <c r="B619" s="10" t="s">
        <v>18</v>
      </c>
      <c r="C619" s="11" t="n">
        <v>4679.227</v>
      </c>
      <c r="D619" s="10" t="s">
        <v>15</v>
      </c>
      <c r="E619" s="12" t="n">
        <v>2.5</v>
      </c>
      <c r="F619" s="12" t="n">
        <v>2.5</v>
      </c>
      <c r="G619" s="12" t="n">
        <v>0</v>
      </c>
      <c r="H619" s="9" t="n">
        <v>2</v>
      </c>
      <c r="I619" s="9" t="n">
        <v>27</v>
      </c>
      <c r="J619" s="9" t="n">
        <v>1</v>
      </c>
      <c r="K619" s="13" t="s">
        <v>13</v>
      </c>
    </row>
    <row r="620" customFormat="false" ht="15.75" hidden="false" customHeight="false" outlineLevel="0" collapsed="false">
      <c r="A620" s="9" t="n">
        <v>6</v>
      </c>
      <c r="B620" s="10" t="s">
        <v>11</v>
      </c>
      <c r="C620" s="11" t="n">
        <v>1878.436</v>
      </c>
      <c r="D620" s="10" t="s">
        <v>15</v>
      </c>
      <c r="E620" s="12" t="n">
        <v>2.5</v>
      </c>
      <c r="F620" s="12" t="n">
        <v>2.5</v>
      </c>
      <c r="G620" s="12" t="n">
        <v>0</v>
      </c>
      <c r="H620" s="9" t="n">
        <v>1</v>
      </c>
      <c r="I620" s="9" t="n">
        <v>37</v>
      </c>
      <c r="J620" s="9" t="n">
        <v>3</v>
      </c>
      <c r="K620" s="13" t="s">
        <v>13</v>
      </c>
    </row>
    <row r="621" customFormat="false" ht="15.75" hidden="false" customHeight="false" outlineLevel="0" collapsed="false">
      <c r="A621" s="9" t="n">
        <v>30</v>
      </c>
      <c r="B621" s="10" t="s">
        <v>14</v>
      </c>
      <c r="C621" s="11" t="n">
        <v>1758.351</v>
      </c>
      <c r="D621" s="10" t="s">
        <v>15</v>
      </c>
      <c r="E621" s="12" t="n">
        <v>2.5</v>
      </c>
      <c r="F621" s="12" t="n">
        <v>2.5</v>
      </c>
      <c r="G621" s="12" t="n">
        <v>0</v>
      </c>
      <c r="H621" s="9" t="n">
        <v>2</v>
      </c>
      <c r="I621" s="9" t="n">
        <v>21</v>
      </c>
      <c r="J621" s="9" t="n">
        <v>1</v>
      </c>
      <c r="K621" s="13" t="s">
        <v>16</v>
      </c>
    </row>
    <row r="622" customFormat="false" ht="15.75" hidden="false" customHeight="false" outlineLevel="0" collapsed="false">
      <c r="A622" s="9" t="n">
        <v>12</v>
      </c>
      <c r="B622" s="10" t="s">
        <v>14</v>
      </c>
      <c r="C622" s="11" t="n">
        <v>327.04</v>
      </c>
      <c r="D622" s="10" t="s">
        <v>15</v>
      </c>
      <c r="E622" s="12" t="n">
        <v>2.5</v>
      </c>
      <c r="F622" s="12" t="n">
        <v>2.5</v>
      </c>
      <c r="G622" s="12" t="n">
        <v>0</v>
      </c>
      <c r="H622" s="9" t="n">
        <v>4</v>
      </c>
      <c r="I622" s="9" t="n">
        <v>49</v>
      </c>
      <c r="J622" s="9" t="n">
        <v>1</v>
      </c>
      <c r="K622" s="13" t="s">
        <v>13</v>
      </c>
    </row>
    <row r="623" customFormat="false" ht="15.75" hidden="false" customHeight="false" outlineLevel="0" collapsed="false">
      <c r="A623" s="9" t="n">
        <v>21</v>
      </c>
      <c r="B623" s="10" t="s">
        <v>11</v>
      </c>
      <c r="C623" s="11" t="n">
        <v>1866.172</v>
      </c>
      <c r="D623" s="10" t="s">
        <v>17</v>
      </c>
      <c r="E623" s="12" t="n">
        <v>5.5</v>
      </c>
      <c r="F623" s="12" t="n">
        <v>5.5</v>
      </c>
      <c r="G623" s="12" t="n">
        <v>0</v>
      </c>
      <c r="H623" s="9" t="n">
        <v>2</v>
      </c>
      <c r="I623" s="9" t="n">
        <v>27</v>
      </c>
      <c r="J623" s="9" t="n">
        <v>2</v>
      </c>
      <c r="K623" s="13" t="s">
        <v>13</v>
      </c>
    </row>
    <row r="624" customFormat="false" ht="15.75" hidden="false" customHeight="false" outlineLevel="0" collapsed="false">
      <c r="A624" s="9" t="n">
        <v>18</v>
      </c>
      <c r="B624" s="10" t="s">
        <v>11</v>
      </c>
      <c r="C624" s="11" t="n">
        <v>781.83</v>
      </c>
      <c r="D624" s="10" t="s">
        <v>15</v>
      </c>
      <c r="E624" s="12" t="n">
        <v>2.5</v>
      </c>
      <c r="F624" s="12" t="n">
        <v>2.5</v>
      </c>
      <c r="G624" s="12" t="n">
        <v>0</v>
      </c>
      <c r="H624" s="9" t="n">
        <v>3</v>
      </c>
      <c r="I624" s="9" t="n">
        <v>32</v>
      </c>
      <c r="J624" s="9" t="n">
        <v>2</v>
      </c>
      <c r="K624" s="13" t="s">
        <v>16</v>
      </c>
    </row>
    <row r="625" customFormat="false" ht="15.75" hidden="false" customHeight="false" outlineLevel="0" collapsed="false">
      <c r="A625" s="9" t="n">
        <v>48</v>
      </c>
      <c r="B625" s="10" t="s">
        <v>14</v>
      </c>
      <c r="C625" s="11" t="n">
        <v>2000.054</v>
      </c>
      <c r="D625" s="10" t="s">
        <v>15</v>
      </c>
      <c r="E625" s="12" t="n">
        <v>2.5</v>
      </c>
      <c r="F625" s="12" t="n">
        <v>2.5</v>
      </c>
      <c r="G625" s="12" t="n">
        <v>0</v>
      </c>
      <c r="H625" s="9" t="n">
        <v>4</v>
      </c>
      <c r="I625" s="9" t="n">
        <v>38</v>
      </c>
      <c r="J625" s="9" t="n">
        <v>1</v>
      </c>
      <c r="K625" s="13" t="s">
        <v>16</v>
      </c>
    </row>
    <row r="626" customFormat="false" ht="15.75" hidden="false" customHeight="false" outlineLevel="0" collapsed="false">
      <c r="A626" s="9" t="n">
        <v>12</v>
      </c>
      <c r="B626" s="10" t="s">
        <v>14</v>
      </c>
      <c r="C626" s="11" t="n">
        <v>949.438</v>
      </c>
      <c r="D626" s="10" t="s">
        <v>20</v>
      </c>
      <c r="E626" s="12" t="n">
        <v>0.5</v>
      </c>
      <c r="F626" s="12" t="n">
        <v>0.5</v>
      </c>
      <c r="G626" s="12" t="n">
        <v>0</v>
      </c>
      <c r="H626" s="9" t="n">
        <v>4</v>
      </c>
      <c r="I626" s="9" t="n">
        <v>22</v>
      </c>
      <c r="J626" s="9" t="n">
        <v>1</v>
      </c>
      <c r="K626" s="13" t="s">
        <v>13</v>
      </c>
    </row>
    <row r="627" customFormat="false" ht="15.75" hidden="false" customHeight="false" outlineLevel="0" collapsed="false">
      <c r="A627" s="9" t="n">
        <v>18</v>
      </c>
      <c r="B627" s="10" t="s">
        <v>14</v>
      </c>
      <c r="C627" s="11" t="n">
        <v>1328.6</v>
      </c>
      <c r="D627" s="10" t="s">
        <v>15</v>
      </c>
      <c r="E627" s="12" t="n">
        <v>2.5</v>
      </c>
      <c r="F627" s="12" t="n">
        <v>2.5</v>
      </c>
      <c r="G627" s="12" t="n">
        <v>0</v>
      </c>
      <c r="H627" s="9" t="n">
        <v>4</v>
      </c>
      <c r="I627" s="9" t="n">
        <v>65</v>
      </c>
      <c r="J627" s="9" t="n">
        <v>2</v>
      </c>
      <c r="K627" s="13" t="s">
        <v>16</v>
      </c>
    </row>
    <row r="628" customFormat="false" ht="15.75" hidden="false" customHeight="false" outlineLevel="0" collapsed="false">
      <c r="A628" s="9" t="n">
        <v>15</v>
      </c>
      <c r="B628" s="10" t="s">
        <v>14</v>
      </c>
      <c r="C628" s="11" t="n">
        <v>1011.269</v>
      </c>
      <c r="D628" s="10" t="s">
        <v>12</v>
      </c>
      <c r="E628" s="12" t="n">
        <v>8</v>
      </c>
      <c r="F628" s="12" t="n">
        <v>8</v>
      </c>
      <c r="G628" s="12" t="n">
        <v>0</v>
      </c>
      <c r="H628" s="9" t="n">
        <v>4</v>
      </c>
      <c r="I628" s="9" t="n">
        <v>35</v>
      </c>
      <c r="J628" s="9" t="n">
        <v>1</v>
      </c>
      <c r="K628" s="13" t="s">
        <v>13</v>
      </c>
    </row>
    <row r="629" customFormat="false" ht="15.75" hidden="false" customHeight="false" outlineLevel="0" collapsed="false">
      <c r="A629" s="9" t="n">
        <v>6</v>
      </c>
      <c r="B629" s="10" t="s">
        <v>14</v>
      </c>
      <c r="C629" s="11" t="n">
        <v>1081.276</v>
      </c>
      <c r="D629" s="10" t="s">
        <v>15</v>
      </c>
      <c r="E629" s="12" t="n">
        <v>2.5</v>
      </c>
      <c r="F629" s="12" t="n">
        <v>2.5</v>
      </c>
      <c r="G629" s="12" t="n">
        <v>0</v>
      </c>
      <c r="H629" s="9" t="n">
        <v>2</v>
      </c>
      <c r="I629" s="9" t="n">
        <v>41</v>
      </c>
      <c r="J629" s="9" t="n">
        <v>1</v>
      </c>
      <c r="K629" s="13" t="s">
        <v>13</v>
      </c>
    </row>
    <row r="630" customFormat="false" ht="15.75" hidden="false" customHeight="false" outlineLevel="0" collapsed="false">
      <c r="A630" s="9" t="n">
        <v>9</v>
      </c>
      <c r="B630" s="10" t="s">
        <v>22</v>
      </c>
      <c r="C630" s="11" t="n">
        <v>734.307</v>
      </c>
      <c r="D630" s="10" t="s">
        <v>17</v>
      </c>
      <c r="E630" s="12" t="n">
        <v>5.5</v>
      </c>
      <c r="F630" s="12" t="n">
        <v>5.5</v>
      </c>
      <c r="G630" s="12" t="n">
        <v>0</v>
      </c>
      <c r="H630" s="9" t="n">
        <v>2</v>
      </c>
      <c r="I630" s="9" t="n">
        <v>29</v>
      </c>
      <c r="J630" s="9" t="n">
        <v>1</v>
      </c>
      <c r="K630" s="13" t="s">
        <v>16</v>
      </c>
    </row>
    <row r="631" customFormat="false" ht="15.75" hidden="false" customHeight="false" outlineLevel="0" collapsed="false">
      <c r="A631" s="9" t="n">
        <v>42</v>
      </c>
      <c r="B631" s="10" t="s">
        <v>11</v>
      </c>
      <c r="C631" s="11" t="n">
        <v>2065.462</v>
      </c>
      <c r="D631" s="10" t="s">
        <v>15</v>
      </c>
      <c r="E631" s="12" t="n">
        <v>2.5</v>
      </c>
      <c r="F631" s="12" t="n">
        <v>2.5</v>
      </c>
      <c r="G631" s="12" t="n">
        <v>0</v>
      </c>
      <c r="H631" s="9" t="n">
        <v>4</v>
      </c>
      <c r="I631" s="9" t="n">
        <v>36</v>
      </c>
      <c r="J631" s="9" t="n">
        <v>2</v>
      </c>
      <c r="K631" s="13" t="s">
        <v>13</v>
      </c>
    </row>
    <row r="632" customFormat="false" ht="15.75" hidden="false" customHeight="false" outlineLevel="0" collapsed="false">
      <c r="A632" s="9" t="n">
        <v>9</v>
      </c>
      <c r="B632" s="10" t="s">
        <v>14</v>
      </c>
      <c r="C632" s="11" t="n">
        <v>1958.152</v>
      </c>
      <c r="D632" s="10" t="s">
        <v>12</v>
      </c>
      <c r="E632" s="12" t="n">
        <v>8</v>
      </c>
      <c r="F632" s="12" t="n">
        <v>8</v>
      </c>
      <c r="G632" s="12" t="n">
        <v>0</v>
      </c>
      <c r="H632" s="9" t="n">
        <v>1</v>
      </c>
      <c r="I632" s="9" t="n">
        <v>64</v>
      </c>
      <c r="J632" s="9" t="n">
        <v>1</v>
      </c>
      <c r="K632" s="13" t="s">
        <v>13</v>
      </c>
    </row>
    <row r="633" customFormat="false" ht="15.75" hidden="false" customHeight="false" outlineLevel="0" collapsed="false">
      <c r="A633" s="9" t="n">
        <v>24</v>
      </c>
      <c r="B633" s="10" t="s">
        <v>14</v>
      </c>
      <c r="C633" s="11" t="n">
        <v>1870.26</v>
      </c>
      <c r="D633" s="10" t="s">
        <v>15</v>
      </c>
      <c r="E633" s="12" t="n">
        <v>2.5</v>
      </c>
      <c r="F633" s="12" t="n">
        <v>2.5</v>
      </c>
      <c r="G633" s="12" t="n">
        <v>0</v>
      </c>
      <c r="H633" s="9" t="n">
        <v>2</v>
      </c>
      <c r="I633" s="9" t="n">
        <v>28</v>
      </c>
      <c r="J633" s="9" t="n">
        <v>1</v>
      </c>
      <c r="K633" s="13" t="s">
        <v>13</v>
      </c>
    </row>
    <row r="634" customFormat="false" ht="15.75" hidden="false" customHeight="false" outlineLevel="0" collapsed="false">
      <c r="A634" s="9" t="n">
        <v>18</v>
      </c>
      <c r="B634" s="10" t="s">
        <v>22</v>
      </c>
      <c r="C634" s="11" t="n">
        <v>793.583</v>
      </c>
      <c r="D634" s="10" t="s">
        <v>15</v>
      </c>
      <c r="E634" s="12" t="n">
        <v>2.5</v>
      </c>
      <c r="F634" s="12" t="n">
        <v>2.5</v>
      </c>
      <c r="G634" s="12" t="n">
        <v>0</v>
      </c>
      <c r="H634" s="9" t="n">
        <v>4</v>
      </c>
      <c r="I634" s="9" t="n">
        <v>44</v>
      </c>
      <c r="J634" s="9" t="n">
        <v>1</v>
      </c>
      <c r="K634" s="13" t="s">
        <v>16</v>
      </c>
    </row>
    <row r="635" customFormat="false" ht="15.75" hidden="false" customHeight="false" outlineLevel="0" collapsed="false">
      <c r="A635" s="9" t="n">
        <v>15</v>
      </c>
      <c r="B635" s="10" t="s">
        <v>14</v>
      </c>
      <c r="C635" s="11" t="n">
        <v>737.884</v>
      </c>
      <c r="D635" s="10" t="s">
        <v>20</v>
      </c>
      <c r="E635" s="12" t="n">
        <v>0.5</v>
      </c>
      <c r="F635" s="12" t="n">
        <v>0.5</v>
      </c>
      <c r="G635" s="12" t="n">
        <v>0</v>
      </c>
      <c r="H635" s="9" t="n">
        <v>4</v>
      </c>
      <c r="I635" s="9" t="n">
        <v>23</v>
      </c>
      <c r="J635" s="9" t="n">
        <v>1</v>
      </c>
      <c r="K635" s="13" t="s">
        <v>13</v>
      </c>
    </row>
    <row r="636" customFormat="false" ht="15.75" hidden="false" customHeight="false" outlineLevel="0" collapsed="false">
      <c r="A636" s="9" t="n">
        <v>9</v>
      </c>
      <c r="B636" s="10" t="s">
        <v>14</v>
      </c>
      <c r="C636" s="11" t="n">
        <v>1011.78</v>
      </c>
      <c r="D636" s="10" t="s">
        <v>20</v>
      </c>
      <c r="E636" s="12" t="n">
        <v>0.5</v>
      </c>
      <c r="F636" s="12" t="n">
        <v>0.5</v>
      </c>
      <c r="G636" s="12" t="n">
        <v>0</v>
      </c>
      <c r="H636" s="9" t="n">
        <v>2</v>
      </c>
      <c r="I636" s="9" t="n">
        <v>19</v>
      </c>
      <c r="J636" s="9" t="n">
        <v>2</v>
      </c>
      <c r="K636" s="13" t="s">
        <v>16</v>
      </c>
    </row>
    <row r="637" customFormat="false" ht="15.75" hidden="false" customHeight="false" outlineLevel="0" collapsed="false">
      <c r="A637" s="9" t="n">
        <v>24</v>
      </c>
      <c r="B637" s="10" t="s">
        <v>14</v>
      </c>
      <c r="C637" s="11" t="n">
        <v>692.405</v>
      </c>
      <c r="D637" s="10" t="s">
        <v>20</v>
      </c>
      <c r="E637" s="12" t="n">
        <v>0.5</v>
      </c>
      <c r="F637" s="12" t="n">
        <v>0.5</v>
      </c>
      <c r="G637" s="12" t="n">
        <v>0</v>
      </c>
      <c r="H637" s="9" t="n">
        <v>3</v>
      </c>
      <c r="I637" s="9" t="n">
        <v>25</v>
      </c>
      <c r="J637" s="9" t="n">
        <v>1</v>
      </c>
      <c r="K637" s="13" t="s">
        <v>16</v>
      </c>
    </row>
    <row r="638" customFormat="false" ht="15.75" hidden="false" customHeight="false" outlineLevel="0" collapsed="false">
      <c r="A638" s="9" t="n">
        <v>12</v>
      </c>
      <c r="B638" s="10" t="s">
        <v>14</v>
      </c>
      <c r="C638" s="11" t="n">
        <v>711.823</v>
      </c>
      <c r="D638" s="10" t="s">
        <v>12</v>
      </c>
      <c r="E638" s="12" t="n">
        <v>8</v>
      </c>
      <c r="F638" s="12" t="n">
        <v>8</v>
      </c>
      <c r="G638" s="12" t="n">
        <v>0</v>
      </c>
      <c r="H638" s="9" t="n">
        <v>4</v>
      </c>
      <c r="I638" s="9" t="n">
        <v>47</v>
      </c>
      <c r="J638" s="9" t="n">
        <v>3</v>
      </c>
      <c r="K638" s="13" t="s">
        <v>13</v>
      </c>
    </row>
    <row r="639" customFormat="false" ht="15.75" hidden="false" customHeight="false" outlineLevel="0" collapsed="false">
      <c r="A639" s="9" t="n">
        <v>24</v>
      </c>
      <c r="B639" s="10" t="s">
        <v>14</v>
      </c>
      <c r="C639" s="11" t="n">
        <v>703.136</v>
      </c>
      <c r="D639" s="10" t="s">
        <v>17</v>
      </c>
      <c r="E639" s="12" t="n">
        <v>5.5</v>
      </c>
      <c r="F639" s="12" t="n">
        <v>5.5</v>
      </c>
      <c r="G639" s="12" t="n">
        <v>0</v>
      </c>
      <c r="H639" s="9" t="n">
        <v>4</v>
      </c>
      <c r="I639" s="9" t="n">
        <v>28</v>
      </c>
      <c r="J639" s="9" t="n">
        <v>1</v>
      </c>
      <c r="K639" s="13" t="s">
        <v>13</v>
      </c>
    </row>
    <row r="640" customFormat="false" ht="15.75" hidden="false" customHeight="false" outlineLevel="0" collapsed="false">
      <c r="A640" s="9" t="n">
        <v>60</v>
      </c>
      <c r="B640" s="10" t="s">
        <v>18</v>
      </c>
      <c r="C640" s="11" t="n">
        <v>7998.683</v>
      </c>
      <c r="D640" s="10" t="s">
        <v>17</v>
      </c>
      <c r="E640" s="12" t="n">
        <v>5.5</v>
      </c>
      <c r="F640" s="12" t="n">
        <v>3</v>
      </c>
      <c r="G640" s="12" t="n">
        <v>1</v>
      </c>
      <c r="H640" s="9" t="n">
        <v>2</v>
      </c>
      <c r="I640" s="9" t="n">
        <v>21</v>
      </c>
      <c r="J640" s="9" t="n">
        <v>2</v>
      </c>
      <c r="K640" s="13" t="s">
        <v>13</v>
      </c>
    </row>
    <row r="641" customFormat="false" ht="15.75" hidden="false" customHeight="false" outlineLevel="0" collapsed="false">
      <c r="A641" s="9" t="n">
        <v>12</v>
      </c>
      <c r="B641" s="10" t="s">
        <v>14</v>
      </c>
      <c r="C641" s="11" t="n">
        <v>762.923</v>
      </c>
      <c r="D641" s="10" t="s">
        <v>20</v>
      </c>
      <c r="E641" s="12" t="n">
        <v>0.5</v>
      </c>
      <c r="F641" s="12" t="n">
        <v>0.5</v>
      </c>
      <c r="G641" s="12" t="n">
        <v>0</v>
      </c>
      <c r="H641" s="9" t="n">
        <v>4</v>
      </c>
      <c r="I641" s="9" t="n">
        <v>34</v>
      </c>
      <c r="J641" s="9" t="n">
        <v>1</v>
      </c>
      <c r="K641" s="13" t="s">
        <v>13</v>
      </c>
    </row>
    <row r="642" customFormat="false" ht="15.75" hidden="false" customHeight="false" outlineLevel="0" collapsed="false">
      <c r="A642" s="9" t="n">
        <v>42</v>
      </c>
      <c r="B642" s="10" t="s">
        <v>18</v>
      </c>
      <c r="C642" s="11" t="n">
        <v>2233.07</v>
      </c>
      <c r="D642" s="10" t="s">
        <v>17</v>
      </c>
      <c r="E642" s="12" t="n">
        <v>5.5</v>
      </c>
      <c r="F642" s="12" t="n">
        <v>5.5</v>
      </c>
      <c r="G642" s="12" t="n">
        <v>0</v>
      </c>
      <c r="H642" s="9" t="n">
        <v>3</v>
      </c>
      <c r="I642" s="9" t="n">
        <v>26</v>
      </c>
      <c r="J642" s="9" t="n">
        <v>2</v>
      </c>
      <c r="K642" s="13" t="s">
        <v>16</v>
      </c>
    </row>
    <row r="643" customFormat="false" ht="15.75" hidden="false" customHeight="false" outlineLevel="0" collapsed="false">
      <c r="A643" s="9" t="n">
        <v>18</v>
      </c>
      <c r="B643" s="10" t="s">
        <v>14</v>
      </c>
      <c r="C643" s="11" t="n">
        <v>383.25</v>
      </c>
      <c r="D643" s="10" t="s">
        <v>19</v>
      </c>
      <c r="E643" s="12" t="n">
        <v>0</v>
      </c>
      <c r="F643" s="12" t="n">
        <v>0</v>
      </c>
      <c r="G643" s="12" t="n">
        <v>0</v>
      </c>
      <c r="H643" s="9" t="n">
        <v>4</v>
      </c>
      <c r="I643" s="9" t="n">
        <v>27</v>
      </c>
      <c r="J643" s="9" t="n">
        <v>1</v>
      </c>
      <c r="K643" s="13" t="s">
        <v>16</v>
      </c>
    </row>
    <row r="644" customFormat="false" ht="15.75" hidden="false" customHeight="false" outlineLevel="0" collapsed="false">
      <c r="A644" s="9" t="n">
        <v>15</v>
      </c>
      <c r="B644" s="10" t="s">
        <v>14</v>
      </c>
      <c r="C644" s="11" t="n">
        <v>668.388</v>
      </c>
      <c r="D644" s="10" t="s">
        <v>12</v>
      </c>
      <c r="E644" s="12" t="n">
        <v>8</v>
      </c>
      <c r="F644" s="12" t="n">
        <v>8</v>
      </c>
      <c r="G644" s="12" t="n">
        <v>0</v>
      </c>
      <c r="H644" s="9" t="n">
        <v>4</v>
      </c>
      <c r="I644" s="9" t="n">
        <v>38</v>
      </c>
      <c r="J644" s="9" t="n">
        <v>2</v>
      </c>
      <c r="K644" s="13" t="s">
        <v>13</v>
      </c>
    </row>
    <row r="645" customFormat="false" ht="15.75" hidden="false" customHeight="false" outlineLevel="0" collapsed="false">
      <c r="A645" s="9" t="n">
        <v>15</v>
      </c>
      <c r="B645" s="10" t="s">
        <v>14</v>
      </c>
      <c r="C645" s="11" t="n">
        <v>2362.353</v>
      </c>
      <c r="D645" s="10" t="s">
        <v>15</v>
      </c>
      <c r="E645" s="12" t="n">
        <v>2.5</v>
      </c>
      <c r="F645" s="12" t="n">
        <v>2.5</v>
      </c>
      <c r="G645" s="12" t="n">
        <v>0</v>
      </c>
      <c r="H645" s="9" t="n">
        <v>3</v>
      </c>
      <c r="I645" s="9" t="n">
        <v>40</v>
      </c>
      <c r="J645" s="9" t="n">
        <v>1</v>
      </c>
      <c r="K645" s="13" t="s">
        <v>16</v>
      </c>
    </row>
    <row r="646" customFormat="false" ht="15.75" hidden="false" customHeight="false" outlineLevel="0" collapsed="false">
      <c r="A646" s="9" t="n">
        <v>24</v>
      </c>
      <c r="B646" s="10" t="s">
        <v>11</v>
      </c>
      <c r="C646" s="11" t="n">
        <v>945.861</v>
      </c>
      <c r="D646" s="10" t="s">
        <v>17</v>
      </c>
      <c r="E646" s="12" t="n">
        <v>5.5</v>
      </c>
      <c r="F646" s="12" t="n">
        <v>5.5</v>
      </c>
      <c r="G646" s="12" t="n">
        <v>0</v>
      </c>
      <c r="H646" s="9" t="n">
        <v>4</v>
      </c>
      <c r="I646" s="9" t="n">
        <v>33</v>
      </c>
      <c r="J646" s="9" t="n">
        <v>2</v>
      </c>
      <c r="K646" s="13" t="s">
        <v>13</v>
      </c>
    </row>
    <row r="647" customFormat="false" ht="15.75" hidden="false" customHeight="false" outlineLevel="0" collapsed="false">
      <c r="A647" s="9" t="n">
        <v>18</v>
      </c>
      <c r="B647" s="10" t="s">
        <v>11</v>
      </c>
      <c r="C647" s="11" t="n">
        <v>960.68</v>
      </c>
      <c r="D647" s="10" t="s">
        <v>17</v>
      </c>
      <c r="E647" s="12" t="n">
        <v>5.5</v>
      </c>
      <c r="F647" s="12" t="n">
        <v>5.5</v>
      </c>
      <c r="G647" s="12" t="n">
        <v>0</v>
      </c>
      <c r="H647" s="9" t="n">
        <v>4</v>
      </c>
      <c r="I647" s="9" t="n">
        <v>32</v>
      </c>
      <c r="J647" s="9" t="n">
        <v>2</v>
      </c>
      <c r="K647" s="13" t="s">
        <v>13</v>
      </c>
    </row>
    <row r="648" customFormat="false" ht="15.75" hidden="false" customHeight="false" outlineLevel="0" collapsed="false">
      <c r="A648" s="9" t="n">
        <v>36</v>
      </c>
      <c r="B648" s="10" t="s">
        <v>18</v>
      </c>
      <c r="C648" s="11" t="n">
        <v>4077.78</v>
      </c>
      <c r="D648" s="10" t="s">
        <v>20</v>
      </c>
      <c r="E648" s="12" t="n">
        <v>0.5</v>
      </c>
      <c r="F648" s="12" t="n">
        <v>0.5</v>
      </c>
      <c r="G648" s="12" t="n">
        <v>0</v>
      </c>
      <c r="H648" s="9" t="n">
        <v>4</v>
      </c>
      <c r="I648" s="9" t="n">
        <v>27</v>
      </c>
      <c r="J648" s="9" t="n">
        <v>2</v>
      </c>
      <c r="K648" s="13" t="s">
        <v>16</v>
      </c>
    </row>
    <row r="649" customFormat="false" ht="15.75" hidden="false" customHeight="false" outlineLevel="0" collapsed="false">
      <c r="A649" s="9" t="n">
        <v>30</v>
      </c>
      <c r="B649" s="10" t="s">
        <v>21</v>
      </c>
      <c r="C649" s="11" t="n">
        <v>2341.913</v>
      </c>
      <c r="D649" s="10" t="s">
        <v>15</v>
      </c>
      <c r="E649" s="12" t="n">
        <v>2.5</v>
      </c>
      <c r="F649" s="12" t="n">
        <v>2.5</v>
      </c>
      <c r="G649" s="12" t="n">
        <v>0</v>
      </c>
      <c r="H649" s="9" t="n">
        <v>2</v>
      </c>
      <c r="I649" s="9" t="n">
        <v>32</v>
      </c>
      <c r="J649" s="9" t="n">
        <v>2</v>
      </c>
      <c r="K649" s="13" t="s">
        <v>13</v>
      </c>
    </row>
    <row r="650" customFormat="false" ht="15.75" hidden="false" customHeight="false" outlineLevel="0" collapsed="false">
      <c r="A650" s="9" t="n">
        <v>12</v>
      </c>
      <c r="B650" s="10" t="s">
        <v>14</v>
      </c>
      <c r="C650" s="11" t="n">
        <v>708.246</v>
      </c>
      <c r="D650" s="10" t="s">
        <v>15</v>
      </c>
      <c r="E650" s="12" t="n">
        <v>2.5</v>
      </c>
      <c r="F650" s="12" t="n">
        <v>2.5</v>
      </c>
      <c r="G650" s="12" t="n">
        <v>0</v>
      </c>
      <c r="H650" s="9" t="n">
        <v>2</v>
      </c>
      <c r="I650" s="9" t="n">
        <v>26</v>
      </c>
      <c r="J650" s="9" t="n">
        <v>1</v>
      </c>
      <c r="K650" s="13" t="s">
        <v>16</v>
      </c>
    </row>
    <row r="651" customFormat="false" ht="15.75" hidden="false" customHeight="false" outlineLevel="0" collapsed="false">
      <c r="A651" s="9" t="n">
        <v>24</v>
      </c>
      <c r="B651" s="10" t="s">
        <v>14</v>
      </c>
      <c r="C651" s="11" t="n">
        <v>483.917</v>
      </c>
      <c r="D651" s="10" t="s">
        <v>17</v>
      </c>
      <c r="E651" s="12" t="n">
        <v>5.5</v>
      </c>
      <c r="F651" s="12" t="n">
        <v>5.5</v>
      </c>
      <c r="G651" s="12" t="n">
        <v>0</v>
      </c>
      <c r="H651" s="9" t="n">
        <v>4</v>
      </c>
      <c r="I651" s="9" t="n">
        <v>38</v>
      </c>
      <c r="J651" s="9" t="n">
        <v>1</v>
      </c>
      <c r="K651" s="13" t="s">
        <v>16</v>
      </c>
    </row>
    <row r="652" customFormat="false" ht="15.75" hidden="false" customHeight="false" outlineLevel="0" collapsed="false">
      <c r="A652" s="9" t="n">
        <v>12</v>
      </c>
      <c r="B652" s="10" t="s">
        <v>14</v>
      </c>
      <c r="C652" s="11" t="n">
        <v>349.524</v>
      </c>
      <c r="D652" s="10" t="s">
        <v>15</v>
      </c>
      <c r="E652" s="12" t="n">
        <v>2.5</v>
      </c>
      <c r="F652" s="12" t="n">
        <v>2.5</v>
      </c>
      <c r="G652" s="12" t="n">
        <v>0</v>
      </c>
      <c r="H652" s="9" t="n">
        <v>4</v>
      </c>
      <c r="I652" s="9" t="n">
        <v>40</v>
      </c>
      <c r="J652" s="9" t="n">
        <v>1</v>
      </c>
      <c r="K652" s="13" t="s">
        <v>16</v>
      </c>
    </row>
    <row r="653" customFormat="false" ht="15.75" hidden="false" customHeight="false" outlineLevel="0" collapsed="false">
      <c r="A653" s="9" t="n">
        <v>48</v>
      </c>
      <c r="B653" s="10" t="s">
        <v>14</v>
      </c>
      <c r="C653" s="11" t="n">
        <v>3820.236</v>
      </c>
      <c r="D653" s="10" t="s">
        <v>17</v>
      </c>
      <c r="E653" s="12" t="n">
        <v>5.5</v>
      </c>
      <c r="F653" s="12" t="n">
        <v>5.5</v>
      </c>
      <c r="G653" s="12" t="n">
        <v>0</v>
      </c>
      <c r="H653" s="9" t="n">
        <v>4</v>
      </c>
      <c r="I653" s="9" t="n">
        <v>50</v>
      </c>
      <c r="J653" s="9" t="n">
        <v>1</v>
      </c>
      <c r="K653" s="13" t="s">
        <v>13</v>
      </c>
    </row>
    <row r="654" customFormat="false" ht="15.75" hidden="false" customHeight="false" outlineLevel="0" collapsed="false">
      <c r="A654" s="9" t="n">
        <v>12</v>
      </c>
      <c r="B654" s="10" t="s">
        <v>14</v>
      </c>
      <c r="C654" s="11" t="n">
        <v>982.142</v>
      </c>
      <c r="D654" s="10" t="s">
        <v>15</v>
      </c>
      <c r="E654" s="12" t="n">
        <v>2.5</v>
      </c>
      <c r="F654" s="12" t="n">
        <v>2.5</v>
      </c>
      <c r="G654" s="12" t="n">
        <v>0</v>
      </c>
      <c r="H654" s="9" t="n">
        <v>4</v>
      </c>
      <c r="I654" s="9" t="n">
        <v>37</v>
      </c>
      <c r="J654" s="9" t="n">
        <v>1</v>
      </c>
      <c r="K654" s="13" t="s">
        <v>16</v>
      </c>
    </row>
    <row r="655" customFormat="false" ht="15.75" hidden="false" customHeight="false" outlineLevel="0" collapsed="false">
      <c r="A655" s="9" t="n">
        <v>24</v>
      </c>
      <c r="B655" s="10" t="s">
        <v>14</v>
      </c>
      <c r="C655" s="11" t="n">
        <v>1176.833</v>
      </c>
      <c r="D655" s="10" t="s">
        <v>12</v>
      </c>
      <c r="E655" s="12" t="n">
        <v>8</v>
      </c>
      <c r="F655" s="12" t="n">
        <v>8</v>
      </c>
      <c r="G655" s="12" t="n">
        <v>0</v>
      </c>
      <c r="H655" s="9" t="n">
        <v>4</v>
      </c>
      <c r="I655" s="9" t="n">
        <v>45</v>
      </c>
      <c r="J655" s="9" t="n">
        <v>1</v>
      </c>
      <c r="K655" s="13" t="s">
        <v>16</v>
      </c>
    </row>
    <row r="656" customFormat="false" ht="15.75" hidden="false" customHeight="false" outlineLevel="0" collapsed="false">
      <c r="A656" s="9" t="n">
        <v>36</v>
      </c>
      <c r="B656" s="10" t="s">
        <v>18</v>
      </c>
      <c r="C656" s="11" t="n">
        <v>4131.946</v>
      </c>
      <c r="D656" s="10" t="s">
        <v>12</v>
      </c>
      <c r="E656" s="12" t="n">
        <v>8</v>
      </c>
      <c r="F656" s="12" t="n">
        <v>8</v>
      </c>
      <c r="G656" s="12" t="n">
        <v>0</v>
      </c>
      <c r="H656" s="9" t="n">
        <v>2</v>
      </c>
      <c r="I656" s="9" t="n">
        <v>42</v>
      </c>
      <c r="J656" s="9" t="n">
        <v>4</v>
      </c>
      <c r="K656" s="13" t="s">
        <v>16</v>
      </c>
    </row>
    <row r="657" customFormat="false" ht="15.75" hidden="false" customHeight="false" outlineLevel="0" collapsed="false">
      <c r="A657" s="9" t="n">
        <v>24</v>
      </c>
      <c r="B657" s="10" t="s">
        <v>11</v>
      </c>
      <c r="C657" s="11" t="n">
        <v>1198.806</v>
      </c>
      <c r="D657" s="10" t="s">
        <v>17</v>
      </c>
      <c r="E657" s="12" t="n">
        <v>5.5</v>
      </c>
      <c r="F657" s="12" t="n">
        <v>5.5</v>
      </c>
      <c r="G657" s="12" t="n">
        <v>0</v>
      </c>
      <c r="H657" s="9" t="n">
        <v>4</v>
      </c>
      <c r="I657" s="9" t="n">
        <v>35</v>
      </c>
      <c r="J657" s="9" t="n">
        <v>2</v>
      </c>
      <c r="K657" s="13" t="s">
        <v>13</v>
      </c>
    </row>
    <row r="658" customFormat="false" ht="15.75" hidden="false" customHeight="false" outlineLevel="0" collapsed="false">
      <c r="A658" s="9" t="n">
        <v>14</v>
      </c>
      <c r="B658" s="10" t="s">
        <v>14</v>
      </c>
      <c r="C658" s="11" t="n">
        <v>2030.203</v>
      </c>
      <c r="D658" s="10" t="s">
        <v>19</v>
      </c>
      <c r="E658" s="12" t="n">
        <v>0</v>
      </c>
      <c r="F658" s="12" t="n">
        <v>0</v>
      </c>
      <c r="G658" s="12" t="n">
        <v>0</v>
      </c>
      <c r="H658" s="9" t="n">
        <v>1</v>
      </c>
      <c r="I658" s="9" t="n">
        <v>22</v>
      </c>
      <c r="J658" s="9" t="n">
        <v>1</v>
      </c>
      <c r="K658" s="13" t="s">
        <v>13</v>
      </c>
    </row>
    <row r="659" customFormat="false" ht="15.75" hidden="false" customHeight="false" outlineLevel="0" collapsed="false">
      <c r="A659" s="9" t="n">
        <v>12</v>
      </c>
      <c r="B659" s="10" t="s">
        <v>14</v>
      </c>
      <c r="C659" s="11" t="n">
        <v>453.768</v>
      </c>
      <c r="D659" s="10" t="s">
        <v>12</v>
      </c>
      <c r="E659" s="12" t="n">
        <v>8</v>
      </c>
      <c r="F659" s="12" t="n">
        <v>8</v>
      </c>
      <c r="G659" s="12" t="n">
        <v>0</v>
      </c>
      <c r="H659" s="9" t="n">
        <v>4</v>
      </c>
      <c r="I659" s="9" t="n">
        <v>41</v>
      </c>
      <c r="J659" s="9" t="n">
        <v>1</v>
      </c>
      <c r="K659" s="13" t="s">
        <v>16</v>
      </c>
    </row>
    <row r="660" customFormat="false" ht="15.75" hidden="false" customHeight="false" outlineLevel="0" collapsed="false">
      <c r="A660" s="9" t="n">
        <v>48</v>
      </c>
      <c r="B660" s="10" t="s">
        <v>14</v>
      </c>
      <c r="C660" s="11" t="n">
        <v>5223.442</v>
      </c>
      <c r="D660" s="10" t="s">
        <v>17</v>
      </c>
      <c r="E660" s="12" t="n">
        <v>5.5</v>
      </c>
      <c r="F660" s="12" t="n">
        <v>5.5</v>
      </c>
      <c r="G660" s="12" t="n">
        <v>0</v>
      </c>
      <c r="H660" s="9" t="n">
        <v>4</v>
      </c>
      <c r="I660" s="9" t="n">
        <v>37</v>
      </c>
      <c r="J660" s="9" t="n">
        <v>1</v>
      </c>
      <c r="K660" s="13" t="s">
        <v>13</v>
      </c>
    </row>
    <row r="661" customFormat="false" ht="15.75" hidden="false" customHeight="false" outlineLevel="0" collapsed="false">
      <c r="A661" s="9" t="n">
        <v>30</v>
      </c>
      <c r="B661" s="10" t="s">
        <v>21</v>
      </c>
      <c r="C661" s="11" t="n">
        <v>2156.931</v>
      </c>
      <c r="D661" s="10" t="s">
        <v>15</v>
      </c>
      <c r="E661" s="12" t="n">
        <v>2.5</v>
      </c>
      <c r="F661" s="12" t="n">
        <v>2.5</v>
      </c>
      <c r="G661" s="12" t="n">
        <v>0</v>
      </c>
      <c r="H661" s="9" t="n">
        <v>2</v>
      </c>
      <c r="I661" s="9" t="n">
        <v>28</v>
      </c>
      <c r="J661" s="9" t="n">
        <v>2</v>
      </c>
      <c r="K661" s="13" t="s">
        <v>13</v>
      </c>
    </row>
    <row r="662" customFormat="false" ht="15.75" hidden="false" customHeight="false" outlineLevel="0" collapsed="false">
      <c r="A662" s="9" t="n">
        <v>18</v>
      </c>
      <c r="B662" s="10" t="s">
        <v>11</v>
      </c>
      <c r="C662" s="11" t="n">
        <v>3250.471</v>
      </c>
      <c r="D662" s="10" t="s">
        <v>12</v>
      </c>
      <c r="E662" s="12" t="n">
        <v>8</v>
      </c>
      <c r="F662" s="12" t="n">
        <v>8</v>
      </c>
      <c r="G662" s="12" t="n">
        <v>0</v>
      </c>
      <c r="H662" s="9" t="n">
        <v>2</v>
      </c>
      <c r="I662" s="9" t="n">
        <v>41</v>
      </c>
      <c r="J662" s="9" t="n">
        <v>1</v>
      </c>
      <c r="K662" s="13" t="s">
        <v>13</v>
      </c>
    </row>
    <row r="663" customFormat="false" ht="15.75" hidden="false" customHeight="false" outlineLevel="0" collapsed="false">
      <c r="A663" s="9" t="n">
        <v>12</v>
      </c>
      <c r="B663" s="10" t="s">
        <v>14</v>
      </c>
      <c r="C663" s="11" t="n">
        <v>662.767</v>
      </c>
      <c r="D663" s="10" t="s">
        <v>15</v>
      </c>
      <c r="E663" s="12" t="n">
        <v>2.5</v>
      </c>
      <c r="F663" s="12" t="n">
        <v>2.5</v>
      </c>
      <c r="G663" s="12" t="n">
        <v>0</v>
      </c>
      <c r="H663" s="9" t="n">
        <v>3</v>
      </c>
      <c r="I663" s="9" t="n">
        <v>23</v>
      </c>
      <c r="J663" s="9" t="n">
        <v>1</v>
      </c>
      <c r="K663" s="13" t="s">
        <v>13</v>
      </c>
    </row>
    <row r="664" customFormat="false" ht="15.75" hidden="false" customHeight="false" outlineLevel="0" collapsed="false">
      <c r="A664" s="9" t="n">
        <v>12</v>
      </c>
      <c r="B664" s="10" t="s">
        <v>14</v>
      </c>
      <c r="C664" s="11" t="n">
        <v>459.9</v>
      </c>
      <c r="D664" s="10" t="s">
        <v>15</v>
      </c>
      <c r="E664" s="12" t="n">
        <v>2.5</v>
      </c>
      <c r="F664" s="12" t="n">
        <v>2.5</v>
      </c>
      <c r="G664" s="12" t="n">
        <v>0</v>
      </c>
      <c r="H664" s="9" t="n">
        <v>4</v>
      </c>
      <c r="I664" s="9" t="n">
        <v>23</v>
      </c>
      <c r="J664" s="9" t="n">
        <v>1</v>
      </c>
      <c r="K664" s="13" t="s">
        <v>16</v>
      </c>
    </row>
    <row r="665" customFormat="false" ht="15.75" hidden="false" customHeight="false" outlineLevel="0" collapsed="false">
      <c r="A665" s="9" t="n">
        <v>21</v>
      </c>
      <c r="B665" s="10" t="s">
        <v>14</v>
      </c>
      <c r="C665" s="11" t="n">
        <v>1145.151</v>
      </c>
      <c r="D665" s="10" t="s">
        <v>12</v>
      </c>
      <c r="E665" s="12" t="n">
        <v>8</v>
      </c>
      <c r="F665" s="12" t="n">
        <v>8</v>
      </c>
      <c r="G665" s="12" t="n">
        <v>0</v>
      </c>
      <c r="H665" s="9" t="n">
        <v>4</v>
      </c>
      <c r="I665" s="9" t="n">
        <v>50</v>
      </c>
      <c r="J665" s="9" t="n">
        <v>2</v>
      </c>
      <c r="K665" s="13" t="s">
        <v>13</v>
      </c>
    </row>
    <row r="666" customFormat="false" ht="15.75" hidden="false" customHeight="false" outlineLevel="0" collapsed="false">
      <c r="A666" s="9" t="n">
        <v>6</v>
      </c>
      <c r="B666" s="10" t="s">
        <v>18</v>
      </c>
      <c r="C666" s="11" t="n">
        <v>536.55</v>
      </c>
      <c r="D666" s="10" t="s">
        <v>19</v>
      </c>
      <c r="E666" s="12" t="n">
        <v>0</v>
      </c>
      <c r="F666" s="12" t="n">
        <v>0</v>
      </c>
      <c r="G666" s="12" t="n">
        <v>0</v>
      </c>
      <c r="H666" s="9" t="n">
        <v>4</v>
      </c>
      <c r="I666" s="9" t="n">
        <v>35</v>
      </c>
      <c r="J666" s="9" t="n">
        <v>2</v>
      </c>
      <c r="K666" s="13" t="s">
        <v>13</v>
      </c>
    </row>
    <row r="667" customFormat="false" ht="15.75" hidden="false" customHeight="false" outlineLevel="0" collapsed="false">
      <c r="A667" s="9" t="n">
        <v>6</v>
      </c>
      <c r="B667" s="10" t="s">
        <v>11</v>
      </c>
      <c r="C667" s="11" t="n">
        <v>535.017</v>
      </c>
      <c r="D667" s="10" t="s">
        <v>15</v>
      </c>
      <c r="E667" s="12" t="n">
        <v>2.5</v>
      </c>
      <c r="F667" s="12" t="n">
        <v>2.5</v>
      </c>
      <c r="G667" s="12" t="n">
        <v>0</v>
      </c>
      <c r="H667" s="9" t="n">
        <v>2</v>
      </c>
      <c r="I667" s="9" t="n">
        <v>50</v>
      </c>
      <c r="J667" s="9" t="n">
        <v>1</v>
      </c>
      <c r="K667" s="13" t="s">
        <v>13</v>
      </c>
    </row>
    <row r="668" customFormat="false" ht="15.75" hidden="false" customHeight="false" outlineLevel="0" collapsed="false">
      <c r="A668" s="9" t="n">
        <v>24</v>
      </c>
      <c r="B668" s="10" t="s">
        <v>11</v>
      </c>
      <c r="C668" s="11" t="n">
        <v>3226.454</v>
      </c>
      <c r="D668" s="10" t="s">
        <v>19</v>
      </c>
      <c r="E668" s="12" t="n">
        <v>0</v>
      </c>
      <c r="F668" s="12" t="n">
        <v>0</v>
      </c>
      <c r="G668" s="12" t="n">
        <v>0</v>
      </c>
      <c r="H668" s="9" t="n">
        <v>4</v>
      </c>
      <c r="I668" s="9" t="n">
        <v>27</v>
      </c>
      <c r="J668" s="9" t="n">
        <v>2</v>
      </c>
      <c r="K668" s="13" t="s">
        <v>13</v>
      </c>
    </row>
    <row r="669" customFormat="false" ht="15.75" hidden="false" customHeight="false" outlineLevel="0" collapsed="false">
      <c r="A669" s="9" t="n">
        <v>30</v>
      </c>
      <c r="B669" s="10" t="s">
        <v>22</v>
      </c>
      <c r="C669" s="11" t="n">
        <v>1786.456</v>
      </c>
      <c r="D669" s="10" t="s">
        <v>15</v>
      </c>
      <c r="E669" s="12" t="n">
        <v>2.5</v>
      </c>
      <c r="F669" s="12" t="n">
        <v>2.5</v>
      </c>
      <c r="G669" s="12" t="n">
        <v>0</v>
      </c>
      <c r="H669" s="9" t="n">
        <v>4</v>
      </c>
      <c r="I669" s="9" t="n">
        <v>34</v>
      </c>
      <c r="J669" s="9" t="n">
        <v>1</v>
      </c>
      <c r="K669" s="13" t="s">
        <v>13</v>
      </c>
    </row>
    <row r="670" customFormat="false" ht="15.75" hidden="false" customHeight="false" outlineLevel="0" collapsed="false">
      <c r="A670" s="9" t="n">
        <v>48</v>
      </c>
      <c r="B670" s="10" t="s">
        <v>22</v>
      </c>
      <c r="C670" s="11" t="n">
        <v>1844.199</v>
      </c>
      <c r="D670" s="10" t="s">
        <v>15</v>
      </c>
      <c r="E670" s="12" t="n">
        <v>2.5</v>
      </c>
      <c r="F670" s="12" t="n">
        <v>2.5</v>
      </c>
      <c r="G670" s="12" t="n">
        <v>0</v>
      </c>
      <c r="H670" s="9" t="n">
        <v>1</v>
      </c>
      <c r="I670" s="9" t="n">
        <v>27</v>
      </c>
      <c r="J670" s="9" t="n">
        <v>1</v>
      </c>
      <c r="K670" s="13" t="s">
        <v>13</v>
      </c>
    </row>
    <row r="671" customFormat="false" ht="15.75" hidden="false" customHeight="false" outlineLevel="0" collapsed="false">
      <c r="A671" s="9" t="n">
        <v>12</v>
      </c>
      <c r="B671" s="10" t="s">
        <v>11</v>
      </c>
      <c r="C671" s="11" t="n">
        <v>2474.773</v>
      </c>
      <c r="D671" s="10" t="s">
        <v>12</v>
      </c>
      <c r="E671" s="12" t="n">
        <v>8</v>
      </c>
      <c r="F671" s="12" t="n">
        <v>8</v>
      </c>
      <c r="G671" s="12" t="n">
        <v>0</v>
      </c>
      <c r="H671" s="9" t="n">
        <v>3</v>
      </c>
      <c r="I671" s="9" t="n">
        <v>43</v>
      </c>
      <c r="J671" s="9" t="n">
        <v>2</v>
      </c>
      <c r="K671" s="13" t="s">
        <v>16</v>
      </c>
    </row>
    <row r="672" customFormat="false" ht="15.75" hidden="false" customHeight="false" outlineLevel="0" collapsed="false">
      <c r="A672" s="9" t="n">
        <v>30</v>
      </c>
      <c r="B672" s="10" t="s">
        <v>11</v>
      </c>
      <c r="C672" s="11" t="n">
        <v>1541.687</v>
      </c>
      <c r="D672" s="10" t="s">
        <v>12</v>
      </c>
      <c r="E672" s="12" t="n">
        <v>8</v>
      </c>
      <c r="F672" s="12" t="n">
        <v>8</v>
      </c>
      <c r="G672" s="12" t="n">
        <v>0</v>
      </c>
      <c r="H672" s="9" t="n">
        <v>4</v>
      </c>
      <c r="I672" s="9" t="n">
        <v>47</v>
      </c>
      <c r="J672" s="9" t="n">
        <v>1</v>
      </c>
      <c r="K672" s="13" t="s">
        <v>13</v>
      </c>
    </row>
    <row r="673" customFormat="false" ht="15.75" hidden="false" customHeight="false" outlineLevel="0" collapsed="false">
      <c r="A673" s="9" t="n">
        <v>24</v>
      </c>
      <c r="B673" s="10" t="s">
        <v>11</v>
      </c>
      <c r="C673" s="11" t="n">
        <v>2115.029</v>
      </c>
      <c r="D673" s="10" t="s">
        <v>15</v>
      </c>
      <c r="E673" s="12" t="n">
        <v>2.5</v>
      </c>
      <c r="F673" s="12" t="n">
        <v>2.5</v>
      </c>
      <c r="G673" s="12" t="n">
        <v>0</v>
      </c>
      <c r="H673" s="9" t="n">
        <v>3</v>
      </c>
      <c r="I673" s="9" t="n">
        <v>27</v>
      </c>
      <c r="J673" s="9" t="n">
        <v>2</v>
      </c>
      <c r="K673" s="13" t="s">
        <v>13</v>
      </c>
    </row>
    <row r="674" customFormat="false" ht="15.75" hidden="false" customHeight="false" outlineLevel="0" collapsed="false">
      <c r="A674" s="9" t="n">
        <v>36</v>
      </c>
      <c r="B674" s="10" t="s">
        <v>14</v>
      </c>
      <c r="C674" s="11" t="n">
        <v>2934.162</v>
      </c>
      <c r="D674" s="10" t="s">
        <v>17</v>
      </c>
      <c r="E674" s="12" t="n">
        <v>5.5</v>
      </c>
      <c r="F674" s="12" t="n">
        <v>5.5</v>
      </c>
      <c r="G674" s="12" t="n">
        <v>0</v>
      </c>
      <c r="H674" s="9" t="n">
        <v>2</v>
      </c>
      <c r="I674" s="9" t="n">
        <v>31</v>
      </c>
      <c r="J674" s="9" t="n">
        <v>2</v>
      </c>
      <c r="K674" s="13" t="s">
        <v>13</v>
      </c>
    </row>
    <row r="675" customFormat="false" ht="15.75" hidden="false" customHeight="false" outlineLevel="0" collapsed="false">
      <c r="A675" s="9" t="n">
        <v>60</v>
      </c>
      <c r="B675" s="10" t="s">
        <v>14</v>
      </c>
      <c r="C675" s="11" t="n">
        <v>5297.026</v>
      </c>
      <c r="D675" s="10" t="s">
        <v>12</v>
      </c>
      <c r="E675" s="12" t="n">
        <v>8</v>
      </c>
      <c r="F675" s="12" t="n">
        <v>8</v>
      </c>
      <c r="G675" s="12" t="n">
        <v>0</v>
      </c>
      <c r="H675" s="9" t="n">
        <v>2</v>
      </c>
      <c r="I675" s="9" t="n">
        <v>42</v>
      </c>
      <c r="J675" s="9" t="n">
        <v>1</v>
      </c>
      <c r="K675" s="13" t="s">
        <v>13</v>
      </c>
    </row>
    <row r="676" customFormat="false" ht="15.75" hidden="false" customHeight="false" outlineLevel="0" collapsed="false">
      <c r="A676" s="9" t="n">
        <v>6</v>
      </c>
      <c r="B676" s="10" t="s">
        <v>11</v>
      </c>
      <c r="C676" s="11" t="n">
        <v>1062.88</v>
      </c>
      <c r="D676" s="10" t="s">
        <v>15</v>
      </c>
      <c r="E676" s="12" t="n">
        <v>2.5</v>
      </c>
      <c r="F676" s="12" t="n">
        <v>2.5</v>
      </c>
      <c r="G676" s="12" t="n">
        <v>0</v>
      </c>
      <c r="H676" s="9" t="n">
        <v>1</v>
      </c>
      <c r="I676" s="9" t="n">
        <v>24</v>
      </c>
      <c r="J676" s="9" t="n">
        <v>1</v>
      </c>
      <c r="K676" s="13" t="s">
        <v>13</v>
      </c>
    </row>
    <row r="677" customFormat="false" ht="15.75" hidden="false" customHeight="false" outlineLevel="0" collapsed="false">
      <c r="A677" s="9" t="n">
        <v>21</v>
      </c>
      <c r="B677" s="10" t="s">
        <v>18</v>
      </c>
      <c r="C677" s="11" t="n">
        <v>1318.38</v>
      </c>
      <c r="D677" s="10" t="s">
        <v>20</v>
      </c>
      <c r="E677" s="12" t="n">
        <v>0.5</v>
      </c>
      <c r="F677" s="12" t="n">
        <v>0.5</v>
      </c>
      <c r="G677" s="12" t="n">
        <v>0</v>
      </c>
      <c r="H677" s="9" t="n">
        <v>4</v>
      </c>
      <c r="I677" s="9" t="n">
        <v>41</v>
      </c>
      <c r="J677" s="9" t="n">
        <v>1</v>
      </c>
      <c r="K677" s="13" t="s">
        <v>16</v>
      </c>
    </row>
    <row r="678" customFormat="false" ht="15.75" hidden="false" customHeight="false" outlineLevel="0" collapsed="false">
      <c r="A678" s="9" t="n">
        <v>30</v>
      </c>
      <c r="B678" s="10" t="s">
        <v>11</v>
      </c>
      <c r="C678" s="11" t="n">
        <v>2314.83</v>
      </c>
      <c r="D678" s="10" t="s">
        <v>17</v>
      </c>
      <c r="E678" s="12" t="n">
        <v>5.5</v>
      </c>
      <c r="F678" s="12" t="n">
        <v>5.5</v>
      </c>
      <c r="G678" s="12" t="n">
        <v>0</v>
      </c>
      <c r="H678" s="9" t="n">
        <v>4</v>
      </c>
      <c r="I678" s="9" t="n">
        <v>26</v>
      </c>
      <c r="J678" s="9" t="n">
        <v>1</v>
      </c>
      <c r="K678" s="13" t="s">
        <v>13</v>
      </c>
    </row>
    <row r="679" customFormat="false" ht="15.75" hidden="false" customHeight="false" outlineLevel="0" collapsed="false">
      <c r="A679" s="9" t="n">
        <v>24</v>
      </c>
      <c r="B679" s="10" t="s">
        <v>11</v>
      </c>
      <c r="C679" s="11" t="n">
        <v>2631.65</v>
      </c>
      <c r="D679" s="10" t="s">
        <v>12</v>
      </c>
      <c r="E679" s="12" t="n">
        <v>8</v>
      </c>
      <c r="F679" s="12" t="n">
        <v>8</v>
      </c>
      <c r="G679" s="12" t="n">
        <v>0</v>
      </c>
      <c r="H679" s="9" t="n">
        <v>4</v>
      </c>
      <c r="I679" s="9" t="n">
        <v>33</v>
      </c>
      <c r="J679" s="9" t="n">
        <v>1</v>
      </c>
      <c r="K679" s="13" t="s">
        <v>13</v>
      </c>
    </row>
    <row r="680" customFormat="false" ht="15.75" hidden="false" customHeight="false" outlineLevel="0" collapsed="false">
      <c r="A680" s="9" t="n">
        <v>72</v>
      </c>
      <c r="B680" s="10" t="s">
        <v>14</v>
      </c>
      <c r="C680" s="11" t="n">
        <v>2859.045</v>
      </c>
      <c r="D680" s="10" t="s">
        <v>15</v>
      </c>
      <c r="E680" s="12" t="n">
        <v>2.5</v>
      </c>
      <c r="F680" s="12" t="n">
        <v>2.5</v>
      </c>
      <c r="G680" s="12" t="n">
        <v>0</v>
      </c>
      <c r="H680" s="9" t="n">
        <v>2</v>
      </c>
      <c r="I680" s="9" t="n">
        <v>24</v>
      </c>
      <c r="J680" s="9" t="n">
        <v>1</v>
      </c>
      <c r="K680" s="13" t="s">
        <v>16</v>
      </c>
    </row>
    <row r="681" customFormat="false" ht="15.75" hidden="false" customHeight="false" outlineLevel="0" collapsed="false">
      <c r="A681" s="9" t="n">
        <v>24</v>
      </c>
      <c r="B681" s="10" t="s">
        <v>14</v>
      </c>
      <c r="C681" s="11" t="n">
        <v>1218.224</v>
      </c>
      <c r="D681" s="10" t="s">
        <v>12</v>
      </c>
      <c r="E681" s="12" t="n">
        <v>8</v>
      </c>
      <c r="F681" s="12" t="n">
        <v>8</v>
      </c>
      <c r="G681" s="12" t="n">
        <v>0</v>
      </c>
      <c r="H681" s="9" t="n">
        <v>4</v>
      </c>
      <c r="I681" s="9" t="n">
        <v>64</v>
      </c>
      <c r="J681" s="9" t="n">
        <v>1</v>
      </c>
      <c r="K681" s="13" t="s">
        <v>13</v>
      </c>
    </row>
    <row r="682" customFormat="false" ht="15.75" hidden="false" customHeight="false" outlineLevel="0" collapsed="false">
      <c r="A682" s="9" t="n">
        <v>18</v>
      </c>
      <c r="B682" s="10" t="s">
        <v>14</v>
      </c>
      <c r="C682" s="11" t="n">
        <v>742.483</v>
      </c>
      <c r="D682" s="10" t="s">
        <v>20</v>
      </c>
      <c r="E682" s="12" t="n">
        <v>0.5</v>
      </c>
      <c r="F682" s="12" t="n">
        <v>0.5</v>
      </c>
      <c r="G682" s="12" t="n">
        <v>0</v>
      </c>
      <c r="H682" s="9" t="n">
        <v>3</v>
      </c>
      <c r="I682" s="9" t="n">
        <v>26</v>
      </c>
      <c r="J682" s="9" t="n">
        <v>1</v>
      </c>
      <c r="K682" s="13" t="s">
        <v>13</v>
      </c>
    </row>
    <row r="683" customFormat="false" ht="15.75" hidden="false" customHeight="false" outlineLevel="0" collapsed="false">
      <c r="A683" s="9" t="n">
        <v>6</v>
      </c>
      <c r="B683" s="10" t="s">
        <v>14</v>
      </c>
      <c r="C683" s="11" t="n">
        <v>785.918</v>
      </c>
      <c r="D683" s="10" t="s">
        <v>20</v>
      </c>
      <c r="E683" s="12" t="n">
        <v>0.5</v>
      </c>
      <c r="F683" s="12" t="n">
        <v>0.5</v>
      </c>
      <c r="G683" s="12" t="n">
        <v>0</v>
      </c>
      <c r="H683" s="9" t="n">
        <v>1</v>
      </c>
      <c r="I683" s="9" t="n">
        <v>56</v>
      </c>
      <c r="J683" s="9" t="n">
        <v>1</v>
      </c>
      <c r="K683" s="13" t="s">
        <v>13</v>
      </c>
    </row>
    <row r="684" customFormat="false" ht="15.75" hidden="false" customHeight="false" outlineLevel="0" collapsed="false">
      <c r="A684" s="9" t="n">
        <v>12</v>
      </c>
      <c r="B684" s="10" t="s">
        <v>14</v>
      </c>
      <c r="C684" s="11" t="n">
        <v>1164.569</v>
      </c>
      <c r="D684" s="10" t="s">
        <v>15</v>
      </c>
      <c r="E684" s="12" t="n">
        <v>2.5</v>
      </c>
      <c r="F684" s="12" t="n">
        <v>2.5</v>
      </c>
      <c r="G684" s="12" t="n">
        <v>0</v>
      </c>
      <c r="H684" s="9" t="n">
        <v>4</v>
      </c>
      <c r="I684" s="9" t="n">
        <v>37</v>
      </c>
      <c r="J684" s="9" t="n">
        <v>1</v>
      </c>
      <c r="K684" s="13" t="s">
        <v>13</v>
      </c>
    </row>
    <row r="685" customFormat="false" ht="15.75" hidden="false" customHeight="false" outlineLevel="0" collapsed="false">
      <c r="A685" s="9" t="n">
        <v>15</v>
      </c>
      <c r="B685" s="10" t="s">
        <v>18</v>
      </c>
      <c r="C685" s="11" t="n">
        <v>755.258</v>
      </c>
      <c r="D685" s="10" t="s">
        <v>15</v>
      </c>
      <c r="E685" s="12" t="n">
        <v>2.5</v>
      </c>
      <c r="F685" s="12" t="n">
        <v>2.5</v>
      </c>
      <c r="G685" s="12" t="n">
        <v>0</v>
      </c>
      <c r="H685" s="9" t="n">
        <v>4</v>
      </c>
      <c r="I685" s="9" t="n">
        <v>33</v>
      </c>
      <c r="J685" s="9" t="n">
        <v>2</v>
      </c>
      <c r="K685" s="13" t="s">
        <v>13</v>
      </c>
    </row>
    <row r="686" customFormat="false" ht="15.75" hidden="false" customHeight="false" outlineLevel="0" collapsed="false">
      <c r="A686" s="9" t="n">
        <v>24</v>
      </c>
      <c r="B686" s="10" t="s">
        <v>11</v>
      </c>
      <c r="C686" s="11" t="n">
        <v>2607.633</v>
      </c>
      <c r="D686" s="10" t="s">
        <v>20</v>
      </c>
      <c r="E686" s="12" t="n">
        <v>0.5</v>
      </c>
      <c r="F686" s="12" t="n">
        <v>0.5</v>
      </c>
      <c r="G686" s="12" t="n">
        <v>0</v>
      </c>
      <c r="H686" s="9" t="n">
        <v>3</v>
      </c>
      <c r="I686" s="9" t="n">
        <v>47</v>
      </c>
      <c r="J686" s="9" t="n">
        <v>3</v>
      </c>
      <c r="K686" s="13" t="s">
        <v>13</v>
      </c>
    </row>
    <row r="687" customFormat="false" ht="15.75" hidden="false" customHeight="false" outlineLevel="0" collapsed="false">
      <c r="A687" s="9" t="n">
        <v>36</v>
      </c>
      <c r="B687" s="10" t="s">
        <v>18</v>
      </c>
      <c r="C687" s="11" t="n">
        <v>5036.927</v>
      </c>
      <c r="D687" s="10" t="s">
        <v>17</v>
      </c>
      <c r="E687" s="12" t="n">
        <v>5.5</v>
      </c>
      <c r="F687" s="12" t="n">
        <v>5.5</v>
      </c>
      <c r="G687" s="12" t="n">
        <v>0</v>
      </c>
      <c r="H687" s="9" t="n">
        <v>1</v>
      </c>
      <c r="I687" s="9" t="n">
        <v>31</v>
      </c>
      <c r="J687" s="9" t="n">
        <v>2</v>
      </c>
      <c r="K687" s="13" t="s">
        <v>13</v>
      </c>
    </row>
    <row r="688" customFormat="false" ht="15.75" hidden="false" customHeight="false" outlineLevel="0" collapsed="false">
      <c r="A688" s="9" t="n">
        <v>60</v>
      </c>
      <c r="B688" s="10" t="s">
        <v>14</v>
      </c>
      <c r="C688" s="11" t="n">
        <v>3335.297</v>
      </c>
      <c r="D688" s="10" t="s">
        <v>15</v>
      </c>
      <c r="E688" s="12" t="n">
        <v>2.5</v>
      </c>
      <c r="F688" s="12" t="n">
        <v>2.5</v>
      </c>
      <c r="G688" s="12" t="n">
        <v>0</v>
      </c>
      <c r="H688" s="9" t="n">
        <v>4</v>
      </c>
      <c r="I688" s="9" t="n">
        <v>34</v>
      </c>
      <c r="J688" s="9" t="n">
        <v>1</v>
      </c>
      <c r="K688" s="13" t="s">
        <v>13</v>
      </c>
    </row>
    <row r="689" customFormat="false" ht="15.75" hidden="false" customHeight="false" outlineLevel="0" collapsed="false">
      <c r="A689" s="9" t="n">
        <v>10</v>
      </c>
      <c r="B689" s="10" t="s">
        <v>11</v>
      </c>
      <c r="C689" s="11" t="n">
        <v>688.317</v>
      </c>
      <c r="D689" s="10" t="s">
        <v>17</v>
      </c>
      <c r="E689" s="12" t="n">
        <v>5.5</v>
      </c>
      <c r="F689" s="12" t="n">
        <v>5.5</v>
      </c>
      <c r="G689" s="12" t="n">
        <v>0</v>
      </c>
      <c r="H689" s="9" t="n">
        <v>4</v>
      </c>
      <c r="I689" s="9" t="n">
        <v>27</v>
      </c>
      <c r="J689" s="9" t="n">
        <v>2</v>
      </c>
      <c r="K689" s="13" t="s">
        <v>13</v>
      </c>
    </row>
    <row r="690" customFormat="false" ht="15.75" hidden="false" customHeight="false" outlineLevel="0" collapsed="false">
      <c r="A690" s="9" t="n">
        <v>36</v>
      </c>
      <c r="B690" s="10" t="s">
        <v>18</v>
      </c>
      <c r="C690" s="11" t="n">
        <v>1462.482</v>
      </c>
      <c r="D690" s="10" t="s">
        <v>12</v>
      </c>
      <c r="E690" s="12" t="n">
        <v>8</v>
      </c>
      <c r="F690" s="12" t="n">
        <v>8</v>
      </c>
      <c r="G690" s="12" t="n">
        <v>0</v>
      </c>
      <c r="H690" s="9" t="n">
        <v>4</v>
      </c>
      <c r="I690" s="9" t="n">
        <v>30</v>
      </c>
      <c r="J690" s="9" t="n">
        <v>1</v>
      </c>
      <c r="K690" s="13" t="s">
        <v>13</v>
      </c>
    </row>
    <row r="691" customFormat="false" ht="15.75" hidden="false" customHeight="false" outlineLevel="0" collapsed="false">
      <c r="A691" s="9" t="n">
        <v>9</v>
      </c>
      <c r="B691" s="10" t="s">
        <v>14</v>
      </c>
      <c r="C691" s="11" t="n">
        <v>1406.783</v>
      </c>
      <c r="D691" s="10" t="s">
        <v>12</v>
      </c>
      <c r="E691" s="12" t="n">
        <v>8</v>
      </c>
      <c r="F691" s="12" t="n">
        <v>8</v>
      </c>
      <c r="G691" s="12" t="n">
        <v>0</v>
      </c>
      <c r="H691" s="9" t="n">
        <v>3</v>
      </c>
      <c r="I691" s="9" t="n">
        <v>35</v>
      </c>
      <c r="J691" s="9" t="n">
        <v>1</v>
      </c>
      <c r="K691" s="13" t="s">
        <v>13</v>
      </c>
    </row>
    <row r="692" customFormat="false" ht="15.75" hidden="false" customHeight="false" outlineLevel="0" collapsed="false">
      <c r="A692" s="9" t="n">
        <v>12</v>
      </c>
      <c r="B692" s="10" t="s">
        <v>14</v>
      </c>
      <c r="C692" s="11" t="n">
        <v>1865.661</v>
      </c>
      <c r="D692" s="10" t="s">
        <v>15</v>
      </c>
      <c r="E692" s="12" t="n">
        <v>2.5</v>
      </c>
      <c r="F692" s="12" t="n">
        <v>2.5</v>
      </c>
      <c r="G692" s="12" t="n">
        <v>0</v>
      </c>
      <c r="H692" s="9" t="n">
        <v>1</v>
      </c>
      <c r="I692" s="9" t="n">
        <v>31</v>
      </c>
      <c r="J692" s="9" t="n">
        <v>1</v>
      </c>
      <c r="K692" s="13" t="s">
        <v>13</v>
      </c>
    </row>
    <row r="693" customFormat="false" ht="15.75" hidden="false" customHeight="false" outlineLevel="0" collapsed="false">
      <c r="A693" s="9" t="n">
        <v>15</v>
      </c>
      <c r="B693" s="10" t="s">
        <v>11</v>
      </c>
      <c r="C693" s="11" t="n">
        <v>498.225</v>
      </c>
      <c r="D693" s="10" t="s">
        <v>15</v>
      </c>
      <c r="E693" s="12" t="n">
        <v>2.5</v>
      </c>
      <c r="F693" s="12" t="n">
        <v>2.5</v>
      </c>
      <c r="G693" s="12" t="n">
        <v>0</v>
      </c>
      <c r="H693" s="9" t="n">
        <v>2</v>
      </c>
      <c r="I693" s="9" t="n">
        <v>25</v>
      </c>
      <c r="J693" s="9" t="n">
        <v>2</v>
      </c>
      <c r="K693" s="13" t="s">
        <v>13</v>
      </c>
    </row>
    <row r="694" customFormat="false" ht="15.75" hidden="false" customHeight="false" outlineLevel="0" collapsed="false">
      <c r="A694" s="9" t="n">
        <v>15</v>
      </c>
      <c r="B694" s="10" t="s">
        <v>14</v>
      </c>
      <c r="C694" s="11" t="n">
        <v>1344.441</v>
      </c>
      <c r="D694" s="10" t="s">
        <v>15</v>
      </c>
      <c r="E694" s="12" t="n">
        <v>2.5</v>
      </c>
      <c r="F694" s="12" t="n">
        <v>2.5</v>
      </c>
      <c r="G694" s="12" t="n">
        <v>0</v>
      </c>
      <c r="H694" s="9" t="n">
        <v>3</v>
      </c>
      <c r="I694" s="9" t="n">
        <v>25</v>
      </c>
      <c r="J694" s="9" t="n">
        <v>1</v>
      </c>
      <c r="K694" s="13" t="s">
        <v>13</v>
      </c>
    </row>
    <row r="695" customFormat="false" ht="15.75" hidden="false" customHeight="false" outlineLevel="0" collapsed="false">
      <c r="A695" s="9" t="n">
        <v>24</v>
      </c>
      <c r="B695" s="10" t="s">
        <v>14</v>
      </c>
      <c r="C695" s="11" t="n">
        <v>1479.856</v>
      </c>
      <c r="D695" s="10" t="s">
        <v>20</v>
      </c>
      <c r="E695" s="12" t="n">
        <v>0.5</v>
      </c>
      <c r="F695" s="12" t="n">
        <v>0.5</v>
      </c>
      <c r="G695" s="12" t="n">
        <v>0</v>
      </c>
      <c r="H695" s="9" t="n">
        <v>2</v>
      </c>
      <c r="I695" s="9" t="n">
        <v>29</v>
      </c>
      <c r="J695" s="9" t="n">
        <v>1</v>
      </c>
      <c r="K695" s="13" t="s">
        <v>13</v>
      </c>
    </row>
    <row r="696" customFormat="false" ht="15.75" hidden="false" customHeight="false" outlineLevel="0" collapsed="false">
      <c r="A696" s="9" t="n">
        <v>6</v>
      </c>
      <c r="B696" s="10" t="s">
        <v>11</v>
      </c>
      <c r="C696" s="11" t="n">
        <v>2409.876</v>
      </c>
      <c r="D696" s="10" t="s">
        <v>20</v>
      </c>
      <c r="E696" s="12" t="n">
        <v>0.5</v>
      </c>
      <c r="F696" s="12" t="n">
        <v>0.5</v>
      </c>
      <c r="G696" s="12" t="n">
        <v>0</v>
      </c>
      <c r="H696" s="9" t="n">
        <v>1</v>
      </c>
      <c r="I696" s="9" t="n">
        <v>44</v>
      </c>
      <c r="J696" s="9" t="n">
        <v>2</v>
      </c>
      <c r="K696" s="13" t="s">
        <v>13</v>
      </c>
    </row>
    <row r="697" customFormat="false" ht="15.75" hidden="false" customHeight="false" outlineLevel="0" collapsed="false">
      <c r="A697" s="9" t="n">
        <v>24</v>
      </c>
      <c r="B697" s="10" t="s">
        <v>14</v>
      </c>
      <c r="C697" s="11" t="n">
        <v>1167.124</v>
      </c>
      <c r="D697" s="10" t="s">
        <v>17</v>
      </c>
      <c r="E697" s="12" t="n">
        <v>5.5</v>
      </c>
      <c r="F697" s="12" t="n">
        <v>5.5</v>
      </c>
      <c r="G697" s="12" t="n">
        <v>0</v>
      </c>
      <c r="H697" s="9" t="n">
        <v>4</v>
      </c>
      <c r="I697" s="9" t="n">
        <v>28</v>
      </c>
      <c r="J697" s="9" t="n">
        <v>1</v>
      </c>
      <c r="K697" s="13" t="s">
        <v>13</v>
      </c>
    </row>
    <row r="698" customFormat="false" ht="15.75" hidden="false" customHeight="false" outlineLevel="0" collapsed="false">
      <c r="A698" s="9" t="n">
        <v>6</v>
      </c>
      <c r="B698" s="10" t="s">
        <v>14</v>
      </c>
      <c r="C698" s="11" t="n">
        <v>631.596</v>
      </c>
      <c r="D698" s="10" t="s">
        <v>15</v>
      </c>
      <c r="E698" s="12" t="n">
        <v>2.5</v>
      </c>
      <c r="F698" s="12" t="n">
        <v>2.5</v>
      </c>
      <c r="G698" s="12" t="n">
        <v>0</v>
      </c>
      <c r="H698" s="9" t="n">
        <v>2</v>
      </c>
      <c r="I698" s="9" t="n">
        <v>50</v>
      </c>
      <c r="J698" s="9" t="n">
        <v>1</v>
      </c>
      <c r="K698" s="13" t="s">
        <v>13</v>
      </c>
    </row>
    <row r="699" customFormat="false" ht="15.75" hidden="false" customHeight="false" outlineLevel="0" collapsed="false">
      <c r="A699" s="9" t="n">
        <v>12</v>
      </c>
      <c r="B699" s="10" t="s">
        <v>14</v>
      </c>
      <c r="C699" s="11" t="n">
        <v>563.633</v>
      </c>
      <c r="D699" s="10" t="s">
        <v>17</v>
      </c>
      <c r="E699" s="12" t="n">
        <v>5.5</v>
      </c>
      <c r="F699" s="12" t="n">
        <v>5.5</v>
      </c>
      <c r="G699" s="12" t="n">
        <v>0</v>
      </c>
      <c r="H699" s="9" t="n">
        <v>4</v>
      </c>
      <c r="I699" s="9" t="n">
        <v>29</v>
      </c>
      <c r="J699" s="9" t="n">
        <v>2</v>
      </c>
      <c r="K699" s="13" t="s">
        <v>13</v>
      </c>
    </row>
    <row r="700" customFormat="false" ht="15.75" hidden="false" customHeight="false" outlineLevel="0" collapsed="false">
      <c r="A700" s="9" t="n">
        <v>12</v>
      </c>
      <c r="B700" s="10" t="s">
        <v>11</v>
      </c>
      <c r="C700" s="11" t="n">
        <v>473.186</v>
      </c>
      <c r="D700" s="10" t="s">
        <v>19</v>
      </c>
      <c r="E700" s="12" t="n">
        <v>0</v>
      </c>
      <c r="F700" s="12" t="n">
        <v>0</v>
      </c>
      <c r="G700" s="12" t="n">
        <v>0</v>
      </c>
      <c r="H700" s="9" t="n">
        <v>1</v>
      </c>
      <c r="I700" s="9" t="n">
        <v>38</v>
      </c>
      <c r="J700" s="9" t="n">
        <v>1</v>
      </c>
      <c r="K700" s="13" t="s">
        <v>13</v>
      </c>
    </row>
    <row r="701" customFormat="false" ht="15.75" hidden="false" customHeight="false" outlineLevel="0" collapsed="false">
      <c r="A701" s="9" t="n">
        <v>18</v>
      </c>
      <c r="B701" s="10" t="s">
        <v>11</v>
      </c>
      <c r="C701" s="11" t="n">
        <v>919.8</v>
      </c>
      <c r="D701" s="10" t="s">
        <v>15</v>
      </c>
      <c r="E701" s="12" t="n">
        <v>2.5</v>
      </c>
      <c r="F701" s="12" t="n">
        <v>2.5</v>
      </c>
      <c r="G701" s="12" t="n">
        <v>0</v>
      </c>
      <c r="H701" s="9" t="n">
        <v>4</v>
      </c>
      <c r="I701" s="9" t="n">
        <v>24</v>
      </c>
      <c r="J701" s="9" t="n">
        <v>2</v>
      </c>
      <c r="K701" s="13" t="s">
        <v>13</v>
      </c>
    </row>
    <row r="702" customFormat="false" ht="15.75" hidden="false" customHeight="false" outlineLevel="0" collapsed="false">
      <c r="A702" s="9" t="n">
        <v>15</v>
      </c>
      <c r="B702" s="10" t="s">
        <v>14</v>
      </c>
      <c r="C702" s="11" t="n">
        <v>973.455</v>
      </c>
      <c r="D702" s="10" t="s">
        <v>12</v>
      </c>
      <c r="E702" s="12" t="n">
        <v>8</v>
      </c>
      <c r="F702" s="12" t="n">
        <v>8</v>
      </c>
      <c r="G702" s="12" t="n">
        <v>0</v>
      </c>
      <c r="H702" s="9" t="n">
        <v>4</v>
      </c>
      <c r="I702" s="9" t="n">
        <v>40</v>
      </c>
      <c r="J702" s="9" t="n">
        <v>1</v>
      </c>
      <c r="K702" s="13" t="s">
        <v>13</v>
      </c>
    </row>
    <row r="703" customFormat="false" ht="15.75" hidden="false" customHeight="false" outlineLevel="0" collapsed="false">
      <c r="A703" s="9" t="n">
        <v>12</v>
      </c>
      <c r="B703" s="10" t="s">
        <v>14</v>
      </c>
      <c r="C703" s="11" t="n">
        <v>573.853</v>
      </c>
      <c r="D703" s="10" t="s">
        <v>15</v>
      </c>
      <c r="E703" s="12" t="n">
        <v>2.5</v>
      </c>
      <c r="F703" s="12" t="n">
        <v>2.5</v>
      </c>
      <c r="G703" s="12" t="n">
        <v>0</v>
      </c>
      <c r="H703" s="9" t="n">
        <v>4</v>
      </c>
      <c r="I703" s="9" t="n">
        <v>29</v>
      </c>
      <c r="J703" s="9" t="n">
        <v>1</v>
      </c>
      <c r="K703" s="13" t="s">
        <v>16</v>
      </c>
    </row>
    <row r="704" customFormat="false" ht="15.75" hidden="false" customHeight="false" outlineLevel="0" collapsed="false">
      <c r="A704" s="9" t="n">
        <v>48</v>
      </c>
      <c r="B704" s="10" t="s">
        <v>11</v>
      </c>
      <c r="C704" s="11" t="n">
        <v>3235.141</v>
      </c>
      <c r="D704" s="10" t="s">
        <v>12</v>
      </c>
      <c r="E704" s="12" t="n">
        <v>8</v>
      </c>
      <c r="F704" s="12" t="n">
        <v>8</v>
      </c>
      <c r="G704" s="12" t="n">
        <v>0</v>
      </c>
      <c r="H704" s="9" t="n">
        <v>4</v>
      </c>
      <c r="I704" s="9" t="n">
        <v>46</v>
      </c>
      <c r="J704" s="9" t="n">
        <v>2</v>
      </c>
      <c r="K704" s="13" t="s">
        <v>16</v>
      </c>
    </row>
    <row r="705" customFormat="false" ht="15.75" hidden="false" customHeight="false" outlineLevel="0" collapsed="false">
      <c r="A705" s="9" t="n">
        <v>24</v>
      </c>
      <c r="B705" s="10" t="s">
        <v>14</v>
      </c>
      <c r="C705" s="11" t="n">
        <v>703.647</v>
      </c>
      <c r="D705" s="10" t="s">
        <v>12</v>
      </c>
      <c r="E705" s="12" t="n">
        <v>8</v>
      </c>
      <c r="F705" s="12" t="n">
        <v>8</v>
      </c>
      <c r="G705" s="12" t="n">
        <v>0</v>
      </c>
      <c r="H705" s="9" t="n">
        <v>4</v>
      </c>
      <c r="I705" s="9" t="n">
        <v>47</v>
      </c>
      <c r="J705" s="9" t="n">
        <v>1</v>
      </c>
      <c r="K705" s="13" t="s">
        <v>13</v>
      </c>
    </row>
    <row r="706" customFormat="false" ht="15.75" hidden="false" customHeight="false" outlineLevel="0" collapsed="false">
      <c r="A706" s="9" t="n">
        <v>30</v>
      </c>
      <c r="B706" s="10" t="s">
        <v>18</v>
      </c>
      <c r="C706" s="11" t="n">
        <v>1279.033</v>
      </c>
      <c r="D706" s="10" t="s">
        <v>12</v>
      </c>
      <c r="E706" s="12" t="n">
        <v>8</v>
      </c>
      <c r="F706" s="12" t="n">
        <v>8</v>
      </c>
      <c r="G706" s="12" t="n">
        <v>0</v>
      </c>
      <c r="H706" s="9" t="n">
        <v>4</v>
      </c>
      <c r="I706" s="9" t="n">
        <v>41</v>
      </c>
      <c r="J706" s="9" t="n">
        <v>2</v>
      </c>
      <c r="K706" s="13" t="s">
        <v>13</v>
      </c>
    </row>
    <row r="707" customFormat="false" ht="15.75" hidden="false" customHeight="false" outlineLevel="0" collapsed="false">
      <c r="A707" s="9" t="n">
        <v>27</v>
      </c>
      <c r="B707" s="10" t="s">
        <v>14</v>
      </c>
      <c r="C707" s="11" t="n">
        <v>1291.808</v>
      </c>
      <c r="D707" s="10" t="s">
        <v>20</v>
      </c>
      <c r="E707" s="12" t="n">
        <v>0.5</v>
      </c>
      <c r="F707" s="12" t="n">
        <v>0.5</v>
      </c>
      <c r="G707" s="12" t="n">
        <v>0</v>
      </c>
      <c r="H707" s="9" t="n">
        <v>4</v>
      </c>
      <c r="I707" s="9" t="n">
        <v>32</v>
      </c>
      <c r="J707" s="9" t="n">
        <v>1</v>
      </c>
      <c r="K707" s="13" t="s">
        <v>13</v>
      </c>
    </row>
    <row r="708" customFormat="false" ht="15.75" hidden="false" customHeight="false" outlineLevel="0" collapsed="false">
      <c r="A708" s="9" t="n">
        <v>15</v>
      </c>
      <c r="B708" s="10" t="s">
        <v>14</v>
      </c>
      <c r="C708" s="11" t="n">
        <v>2720.564</v>
      </c>
      <c r="D708" s="10" t="s">
        <v>12</v>
      </c>
      <c r="E708" s="12" t="n">
        <v>8</v>
      </c>
      <c r="F708" s="12" t="n">
        <v>8</v>
      </c>
      <c r="G708" s="12" t="n">
        <v>0</v>
      </c>
      <c r="H708" s="9" t="n">
        <v>1</v>
      </c>
      <c r="I708" s="9" t="n">
        <v>35</v>
      </c>
      <c r="J708" s="9" t="n">
        <v>1</v>
      </c>
      <c r="K708" s="13" t="s">
        <v>13</v>
      </c>
    </row>
    <row r="709" customFormat="false" ht="15.75" hidden="false" customHeight="false" outlineLevel="0" collapsed="false">
      <c r="A709" s="9" t="n">
        <v>48</v>
      </c>
      <c r="B709" s="10" t="s">
        <v>14</v>
      </c>
      <c r="C709" s="11" t="n">
        <v>3352.16</v>
      </c>
      <c r="D709" s="10" t="s">
        <v>17</v>
      </c>
      <c r="E709" s="12" t="n">
        <v>5.5</v>
      </c>
      <c r="F709" s="12" t="n">
        <v>5.5</v>
      </c>
      <c r="G709" s="12" t="n">
        <v>0</v>
      </c>
      <c r="H709" s="9" t="n">
        <v>3</v>
      </c>
      <c r="I709" s="9" t="n">
        <v>24</v>
      </c>
      <c r="J709" s="9" t="n">
        <v>1</v>
      </c>
      <c r="K709" s="13" t="s">
        <v>16</v>
      </c>
    </row>
    <row r="710" customFormat="false" ht="15.75" hidden="false" customHeight="false" outlineLevel="0" collapsed="false">
      <c r="A710" s="9" t="n">
        <v>12</v>
      </c>
      <c r="B710" s="10" t="s">
        <v>21</v>
      </c>
      <c r="C710" s="11" t="n">
        <v>1517.159</v>
      </c>
      <c r="D710" s="10" t="s">
        <v>20</v>
      </c>
      <c r="E710" s="12" t="n">
        <v>0.5</v>
      </c>
      <c r="F710" s="12" t="n">
        <v>0.5</v>
      </c>
      <c r="G710" s="12" t="n">
        <v>0</v>
      </c>
      <c r="H710" s="9" t="n">
        <v>4</v>
      </c>
      <c r="I710" s="9" t="n">
        <v>25</v>
      </c>
      <c r="J710" s="9" t="n">
        <v>2</v>
      </c>
      <c r="K710" s="13" t="s">
        <v>16</v>
      </c>
    </row>
    <row r="711" customFormat="false" ht="15.75" hidden="false" customHeight="false" outlineLevel="0" collapsed="false">
      <c r="A711" s="9" t="n">
        <v>9</v>
      </c>
      <c r="B711" s="10" t="s">
        <v>14</v>
      </c>
      <c r="C711" s="11" t="n">
        <v>616.266</v>
      </c>
      <c r="D711" s="10" t="s">
        <v>12</v>
      </c>
      <c r="E711" s="12" t="n">
        <v>8</v>
      </c>
      <c r="F711" s="12" t="n">
        <v>7</v>
      </c>
      <c r="G711" s="12" t="n">
        <v>1</v>
      </c>
      <c r="H711" s="9" t="n">
        <v>4</v>
      </c>
      <c r="I711" s="9" t="n">
        <v>25</v>
      </c>
      <c r="J711" s="9" t="n">
        <v>1</v>
      </c>
      <c r="K711" s="13" t="s">
        <v>13</v>
      </c>
    </row>
    <row r="712" customFormat="false" ht="15.75" hidden="false" customHeight="false" outlineLevel="0" collapsed="false">
      <c r="A712" s="9" t="n">
        <v>9</v>
      </c>
      <c r="B712" s="10" t="s">
        <v>14</v>
      </c>
      <c r="C712" s="11" t="n">
        <v>1082.298</v>
      </c>
      <c r="D712" s="10" t="s">
        <v>15</v>
      </c>
      <c r="E712" s="12" t="n">
        <v>2.5</v>
      </c>
      <c r="F712" s="12" t="n">
        <v>2.5</v>
      </c>
      <c r="G712" s="12" t="n">
        <v>0</v>
      </c>
      <c r="H712" s="9" t="n">
        <v>2</v>
      </c>
      <c r="I712" s="9" t="n">
        <v>37</v>
      </c>
      <c r="J712" s="9" t="n">
        <v>1</v>
      </c>
      <c r="K712" s="13" t="s">
        <v>13</v>
      </c>
    </row>
    <row r="713" customFormat="false" ht="15.75" hidden="false" customHeight="false" outlineLevel="0" collapsed="false">
      <c r="A713" s="9" t="n">
        <v>18</v>
      </c>
      <c r="B713" s="10" t="s">
        <v>11</v>
      </c>
      <c r="C713" s="11" t="n">
        <v>321.419</v>
      </c>
      <c r="D713" s="10" t="s">
        <v>12</v>
      </c>
      <c r="E713" s="12" t="n">
        <v>8</v>
      </c>
      <c r="F713" s="12" t="n">
        <v>8</v>
      </c>
      <c r="G713" s="12" t="n">
        <v>0</v>
      </c>
      <c r="H713" s="9" t="n">
        <v>4</v>
      </c>
      <c r="I713" s="9" t="n">
        <v>32</v>
      </c>
      <c r="J713" s="9" t="n">
        <v>2</v>
      </c>
      <c r="K713" s="13" t="s">
        <v>13</v>
      </c>
    </row>
    <row r="714" customFormat="false" ht="15.75" hidden="false" customHeight="false" outlineLevel="0" collapsed="false">
      <c r="A714" s="9" t="n">
        <v>6</v>
      </c>
      <c r="B714" s="10" t="s">
        <v>22</v>
      </c>
      <c r="C714" s="11" t="n">
        <v>612.178</v>
      </c>
      <c r="D714" s="10" t="s">
        <v>12</v>
      </c>
      <c r="E714" s="12" t="n">
        <v>8</v>
      </c>
      <c r="F714" s="12" t="n">
        <v>8</v>
      </c>
      <c r="G714" s="12" t="n">
        <v>0</v>
      </c>
      <c r="H714" s="9" t="n">
        <v>4</v>
      </c>
      <c r="I714" s="9" t="n">
        <v>35</v>
      </c>
      <c r="J714" s="9" t="n">
        <v>1</v>
      </c>
      <c r="K714" s="13" t="s">
        <v>16</v>
      </c>
    </row>
    <row r="715" customFormat="false" ht="15.75" hidden="false" customHeight="false" outlineLevel="0" collapsed="false">
      <c r="A715" s="9" t="n">
        <v>21</v>
      </c>
      <c r="B715" s="10" t="s">
        <v>14</v>
      </c>
      <c r="C715" s="11" t="n">
        <v>1265.236</v>
      </c>
      <c r="D715" s="10" t="s">
        <v>12</v>
      </c>
      <c r="E715" s="12" t="n">
        <v>8</v>
      </c>
      <c r="F715" s="12" t="n">
        <v>8</v>
      </c>
      <c r="G715" s="12" t="n">
        <v>0</v>
      </c>
      <c r="H715" s="9" t="n">
        <v>4</v>
      </c>
      <c r="I715" s="9" t="n">
        <v>46</v>
      </c>
      <c r="J715" s="9" t="n">
        <v>1</v>
      </c>
      <c r="K715" s="13" t="s">
        <v>13</v>
      </c>
    </row>
    <row r="716" customFormat="false" ht="15.75" hidden="false" customHeight="false" outlineLevel="0" collapsed="false">
      <c r="A716" s="9" t="n">
        <v>9</v>
      </c>
      <c r="B716" s="10" t="s">
        <v>11</v>
      </c>
      <c r="C716" s="11" t="n">
        <v>581.518</v>
      </c>
      <c r="D716" s="10" t="s">
        <v>15</v>
      </c>
      <c r="E716" s="12" t="n">
        <v>2.5</v>
      </c>
      <c r="F716" s="12" t="n">
        <v>2.5</v>
      </c>
      <c r="G716" s="12" t="n">
        <v>0</v>
      </c>
      <c r="H716" s="9" t="n">
        <v>4</v>
      </c>
      <c r="I716" s="9" t="n">
        <v>25</v>
      </c>
      <c r="J716" s="9" t="n">
        <v>2</v>
      </c>
      <c r="K716" s="13" t="s">
        <v>13</v>
      </c>
    </row>
    <row r="717" customFormat="false" ht="15.75" hidden="false" customHeight="false" outlineLevel="0" collapsed="false">
      <c r="A717" s="9" t="n">
        <v>60</v>
      </c>
      <c r="B717" s="10" t="s">
        <v>14</v>
      </c>
      <c r="C717" s="11" t="n">
        <v>7167.797</v>
      </c>
      <c r="D717" s="10" t="s">
        <v>17</v>
      </c>
      <c r="E717" s="12" t="n">
        <v>5.5</v>
      </c>
      <c r="F717" s="12" t="n">
        <v>5.5</v>
      </c>
      <c r="G717" s="12" t="n">
        <v>0</v>
      </c>
      <c r="H717" s="9" t="n">
        <v>4</v>
      </c>
      <c r="I717" s="9" t="n">
        <v>27</v>
      </c>
      <c r="J717" s="9" t="n">
        <v>1</v>
      </c>
      <c r="K717" s="13" t="s">
        <v>16</v>
      </c>
    </row>
    <row r="718" customFormat="false" ht="15.75" hidden="false" customHeight="false" outlineLevel="0" collapsed="false">
      <c r="A718" s="9" t="n">
        <v>30</v>
      </c>
      <c r="B718" s="10" t="s">
        <v>11</v>
      </c>
      <c r="C718" s="11" t="n">
        <v>3881.556</v>
      </c>
      <c r="D718" s="10" t="s">
        <v>12</v>
      </c>
      <c r="E718" s="12" t="n">
        <v>8</v>
      </c>
      <c r="F718" s="12" t="n">
        <v>8</v>
      </c>
      <c r="G718" s="12" t="n">
        <v>0</v>
      </c>
      <c r="H718" s="9" t="n">
        <v>1</v>
      </c>
      <c r="I718" s="9" t="n">
        <v>63</v>
      </c>
      <c r="J718" s="9" t="n">
        <v>2</v>
      </c>
      <c r="K718" s="13" t="s">
        <v>13</v>
      </c>
    </row>
    <row r="719" customFormat="false" ht="15.75" hidden="false" customHeight="false" outlineLevel="0" collapsed="false">
      <c r="A719" s="9" t="n">
        <v>30</v>
      </c>
      <c r="B719" s="10" t="s">
        <v>11</v>
      </c>
      <c r="C719" s="11" t="n">
        <v>1572.347</v>
      </c>
      <c r="D719" s="10" t="s">
        <v>12</v>
      </c>
      <c r="E719" s="12" t="n">
        <v>8</v>
      </c>
      <c r="F719" s="12" t="n">
        <v>8</v>
      </c>
      <c r="G719" s="12" t="n">
        <v>0</v>
      </c>
      <c r="H719" s="9" t="n">
        <v>3</v>
      </c>
      <c r="I719" s="9" t="n">
        <v>40</v>
      </c>
      <c r="J719" s="9" t="n">
        <v>2</v>
      </c>
      <c r="K719" s="13" t="s">
        <v>13</v>
      </c>
    </row>
    <row r="720" customFormat="false" ht="15.75" hidden="false" customHeight="false" outlineLevel="0" collapsed="false">
      <c r="A720" s="9" t="n">
        <v>18</v>
      </c>
      <c r="B720" s="10" t="s">
        <v>14</v>
      </c>
      <c r="C720" s="11" t="n">
        <v>769.055</v>
      </c>
      <c r="D720" s="10" t="s">
        <v>15</v>
      </c>
      <c r="E720" s="12" t="n">
        <v>2.5</v>
      </c>
      <c r="F720" s="12" t="n">
        <v>2.5</v>
      </c>
      <c r="G720" s="12" t="n">
        <v>0</v>
      </c>
      <c r="H720" s="9" t="n">
        <v>4</v>
      </c>
      <c r="I720" s="9" t="n">
        <v>32</v>
      </c>
      <c r="J720" s="9" t="n">
        <v>1</v>
      </c>
      <c r="K720" s="13" t="s">
        <v>13</v>
      </c>
    </row>
    <row r="721" customFormat="false" ht="15.75" hidden="false" customHeight="false" outlineLevel="0" collapsed="false">
      <c r="A721" s="9" t="n">
        <v>24</v>
      </c>
      <c r="B721" s="10" t="s">
        <v>11</v>
      </c>
      <c r="C721" s="11" t="n">
        <v>1608.628</v>
      </c>
      <c r="D721" s="10" t="s">
        <v>15</v>
      </c>
      <c r="E721" s="12" t="n">
        <v>2.5</v>
      </c>
      <c r="F721" s="12" t="n">
        <v>2.5</v>
      </c>
      <c r="G721" s="12" t="n">
        <v>0</v>
      </c>
      <c r="H721" s="9" t="n">
        <v>3</v>
      </c>
      <c r="I721" s="9" t="n">
        <v>31</v>
      </c>
      <c r="J721" s="9" t="n">
        <v>2</v>
      </c>
      <c r="K721" s="13" t="s">
        <v>13</v>
      </c>
    </row>
    <row r="722" customFormat="false" ht="15.75" hidden="false" customHeight="false" outlineLevel="0" collapsed="false">
      <c r="A722" s="9" t="n">
        <v>20</v>
      </c>
      <c r="B722" s="10" t="s">
        <v>21</v>
      </c>
      <c r="C722" s="11" t="n">
        <v>3141.628</v>
      </c>
      <c r="D722" s="10" t="s">
        <v>12</v>
      </c>
      <c r="E722" s="12" t="n">
        <v>8</v>
      </c>
      <c r="F722" s="12" t="n">
        <v>8</v>
      </c>
      <c r="G722" s="12" t="n">
        <v>0</v>
      </c>
      <c r="H722" s="9" t="n">
        <v>3</v>
      </c>
      <c r="I722" s="9" t="n">
        <v>31</v>
      </c>
      <c r="J722" s="9" t="n">
        <v>2</v>
      </c>
      <c r="K722" s="13" t="s">
        <v>13</v>
      </c>
    </row>
    <row r="723" customFormat="false" ht="15.75" hidden="false" customHeight="false" outlineLevel="0" collapsed="false">
      <c r="A723" s="9" t="n">
        <v>9</v>
      </c>
      <c r="B723" s="10" t="s">
        <v>21</v>
      </c>
      <c r="C723" s="11" t="n">
        <v>683.207</v>
      </c>
      <c r="D723" s="10" t="s">
        <v>20</v>
      </c>
      <c r="E723" s="12" t="n">
        <v>0.5</v>
      </c>
      <c r="F723" s="12" t="n">
        <v>0.5</v>
      </c>
      <c r="G723" s="12" t="n">
        <v>0</v>
      </c>
      <c r="H723" s="9" t="n">
        <v>4</v>
      </c>
      <c r="I723" s="9" t="n">
        <v>34</v>
      </c>
      <c r="J723" s="9" t="n">
        <v>2</v>
      </c>
      <c r="K723" s="13" t="s">
        <v>16</v>
      </c>
    </row>
    <row r="724" customFormat="false" ht="15.75" hidden="false" customHeight="false" outlineLevel="0" collapsed="false">
      <c r="A724" s="9" t="n">
        <v>6</v>
      </c>
      <c r="B724" s="10" t="s">
        <v>22</v>
      </c>
      <c r="C724" s="11" t="n">
        <v>221.263</v>
      </c>
      <c r="D724" s="10" t="s">
        <v>20</v>
      </c>
      <c r="E724" s="12" t="n">
        <v>0.5</v>
      </c>
      <c r="F724" s="12" t="n">
        <v>0.5</v>
      </c>
      <c r="G724" s="12" t="n">
        <v>0</v>
      </c>
      <c r="H724" s="9" t="n">
        <v>4</v>
      </c>
      <c r="I724" s="9" t="n">
        <v>24</v>
      </c>
      <c r="J724" s="9" t="n">
        <v>1</v>
      </c>
      <c r="K724" s="13" t="s">
        <v>16</v>
      </c>
    </row>
    <row r="725" customFormat="false" ht="15.75" hidden="false" customHeight="false" outlineLevel="0" collapsed="false">
      <c r="A725" s="9" t="n">
        <v>12</v>
      </c>
      <c r="B725" s="10" t="s">
        <v>14</v>
      </c>
      <c r="C725" s="11" t="n">
        <v>627.508</v>
      </c>
      <c r="D725" s="10" t="s">
        <v>15</v>
      </c>
      <c r="E725" s="12" t="n">
        <v>2.5</v>
      </c>
      <c r="F725" s="12" t="n">
        <v>2.5</v>
      </c>
      <c r="G725" s="12" t="n">
        <v>0</v>
      </c>
      <c r="H725" s="9" t="n">
        <v>4</v>
      </c>
      <c r="I725" s="9" t="n">
        <v>24</v>
      </c>
      <c r="J725" s="9" t="n">
        <v>1</v>
      </c>
      <c r="K725" s="13" t="s">
        <v>16</v>
      </c>
    </row>
    <row r="726" customFormat="false" ht="15.75" hidden="false" customHeight="false" outlineLevel="0" collapsed="false">
      <c r="A726" s="9" t="n">
        <v>9</v>
      </c>
      <c r="B726" s="10" t="s">
        <v>14</v>
      </c>
      <c r="C726" s="11" t="n">
        <v>403.69</v>
      </c>
      <c r="D726" s="10" t="s">
        <v>15</v>
      </c>
      <c r="E726" s="12" t="n">
        <v>2.5</v>
      </c>
      <c r="F726" s="12" t="n">
        <v>2.5</v>
      </c>
      <c r="G726" s="12" t="n">
        <v>0</v>
      </c>
      <c r="H726" s="9" t="n">
        <v>4</v>
      </c>
      <c r="I726" s="9" t="n">
        <v>66</v>
      </c>
      <c r="J726" s="9" t="n">
        <v>1</v>
      </c>
      <c r="K726" s="13" t="s">
        <v>13</v>
      </c>
    </row>
    <row r="727" customFormat="false" ht="15.75" hidden="false" customHeight="false" outlineLevel="0" collapsed="false">
      <c r="A727" s="9" t="n">
        <v>27</v>
      </c>
      <c r="B727" s="10" t="s">
        <v>14</v>
      </c>
      <c r="C727" s="11" t="n">
        <v>1313.27</v>
      </c>
      <c r="D727" s="10" t="s">
        <v>15</v>
      </c>
      <c r="E727" s="12" t="n">
        <v>2.5</v>
      </c>
      <c r="F727" s="12" t="n">
        <v>2.5</v>
      </c>
      <c r="G727" s="12" t="n">
        <v>0</v>
      </c>
      <c r="H727" s="9" t="n">
        <v>3</v>
      </c>
      <c r="I727" s="9" t="n">
        <v>21</v>
      </c>
      <c r="J727" s="9" t="n">
        <v>1</v>
      </c>
      <c r="K727" s="13" t="s">
        <v>16</v>
      </c>
    </row>
    <row r="728" customFormat="false" ht="15.75" hidden="false" customHeight="false" outlineLevel="0" collapsed="false">
      <c r="A728" s="9" t="n">
        <v>6</v>
      </c>
      <c r="B728" s="10" t="s">
        <v>11</v>
      </c>
      <c r="C728" s="11" t="n">
        <v>127.75</v>
      </c>
      <c r="D728" s="10" t="s">
        <v>15</v>
      </c>
      <c r="E728" s="12" t="n">
        <v>2.5</v>
      </c>
      <c r="F728" s="12" t="n">
        <v>2.5</v>
      </c>
      <c r="G728" s="12" t="n">
        <v>0</v>
      </c>
      <c r="H728" s="9" t="n">
        <v>2</v>
      </c>
      <c r="I728" s="9" t="n">
        <v>41</v>
      </c>
      <c r="J728" s="9" t="n">
        <v>2</v>
      </c>
      <c r="K728" s="13" t="s">
        <v>13</v>
      </c>
    </row>
    <row r="729" customFormat="false" ht="15.75" hidden="false" customHeight="false" outlineLevel="0" collapsed="false">
      <c r="A729" s="9" t="n">
        <v>15</v>
      </c>
      <c r="B729" s="10" t="s">
        <v>11</v>
      </c>
      <c r="C729" s="11" t="n">
        <v>672.476</v>
      </c>
      <c r="D729" s="10" t="s">
        <v>15</v>
      </c>
      <c r="E729" s="12" t="n">
        <v>2.5</v>
      </c>
      <c r="F729" s="12" t="n">
        <v>2.5</v>
      </c>
      <c r="G729" s="12" t="n">
        <v>0</v>
      </c>
      <c r="H729" s="9" t="n">
        <v>2</v>
      </c>
      <c r="I729" s="9" t="n">
        <v>47</v>
      </c>
      <c r="J729" s="9" t="n">
        <v>2</v>
      </c>
      <c r="K729" s="13" t="s">
        <v>13</v>
      </c>
    </row>
    <row r="730" customFormat="false" ht="15.75" hidden="false" customHeight="false" outlineLevel="0" collapsed="false">
      <c r="A730" s="9" t="n">
        <v>18</v>
      </c>
      <c r="B730" s="10" t="s">
        <v>14</v>
      </c>
      <c r="C730" s="11" t="n">
        <v>961.702</v>
      </c>
      <c r="D730" s="10" t="s">
        <v>15</v>
      </c>
      <c r="E730" s="12" t="n">
        <v>2.5</v>
      </c>
      <c r="F730" s="12" t="n">
        <v>2.5</v>
      </c>
      <c r="G730" s="12" t="n">
        <v>0</v>
      </c>
      <c r="H730" s="9" t="n">
        <v>4</v>
      </c>
      <c r="I730" s="9" t="n">
        <v>25</v>
      </c>
      <c r="J730" s="9" t="n">
        <v>2</v>
      </c>
      <c r="K730" s="13" t="s">
        <v>16</v>
      </c>
    </row>
    <row r="731" customFormat="false" ht="15.75" hidden="false" customHeight="false" outlineLevel="0" collapsed="false">
      <c r="A731" s="9" t="n">
        <v>48</v>
      </c>
      <c r="B731" s="10" t="s">
        <v>22</v>
      </c>
      <c r="C731" s="11" t="n">
        <v>3278.576</v>
      </c>
      <c r="D731" s="10" t="s">
        <v>12</v>
      </c>
      <c r="E731" s="12" t="n">
        <v>8</v>
      </c>
      <c r="F731" s="12" t="n">
        <v>8</v>
      </c>
      <c r="G731" s="12" t="n">
        <v>0</v>
      </c>
      <c r="H731" s="9" t="n">
        <v>4</v>
      </c>
      <c r="I731" s="9" t="n">
        <v>59</v>
      </c>
      <c r="J731" s="9" t="n">
        <v>1</v>
      </c>
      <c r="K731" s="13" t="s">
        <v>16</v>
      </c>
    </row>
    <row r="732" customFormat="false" ht="15.75" hidden="false" customHeight="false" outlineLevel="0" collapsed="false">
      <c r="A732" s="9" t="n">
        <v>24</v>
      </c>
      <c r="B732" s="10" t="s">
        <v>11</v>
      </c>
      <c r="C732" s="11" t="n">
        <v>651.525</v>
      </c>
      <c r="D732" s="10" t="s">
        <v>15</v>
      </c>
      <c r="E732" s="12" t="n">
        <v>2.5</v>
      </c>
      <c r="F732" s="12" t="n">
        <v>2.5</v>
      </c>
      <c r="G732" s="12" t="n">
        <v>0</v>
      </c>
      <c r="H732" s="9" t="n">
        <v>2</v>
      </c>
      <c r="I732" s="9" t="n">
        <v>36</v>
      </c>
      <c r="J732" s="9" t="n">
        <v>2</v>
      </c>
      <c r="K732" s="13" t="s">
        <v>13</v>
      </c>
    </row>
    <row r="733" customFormat="false" ht="15.75" hidden="false" customHeight="false" outlineLevel="0" collapsed="false">
      <c r="A733" s="9" t="n">
        <v>24</v>
      </c>
      <c r="B733" s="10" t="s">
        <v>18</v>
      </c>
      <c r="C733" s="11" t="n">
        <v>3271.933</v>
      </c>
      <c r="D733" s="10" t="s">
        <v>20</v>
      </c>
      <c r="E733" s="12" t="n">
        <v>0.5</v>
      </c>
      <c r="F733" s="12" t="n">
        <v>0.5</v>
      </c>
      <c r="G733" s="12" t="n">
        <v>0</v>
      </c>
      <c r="H733" s="9" t="n">
        <v>1</v>
      </c>
      <c r="I733" s="9" t="n">
        <v>33</v>
      </c>
      <c r="J733" s="9" t="n">
        <v>1</v>
      </c>
      <c r="K733" s="13" t="s">
        <v>13</v>
      </c>
    </row>
    <row r="734" customFormat="false" ht="15.75" hidden="false" customHeight="false" outlineLevel="0" collapsed="false">
      <c r="A734" s="9" t="n">
        <v>24</v>
      </c>
      <c r="B734" s="10" t="s">
        <v>14</v>
      </c>
      <c r="C734" s="11" t="n">
        <v>1015.357</v>
      </c>
      <c r="D734" s="10" t="s">
        <v>15</v>
      </c>
      <c r="E734" s="12" t="n">
        <v>2.5</v>
      </c>
      <c r="F734" s="12" t="n">
        <v>2.5</v>
      </c>
      <c r="G734" s="12" t="n">
        <v>0</v>
      </c>
      <c r="H734" s="9" t="n">
        <v>2</v>
      </c>
      <c r="I734" s="9" t="n">
        <v>21</v>
      </c>
      <c r="J734" s="9" t="n">
        <v>1</v>
      </c>
      <c r="K734" s="13" t="s">
        <v>16</v>
      </c>
    </row>
    <row r="735" customFormat="false" ht="15.75" hidden="false" customHeight="false" outlineLevel="0" collapsed="false">
      <c r="A735" s="9" t="n">
        <v>8</v>
      </c>
      <c r="B735" s="10" t="s">
        <v>14</v>
      </c>
      <c r="C735" s="11" t="n">
        <v>388.36</v>
      </c>
      <c r="D735" s="10" t="s">
        <v>17</v>
      </c>
      <c r="E735" s="12" t="n">
        <v>5.5</v>
      </c>
      <c r="F735" s="12" t="n">
        <v>5.5</v>
      </c>
      <c r="G735" s="12" t="n">
        <v>0</v>
      </c>
      <c r="H735" s="9" t="n">
        <v>4</v>
      </c>
      <c r="I735" s="9" t="n">
        <v>44</v>
      </c>
      <c r="J735" s="9" t="n">
        <v>1</v>
      </c>
      <c r="K735" s="13" t="s">
        <v>13</v>
      </c>
    </row>
    <row r="736" customFormat="false" ht="15.75" hidden="false" customHeight="false" outlineLevel="0" collapsed="false">
      <c r="A736" s="9" t="n">
        <v>24</v>
      </c>
      <c r="B736" s="10" t="s">
        <v>14</v>
      </c>
      <c r="C736" s="11" t="n">
        <v>1330.133</v>
      </c>
      <c r="D736" s="10" t="s">
        <v>15</v>
      </c>
      <c r="E736" s="12" t="n">
        <v>2.5</v>
      </c>
      <c r="F736" s="12" t="n">
        <v>2.5</v>
      </c>
      <c r="G736" s="12" t="n">
        <v>0</v>
      </c>
      <c r="H736" s="9" t="n">
        <v>2</v>
      </c>
      <c r="I736" s="9" t="n">
        <v>28</v>
      </c>
      <c r="J736" s="9" t="n">
        <v>1</v>
      </c>
      <c r="K736" s="13" t="s">
        <v>13</v>
      </c>
    </row>
    <row r="737" customFormat="false" ht="15.75" hidden="false" customHeight="false" outlineLevel="0" collapsed="false">
      <c r="A737" s="9" t="n">
        <v>4</v>
      </c>
      <c r="B737" s="10" t="s">
        <v>11</v>
      </c>
      <c r="C737" s="11" t="n">
        <v>1727.18</v>
      </c>
      <c r="D737" s="10" t="s">
        <v>17</v>
      </c>
      <c r="E737" s="12" t="n">
        <v>5.5</v>
      </c>
      <c r="F737" s="12" t="n">
        <v>5.5</v>
      </c>
      <c r="G737" s="12" t="n">
        <v>0</v>
      </c>
      <c r="H737" s="9" t="n">
        <v>1</v>
      </c>
      <c r="I737" s="9" t="n">
        <v>37</v>
      </c>
      <c r="J737" s="9" t="n">
        <v>1</v>
      </c>
      <c r="K737" s="13" t="s">
        <v>13</v>
      </c>
    </row>
    <row r="738" customFormat="false" ht="15.75" hidden="false" customHeight="false" outlineLevel="0" collapsed="false">
      <c r="A738" s="9" t="n">
        <v>36</v>
      </c>
      <c r="B738" s="10" t="s">
        <v>22</v>
      </c>
      <c r="C738" s="11" t="n">
        <v>2038.89</v>
      </c>
      <c r="D738" s="10" t="s">
        <v>20</v>
      </c>
      <c r="E738" s="12" t="n">
        <v>0.5</v>
      </c>
      <c r="F738" s="12" t="n">
        <v>0.5</v>
      </c>
      <c r="G738" s="12" t="n">
        <v>0</v>
      </c>
      <c r="H738" s="9" t="n">
        <v>3</v>
      </c>
      <c r="I738" s="9" t="n">
        <v>29</v>
      </c>
      <c r="J738" s="9" t="n">
        <v>1</v>
      </c>
      <c r="K738" s="13" t="s">
        <v>13</v>
      </c>
    </row>
    <row r="739" customFormat="false" ht="15.75" hidden="false" customHeight="false" outlineLevel="0" collapsed="false">
      <c r="A739" s="9" t="n">
        <v>24</v>
      </c>
      <c r="B739" s="10" t="s">
        <v>14</v>
      </c>
      <c r="C739" s="11" t="n">
        <v>5907.16</v>
      </c>
      <c r="D739" s="10" t="s">
        <v>15</v>
      </c>
      <c r="E739" s="12" t="n">
        <v>2.5</v>
      </c>
      <c r="F739" s="12" t="n">
        <v>2.5</v>
      </c>
      <c r="G739" s="12" t="n">
        <v>0</v>
      </c>
      <c r="H739" s="9" t="n">
        <v>1</v>
      </c>
      <c r="I739" s="9" t="n">
        <v>23</v>
      </c>
      <c r="J739" s="9" t="n">
        <v>2</v>
      </c>
      <c r="K739" s="13" t="s">
        <v>16</v>
      </c>
    </row>
    <row r="740" customFormat="false" ht="15.75" hidden="false" customHeight="false" outlineLevel="0" collapsed="false">
      <c r="A740" s="9" t="n">
        <v>18</v>
      </c>
      <c r="B740" s="10" t="s">
        <v>14</v>
      </c>
      <c r="C740" s="11" t="n">
        <v>2238.18</v>
      </c>
      <c r="D740" s="10" t="s">
        <v>15</v>
      </c>
      <c r="E740" s="12" t="n">
        <v>2.5</v>
      </c>
      <c r="F740" s="12" t="n">
        <v>2.5</v>
      </c>
      <c r="G740" s="12" t="n">
        <v>0</v>
      </c>
      <c r="H740" s="9" t="n">
        <v>3</v>
      </c>
      <c r="I740" s="9" t="n">
        <v>35</v>
      </c>
      <c r="J740" s="9" t="n">
        <v>1</v>
      </c>
      <c r="K740" s="13" t="s">
        <v>13</v>
      </c>
    </row>
    <row r="741" customFormat="false" ht="15.75" hidden="false" customHeight="false" outlineLevel="0" collapsed="false">
      <c r="A741" s="9" t="n">
        <v>6</v>
      </c>
      <c r="B741" s="10" t="s">
        <v>11</v>
      </c>
      <c r="C741" s="11" t="n">
        <v>3454.871</v>
      </c>
      <c r="D741" s="10" t="s">
        <v>17</v>
      </c>
      <c r="E741" s="12" t="n">
        <v>5.5</v>
      </c>
      <c r="F741" s="12" t="n">
        <v>5.5</v>
      </c>
      <c r="G741" s="12" t="n">
        <v>0</v>
      </c>
      <c r="H741" s="9" t="n">
        <v>1</v>
      </c>
      <c r="I741" s="9" t="n">
        <v>45</v>
      </c>
      <c r="J741" s="9" t="n">
        <v>2</v>
      </c>
      <c r="K741" s="13" t="s">
        <v>13</v>
      </c>
    </row>
    <row r="742" customFormat="false" ht="15.75" hidden="false" customHeight="false" outlineLevel="0" collapsed="false">
      <c r="A742" s="9" t="n">
        <v>30</v>
      </c>
      <c r="B742" s="10" t="s">
        <v>21</v>
      </c>
      <c r="C742" s="11" t="n">
        <v>2187.08</v>
      </c>
      <c r="D742" s="10" t="s">
        <v>15</v>
      </c>
      <c r="E742" s="12" t="n">
        <v>2.5</v>
      </c>
      <c r="F742" s="12" t="n">
        <v>2.5</v>
      </c>
      <c r="G742" s="12" t="n">
        <v>0</v>
      </c>
      <c r="H742" s="9" t="n">
        <v>4</v>
      </c>
      <c r="I742" s="9" t="n">
        <v>26</v>
      </c>
      <c r="J742" s="9" t="n">
        <v>2</v>
      </c>
      <c r="K742" s="13" t="s">
        <v>16</v>
      </c>
    </row>
    <row r="743" customFormat="false" ht="15.75" hidden="false" customHeight="false" outlineLevel="0" collapsed="false">
      <c r="A743" s="9" t="n">
        <v>24</v>
      </c>
      <c r="B743" s="10" t="s">
        <v>22</v>
      </c>
      <c r="C743" s="11" t="n">
        <v>1188.075</v>
      </c>
      <c r="D743" s="10" t="s">
        <v>17</v>
      </c>
      <c r="E743" s="12" t="n">
        <v>5.5</v>
      </c>
      <c r="F743" s="12" t="n">
        <v>5.5</v>
      </c>
      <c r="G743" s="12" t="n">
        <v>0</v>
      </c>
      <c r="H743" s="9" t="n">
        <v>2</v>
      </c>
      <c r="I743" s="9" t="n">
        <v>32</v>
      </c>
      <c r="J743" s="9" t="n">
        <v>1</v>
      </c>
      <c r="K743" s="13" t="s">
        <v>13</v>
      </c>
    </row>
    <row r="744" customFormat="false" ht="15.75" hidden="false" customHeight="false" outlineLevel="0" collapsed="false">
      <c r="A744" s="9" t="n">
        <v>10</v>
      </c>
      <c r="B744" s="10" t="s">
        <v>22</v>
      </c>
      <c r="C744" s="11" t="n">
        <v>535.528</v>
      </c>
      <c r="D744" s="10" t="s">
        <v>15</v>
      </c>
      <c r="E744" s="12" t="n">
        <v>2.5</v>
      </c>
      <c r="F744" s="12" t="n">
        <v>2.5</v>
      </c>
      <c r="G744" s="12" t="n">
        <v>0</v>
      </c>
      <c r="H744" s="9" t="n">
        <v>4</v>
      </c>
      <c r="I744" s="9" t="n">
        <v>23</v>
      </c>
      <c r="J744" s="9" t="n">
        <v>1</v>
      </c>
      <c r="K744" s="13" t="s">
        <v>13</v>
      </c>
    </row>
    <row r="745" customFormat="false" ht="15.75" hidden="false" customHeight="false" outlineLevel="0" collapsed="false">
      <c r="A745" s="9" t="n">
        <v>21</v>
      </c>
      <c r="B745" s="10" t="s">
        <v>14</v>
      </c>
      <c r="C745" s="11" t="n">
        <v>1614.76</v>
      </c>
      <c r="D745" s="10" t="s">
        <v>12</v>
      </c>
      <c r="E745" s="12" t="n">
        <v>8</v>
      </c>
      <c r="F745" s="12" t="n">
        <v>8</v>
      </c>
      <c r="G745" s="12" t="n">
        <v>0</v>
      </c>
      <c r="H745" s="9" t="n">
        <v>4</v>
      </c>
      <c r="I745" s="9" t="n">
        <v>41</v>
      </c>
      <c r="J745" s="9" t="n">
        <v>1</v>
      </c>
      <c r="K745" s="13" t="s">
        <v>13</v>
      </c>
    </row>
    <row r="746" customFormat="false" ht="15.75" hidden="false" customHeight="false" outlineLevel="0" collapsed="false">
      <c r="A746" s="9" t="n">
        <v>24</v>
      </c>
      <c r="B746" s="10" t="s">
        <v>22</v>
      </c>
      <c r="C746" s="11" t="n">
        <v>1268.813</v>
      </c>
      <c r="D746" s="10" t="s">
        <v>15</v>
      </c>
      <c r="E746" s="12" t="n">
        <v>2.5</v>
      </c>
      <c r="F746" s="12" t="n">
        <v>2.5</v>
      </c>
      <c r="G746" s="12" t="n">
        <v>0</v>
      </c>
      <c r="H746" s="9" t="n">
        <v>4</v>
      </c>
      <c r="I746" s="9" t="n">
        <v>22</v>
      </c>
      <c r="J746" s="9" t="n">
        <v>1</v>
      </c>
      <c r="K746" s="13" t="s">
        <v>13</v>
      </c>
    </row>
    <row r="747" customFormat="false" ht="15.75" hidden="false" customHeight="false" outlineLevel="0" collapsed="false">
      <c r="A747" s="9" t="n">
        <v>39</v>
      </c>
      <c r="B747" s="10" t="s">
        <v>11</v>
      </c>
      <c r="C747" s="11" t="n">
        <v>7245.469</v>
      </c>
      <c r="D747" s="10" t="s">
        <v>17</v>
      </c>
      <c r="E747" s="12" t="n">
        <v>5.5</v>
      </c>
      <c r="F747" s="12" t="n">
        <v>5.5</v>
      </c>
      <c r="G747" s="12" t="n">
        <v>0</v>
      </c>
      <c r="H747" s="9" t="n">
        <v>4</v>
      </c>
      <c r="I747" s="9" t="n">
        <v>30</v>
      </c>
      <c r="J747" s="9" t="n">
        <v>2</v>
      </c>
      <c r="K747" s="13" t="s">
        <v>13</v>
      </c>
    </row>
    <row r="748" customFormat="false" ht="15.75" hidden="false" customHeight="false" outlineLevel="0" collapsed="false">
      <c r="A748" s="9" t="n">
        <v>13</v>
      </c>
      <c r="B748" s="10" t="s">
        <v>11</v>
      </c>
      <c r="C748" s="11" t="n">
        <v>918.267</v>
      </c>
      <c r="D748" s="10" t="s">
        <v>20</v>
      </c>
      <c r="E748" s="12" t="n">
        <v>0.5</v>
      </c>
      <c r="F748" s="12" t="n">
        <v>0.5</v>
      </c>
      <c r="G748" s="12" t="n">
        <v>0</v>
      </c>
      <c r="H748" s="9" t="n">
        <v>3</v>
      </c>
      <c r="I748" s="9" t="n">
        <v>28</v>
      </c>
      <c r="J748" s="9" t="n">
        <v>2</v>
      </c>
      <c r="K748" s="13" t="s">
        <v>13</v>
      </c>
    </row>
    <row r="749" customFormat="false" ht="15.75" hidden="false" customHeight="false" outlineLevel="0" collapsed="false">
      <c r="A749" s="9" t="n">
        <v>15</v>
      </c>
      <c r="B749" s="10" t="s">
        <v>14</v>
      </c>
      <c r="C749" s="11" t="n">
        <v>1283.121</v>
      </c>
      <c r="D749" s="10" t="s">
        <v>19</v>
      </c>
      <c r="E749" s="12" t="n">
        <v>0</v>
      </c>
      <c r="F749" s="12" t="n">
        <v>0</v>
      </c>
      <c r="G749" s="12" t="n">
        <v>0</v>
      </c>
      <c r="H749" s="9" t="n">
        <v>1</v>
      </c>
      <c r="I749" s="9" t="n">
        <v>23</v>
      </c>
      <c r="J749" s="9" t="n">
        <v>1</v>
      </c>
      <c r="K749" s="13" t="s">
        <v>13</v>
      </c>
    </row>
    <row r="750" customFormat="false" ht="15.75" hidden="false" customHeight="false" outlineLevel="0" collapsed="false">
      <c r="A750" s="9" t="n">
        <v>12</v>
      </c>
      <c r="B750" s="10" t="s">
        <v>14</v>
      </c>
      <c r="C750" s="11" t="n">
        <v>651.014</v>
      </c>
      <c r="D750" s="10" t="s">
        <v>20</v>
      </c>
      <c r="E750" s="12" t="n">
        <v>0.5</v>
      </c>
      <c r="F750" s="12" t="n">
        <v>0.5</v>
      </c>
      <c r="G750" s="12" t="n">
        <v>0</v>
      </c>
      <c r="H750" s="9" t="n">
        <v>3</v>
      </c>
      <c r="I750" s="9" t="n">
        <v>37</v>
      </c>
      <c r="J750" s="9" t="n">
        <v>1</v>
      </c>
      <c r="K750" s="13" t="s">
        <v>16</v>
      </c>
    </row>
    <row r="751" customFormat="false" ht="15.75" hidden="false" customHeight="false" outlineLevel="0" collapsed="false">
      <c r="A751" s="9" t="n">
        <v>21</v>
      </c>
      <c r="B751" s="10" t="s">
        <v>14</v>
      </c>
      <c r="C751" s="11" t="n">
        <v>2681.728</v>
      </c>
      <c r="D751" s="10" t="s">
        <v>15</v>
      </c>
      <c r="E751" s="12" t="n">
        <v>2.5</v>
      </c>
      <c r="F751" s="12" t="n">
        <v>2.5</v>
      </c>
      <c r="G751" s="12" t="n">
        <v>0</v>
      </c>
      <c r="H751" s="9" t="n">
        <v>1</v>
      </c>
      <c r="I751" s="9" t="n">
        <v>26</v>
      </c>
      <c r="J751" s="9" t="n">
        <v>1</v>
      </c>
      <c r="K751" s="13" t="s">
        <v>13</v>
      </c>
    </row>
    <row r="752" customFormat="false" ht="15.75" hidden="false" customHeight="false" outlineLevel="0" collapsed="false">
      <c r="A752" s="9" t="n">
        <v>15</v>
      </c>
      <c r="B752" s="10" t="s">
        <v>14</v>
      </c>
      <c r="C752" s="11" t="n">
        <v>1547.819</v>
      </c>
      <c r="D752" s="10" t="s">
        <v>17</v>
      </c>
      <c r="E752" s="12" t="n">
        <v>5.5</v>
      </c>
      <c r="F752" s="12" t="n">
        <v>5.5</v>
      </c>
      <c r="G752" s="12" t="n">
        <v>0</v>
      </c>
      <c r="H752" s="9" t="n">
        <v>2</v>
      </c>
      <c r="I752" s="9" t="n">
        <v>33</v>
      </c>
      <c r="J752" s="9" t="n">
        <v>1</v>
      </c>
      <c r="K752" s="13" t="s">
        <v>13</v>
      </c>
    </row>
    <row r="753" customFormat="false" ht="15.75" hidden="false" customHeight="false" outlineLevel="0" collapsed="false">
      <c r="A753" s="9" t="n">
        <v>6</v>
      </c>
      <c r="B753" s="10" t="s">
        <v>14</v>
      </c>
      <c r="C753" s="11" t="n">
        <v>218.708</v>
      </c>
      <c r="D753" s="10" t="s">
        <v>12</v>
      </c>
      <c r="E753" s="12" t="n">
        <v>8</v>
      </c>
      <c r="F753" s="12" t="n">
        <v>8</v>
      </c>
      <c r="G753" s="12" t="n">
        <v>0</v>
      </c>
      <c r="H753" s="9" t="n">
        <v>2</v>
      </c>
      <c r="I753" s="9" t="n">
        <v>49</v>
      </c>
      <c r="J753" s="9" t="n">
        <v>1</v>
      </c>
      <c r="K753" s="13" t="s">
        <v>13</v>
      </c>
    </row>
    <row r="754" customFormat="false" ht="15.75" hidden="false" customHeight="false" outlineLevel="0" collapsed="false">
      <c r="A754" s="9" t="n">
        <v>18</v>
      </c>
      <c r="B754" s="10" t="s">
        <v>14</v>
      </c>
      <c r="C754" s="11" t="n">
        <v>498.736</v>
      </c>
      <c r="D754" s="10" t="s">
        <v>20</v>
      </c>
      <c r="E754" s="12" t="n">
        <v>0.5</v>
      </c>
      <c r="F754" s="12" t="n">
        <v>0.5</v>
      </c>
      <c r="G754" s="12" t="n">
        <v>0</v>
      </c>
      <c r="H754" s="9" t="n">
        <v>1</v>
      </c>
      <c r="I754" s="9" t="n">
        <v>23</v>
      </c>
      <c r="J754" s="9" t="n">
        <v>1</v>
      </c>
      <c r="K754" s="13" t="s">
        <v>16</v>
      </c>
    </row>
    <row r="755" customFormat="false" ht="15.75" hidden="false" customHeight="false" outlineLevel="0" collapsed="false">
      <c r="A755" s="9" t="n">
        <v>12</v>
      </c>
      <c r="B755" s="10" t="s">
        <v>14</v>
      </c>
      <c r="C755" s="11" t="n">
        <v>429.751</v>
      </c>
      <c r="D755" s="10" t="s">
        <v>17</v>
      </c>
      <c r="E755" s="12" t="n">
        <v>5.5</v>
      </c>
      <c r="F755" s="12" t="n">
        <v>5</v>
      </c>
      <c r="G755" s="12" t="n">
        <v>1</v>
      </c>
      <c r="H755" s="9" t="n">
        <v>2</v>
      </c>
      <c r="I755" s="9" t="n">
        <v>23</v>
      </c>
      <c r="J755" s="9" t="n">
        <v>1</v>
      </c>
      <c r="K755" s="13" t="s">
        <v>13</v>
      </c>
    </row>
    <row r="756" customFormat="false" ht="15.75" hidden="false" customHeight="false" outlineLevel="0" collapsed="false">
      <c r="A756" s="9" t="n">
        <v>30</v>
      </c>
      <c r="B756" s="10" t="s">
        <v>11</v>
      </c>
      <c r="C756" s="11" t="n">
        <v>2948.981</v>
      </c>
      <c r="D756" s="10" t="s">
        <v>17</v>
      </c>
      <c r="E756" s="12" t="n">
        <v>5.5</v>
      </c>
      <c r="F756" s="12" t="n">
        <v>5.5</v>
      </c>
      <c r="G756" s="12" t="n">
        <v>0</v>
      </c>
      <c r="H756" s="9" t="n">
        <v>4</v>
      </c>
      <c r="I756" s="9" t="n">
        <v>25</v>
      </c>
      <c r="J756" s="9" t="n">
        <v>2</v>
      </c>
      <c r="K756" s="13" t="s">
        <v>13</v>
      </c>
    </row>
    <row r="757" customFormat="false" ht="15.75" hidden="false" customHeight="false" outlineLevel="0" collapsed="false">
      <c r="A757" s="9" t="n">
        <v>12</v>
      </c>
      <c r="B757" s="10" t="s">
        <v>18</v>
      </c>
      <c r="C757" s="11" t="n">
        <v>794.605</v>
      </c>
      <c r="D757" s="10" t="s">
        <v>12</v>
      </c>
      <c r="E757" s="12" t="n">
        <v>8</v>
      </c>
      <c r="F757" s="12" t="n">
        <v>8</v>
      </c>
      <c r="G757" s="12" t="n">
        <v>0</v>
      </c>
      <c r="H757" s="9" t="n">
        <v>4</v>
      </c>
      <c r="I757" s="9" t="n">
        <v>55</v>
      </c>
      <c r="J757" s="9" t="n">
        <v>2</v>
      </c>
      <c r="K757" s="13" t="s">
        <v>16</v>
      </c>
    </row>
    <row r="758" customFormat="false" ht="15.75" hidden="false" customHeight="false" outlineLevel="0" collapsed="false">
      <c r="A758" s="9" t="n">
        <v>24</v>
      </c>
      <c r="B758" s="10" t="s">
        <v>14</v>
      </c>
      <c r="C758" s="11" t="n">
        <v>656.635</v>
      </c>
      <c r="D758" s="10" t="s">
        <v>17</v>
      </c>
      <c r="E758" s="12" t="n">
        <v>5.5</v>
      </c>
      <c r="F758" s="12" t="n">
        <v>5.5</v>
      </c>
      <c r="G758" s="12" t="n">
        <v>0</v>
      </c>
      <c r="H758" s="9" t="n">
        <v>4</v>
      </c>
      <c r="I758" s="9" t="n">
        <v>32</v>
      </c>
      <c r="J758" s="9" t="n">
        <v>1</v>
      </c>
      <c r="K758" s="13" t="s">
        <v>16</v>
      </c>
    </row>
    <row r="759" customFormat="false" ht="15.75" hidden="false" customHeight="false" outlineLevel="0" collapsed="false">
      <c r="A759" s="9" t="n">
        <v>6</v>
      </c>
      <c r="B759" s="10" t="s">
        <v>11</v>
      </c>
      <c r="C759" s="11" t="n">
        <v>663.789</v>
      </c>
      <c r="D759" s="10" t="s">
        <v>15</v>
      </c>
      <c r="E759" s="12" t="n">
        <v>2.5</v>
      </c>
      <c r="F759" s="12" t="n">
        <v>2.5</v>
      </c>
      <c r="G759" s="12" t="n">
        <v>0</v>
      </c>
      <c r="H759" s="9" t="n">
        <v>1</v>
      </c>
      <c r="I759" s="9" t="n">
        <v>74</v>
      </c>
      <c r="J759" s="9" t="n">
        <v>3</v>
      </c>
      <c r="K759" s="13" t="s">
        <v>13</v>
      </c>
    </row>
    <row r="760" customFormat="false" ht="15.75" hidden="false" customHeight="false" outlineLevel="0" collapsed="false">
      <c r="A760" s="9" t="n">
        <v>15</v>
      </c>
      <c r="B760" s="10" t="s">
        <v>11</v>
      </c>
      <c r="C760" s="11" t="n">
        <v>649.481</v>
      </c>
      <c r="D760" s="10" t="s">
        <v>15</v>
      </c>
      <c r="E760" s="12" t="n">
        <v>2.5</v>
      </c>
      <c r="F760" s="12" t="n">
        <v>2.5</v>
      </c>
      <c r="G760" s="12" t="n">
        <v>0</v>
      </c>
      <c r="H760" s="9" t="n">
        <v>3</v>
      </c>
      <c r="I760" s="9" t="n">
        <v>39</v>
      </c>
      <c r="J760" s="9" t="n">
        <v>2</v>
      </c>
      <c r="K760" s="13" t="s">
        <v>16</v>
      </c>
    </row>
    <row r="761" customFormat="false" ht="15.75" hidden="false" customHeight="false" outlineLevel="0" collapsed="false">
      <c r="A761" s="9" t="n">
        <v>24</v>
      </c>
      <c r="B761" s="10" t="s">
        <v>14</v>
      </c>
      <c r="C761" s="11" t="n">
        <v>711.823</v>
      </c>
      <c r="D761" s="10" t="s">
        <v>15</v>
      </c>
      <c r="E761" s="12" t="n">
        <v>2.5</v>
      </c>
      <c r="F761" s="12" t="n">
        <v>2.5</v>
      </c>
      <c r="G761" s="12" t="n">
        <v>0</v>
      </c>
      <c r="H761" s="9" t="n">
        <v>2</v>
      </c>
      <c r="I761" s="9" t="n">
        <v>31</v>
      </c>
      <c r="J761" s="9" t="n">
        <v>1</v>
      </c>
      <c r="K761" s="13" t="s">
        <v>13</v>
      </c>
    </row>
    <row r="762" customFormat="false" ht="15.75" hidden="false" customHeight="false" outlineLevel="0" collapsed="false">
      <c r="A762" s="9" t="n">
        <v>12</v>
      </c>
      <c r="B762" s="10" t="s">
        <v>11</v>
      </c>
      <c r="C762" s="11" t="n">
        <v>353.101</v>
      </c>
      <c r="D762" s="10" t="s">
        <v>12</v>
      </c>
      <c r="E762" s="12" t="n">
        <v>8</v>
      </c>
      <c r="F762" s="12" t="n">
        <v>8</v>
      </c>
      <c r="G762" s="12" t="n">
        <v>0</v>
      </c>
      <c r="H762" s="9" t="n">
        <v>4</v>
      </c>
      <c r="I762" s="9" t="n">
        <v>35</v>
      </c>
      <c r="J762" s="9" t="n">
        <v>2</v>
      </c>
      <c r="K762" s="13" t="s">
        <v>16</v>
      </c>
    </row>
    <row r="763" customFormat="false" ht="15.75" hidden="false" customHeight="false" outlineLevel="0" collapsed="false">
      <c r="A763" s="9" t="n">
        <v>15</v>
      </c>
      <c r="B763" s="10" t="s">
        <v>11</v>
      </c>
      <c r="C763" s="11" t="n">
        <v>2577.995</v>
      </c>
      <c r="D763" s="10" t="s">
        <v>12</v>
      </c>
      <c r="E763" s="12" t="n">
        <v>8</v>
      </c>
      <c r="F763" s="12" t="n">
        <v>8</v>
      </c>
      <c r="G763" s="12" t="n">
        <v>0</v>
      </c>
      <c r="H763" s="9" t="n">
        <v>1</v>
      </c>
      <c r="I763" s="9" t="n">
        <v>59</v>
      </c>
      <c r="J763" s="9" t="n">
        <v>1</v>
      </c>
      <c r="K763" s="13" t="s">
        <v>13</v>
      </c>
    </row>
    <row r="764" customFormat="false" ht="15.75" hidden="false" customHeight="false" outlineLevel="0" collapsed="false">
      <c r="A764" s="9" t="n">
        <v>18</v>
      </c>
      <c r="B764" s="10" t="s">
        <v>11</v>
      </c>
      <c r="C764" s="11" t="n">
        <v>1085.364</v>
      </c>
      <c r="D764" s="10" t="s">
        <v>15</v>
      </c>
      <c r="E764" s="12" t="n">
        <v>2.5</v>
      </c>
      <c r="F764" s="12" t="n">
        <v>2.5</v>
      </c>
      <c r="G764" s="12" t="n">
        <v>0</v>
      </c>
      <c r="H764" s="9" t="n">
        <v>4</v>
      </c>
      <c r="I764" s="9" t="n">
        <v>24</v>
      </c>
      <c r="J764" s="9" t="n">
        <v>2</v>
      </c>
      <c r="K764" s="13" t="s">
        <v>16</v>
      </c>
    </row>
    <row r="765" customFormat="false" ht="15.75" hidden="false" customHeight="false" outlineLevel="0" collapsed="false">
      <c r="A765" s="9" t="n">
        <v>12</v>
      </c>
      <c r="B765" s="10" t="s">
        <v>14</v>
      </c>
      <c r="C765" s="11" t="n">
        <v>1131.354</v>
      </c>
      <c r="D765" s="10" t="s">
        <v>15</v>
      </c>
      <c r="E765" s="12" t="n">
        <v>2.5</v>
      </c>
      <c r="F765" s="12" t="n">
        <v>2.5</v>
      </c>
      <c r="G765" s="12" t="n">
        <v>0</v>
      </c>
      <c r="H765" s="9" t="n">
        <v>4</v>
      </c>
      <c r="I765" s="9" t="n">
        <v>24</v>
      </c>
      <c r="J765" s="9" t="n">
        <v>1</v>
      </c>
      <c r="K765" s="13" t="s">
        <v>13</v>
      </c>
    </row>
    <row r="766" customFormat="false" ht="15.75" hidden="false" customHeight="false" outlineLevel="0" collapsed="false">
      <c r="A766" s="9" t="n">
        <v>21</v>
      </c>
      <c r="B766" s="10" t="s">
        <v>11</v>
      </c>
      <c r="C766" s="11" t="n">
        <v>6479.48</v>
      </c>
      <c r="D766" s="10" t="s">
        <v>12</v>
      </c>
      <c r="E766" s="12" t="n">
        <v>8</v>
      </c>
      <c r="F766" s="12" t="n">
        <v>8</v>
      </c>
      <c r="G766" s="12" t="n">
        <v>0</v>
      </c>
      <c r="H766" s="9" t="n">
        <v>4</v>
      </c>
      <c r="I766" s="9" t="n">
        <v>30</v>
      </c>
      <c r="J766" s="9" t="n">
        <v>1</v>
      </c>
      <c r="K766" s="13" t="s">
        <v>16</v>
      </c>
    </row>
    <row r="767" customFormat="false" ht="15.75" hidden="false" customHeight="false" outlineLevel="0" collapsed="false">
      <c r="A767" s="9" t="n">
        <v>24</v>
      </c>
      <c r="B767" s="10" t="s">
        <v>11</v>
      </c>
      <c r="C767" s="11" t="n">
        <v>1258.593</v>
      </c>
      <c r="D767" s="10" t="s">
        <v>17</v>
      </c>
      <c r="E767" s="12" t="n">
        <v>5.5</v>
      </c>
      <c r="F767" s="12" t="n">
        <v>5.5</v>
      </c>
      <c r="G767" s="12" t="n">
        <v>0</v>
      </c>
      <c r="H767" s="9" t="n">
        <v>4</v>
      </c>
      <c r="I767" s="9" t="n">
        <v>27</v>
      </c>
      <c r="J767" s="9" t="n">
        <v>2</v>
      </c>
      <c r="K767" s="13" t="s">
        <v>13</v>
      </c>
    </row>
    <row r="768" customFormat="false" ht="15.75" hidden="false" customHeight="false" outlineLevel="0" collapsed="false">
      <c r="A768" s="9" t="n">
        <v>12</v>
      </c>
      <c r="B768" s="10" t="s">
        <v>14</v>
      </c>
      <c r="C768" s="11" t="n">
        <v>590.205</v>
      </c>
      <c r="D768" s="10" t="s">
        <v>12</v>
      </c>
      <c r="E768" s="12" t="n">
        <v>8</v>
      </c>
      <c r="F768" s="12" t="n">
        <v>8</v>
      </c>
      <c r="G768" s="12" t="n">
        <v>0</v>
      </c>
      <c r="H768" s="9" t="n">
        <v>3</v>
      </c>
      <c r="I768" s="9" t="n">
        <v>40</v>
      </c>
      <c r="J768" s="9" t="n">
        <v>2</v>
      </c>
      <c r="K768" s="13" t="s">
        <v>13</v>
      </c>
    </row>
    <row r="769" customFormat="false" ht="15.75" hidden="false" customHeight="false" outlineLevel="0" collapsed="false">
      <c r="A769" s="9" t="n">
        <v>30</v>
      </c>
      <c r="B769" s="10" t="s">
        <v>14</v>
      </c>
      <c r="C769" s="11" t="n">
        <v>1588.188</v>
      </c>
      <c r="D769" s="10" t="s">
        <v>20</v>
      </c>
      <c r="E769" s="12" t="n">
        <v>0.5</v>
      </c>
      <c r="F769" s="12" t="n">
        <v>0.5</v>
      </c>
      <c r="G769" s="12" t="n">
        <v>0</v>
      </c>
      <c r="H769" s="9" t="n">
        <v>2</v>
      </c>
      <c r="I769" s="9" t="n">
        <v>31</v>
      </c>
      <c r="J769" s="9" t="n">
        <v>1</v>
      </c>
      <c r="K769" s="13" t="s">
        <v>16</v>
      </c>
    </row>
    <row r="770" customFormat="false" ht="15.75" hidden="false" customHeight="false" outlineLevel="0" collapsed="false">
      <c r="A770" s="9" t="n">
        <v>10</v>
      </c>
      <c r="B770" s="10" t="s">
        <v>14</v>
      </c>
      <c r="C770" s="11" t="n">
        <v>1482.411</v>
      </c>
      <c r="D770" s="10" t="s">
        <v>20</v>
      </c>
      <c r="E770" s="12" t="n">
        <v>0.5</v>
      </c>
      <c r="F770" s="12" t="n">
        <v>0.5</v>
      </c>
      <c r="G770" s="12" t="n">
        <v>0</v>
      </c>
      <c r="H770" s="9" t="n">
        <v>1</v>
      </c>
      <c r="I770" s="9" t="n">
        <v>31</v>
      </c>
      <c r="J770" s="9" t="n">
        <v>1</v>
      </c>
      <c r="K770" s="13" t="s">
        <v>13</v>
      </c>
    </row>
    <row r="771" customFormat="false" ht="15.75" hidden="false" customHeight="false" outlineLevel="0" collapsed="false">
      <c r="A771" s="9" t="n">
        <v>12</v>
      </c>
      <c r="B771" s="10" t="s">
        <v>11</v>
      </c>
      <c r="C771" s="11" t="n">
        <v>1848.287</v>
      </c>
      <c r="D771" s="10" t="s">
        <v>12</v>
      </c>
      <c r="E771" s="12" t="n">
        <v>8</v>
      </c>
      <c r="F771" s="12" t="n">
        <v>8</v>
      </c>
      <c r="G771" s="12" t="n">
        <v>0</v>
      </c>
      <c r="H771" s="9" t="n">
        <v>1</v>
      </c>
      <c r="I771" s="9" t="n">
        <v>28</v>
      </c>
      <c r="J771" s="9" t="n">
        <v>3</v>
      </c>
      <c r="K771" s="13" t="s">
        <v>13</v>
      </c>
    </row>
    <row r="772" customFormat="false" ht="15.75" hidden="false" customHeight="false" outlineLevel="0" collapsed="false">
      <c r="A772" s="9" t="n">
        <v>12</v>
      </c>
      <c r="B772" s="10" t="s">
        <v>11</v>
      </c>
      <c r="C772" s="11" t="n">
        <v>845.705</v>
      </c>
      <c r="D772" s="10" t="s">
        <v>12</v>
      </c>
      <c r="E772" s="12" t="n">
        <v>8</v>
      </c>
      <c r="F772" s="12" t="n">
        <v>8</v>
      </c>
      <c r="G772" s="12" t="n">
        <v>0</v>
      </c>
      <c r="H772" s="9" t="n">
        <v>2</v>
      </c>
      <c r="I772" s="9" t="n">
        <v>63</v>
      </c>
      <c r="J772" s="9" t="n">
        <v>2</v>
      </c>
      <c r="K772" s="13" t="s">
        <v>13</v>
      </c>
    </row>
    <row r="773" customFormat="false" ht="15.75" hidden="false" customHeight="false" outlineLevel="0" collapsed="false">
      <c r="A773" s="9" t="n">
        <v>24</v>
      </c>
      <c r="B773" s="10" t="s">
        <v>14</v>
      </c>
      <c r="C773" s="11" t="n">
        <v>1436.932</v>
      </c>
      <c r="D773" s="10" t="s">
        <v>12</v>
      </c>
      <c r="E773" s="12" t="n">
        <v>8</v>
      </c>
      <c r="F773" s="12" t="n">
        <v>8</v>
      </c>
      <c r="G773" s="12" t="n">
        <v>0</v>
      </c>
      <c r="H773" s="9" t="n">
        <v>2</v>
      </c>
      <c r="I773" s="9" t="n">
        <v>26</v>
      </c>
      <c r="J773" s="9" t="n">
        <v>1</v>
      </c>
      <c r="K773" s="13" t="s">
        <v>13</v>
      </c>
    </row>
    <row r="774" customFormat="false" ht="15.75" hidden="false" customHeight="false" outlineLevel="0" collapsed="false">
      <c r="A774" s="9" t="n">
        <v>36</v>
      </c>
      <c r="B774" s="10" t="s">
        <v>11</v>
      </c>
      <c r="C774" s="11" t="n">
        <v>4121.215</v>
      </c>
      <c r="D774" s="10" t="s">
        <v>15</v>
      </c>
      <c r="E774" s="12" t="n">
        <v>2.5</v>
      </c>
      <c r="F774" s="12" t="n">
        <v>2.5</v>
      </c>
      <c r="G774" s="12" t="n">
        <v>0</v>
      </c>
      <c r="H774" s="9" t="n">
        <v>3</v>
      </c>
      <c r="I774" s="9" t="n">
        <v>25</v>
      </c>
      <c r="J774" s="9" t="n">
        <v>2</v>
      </c>
      <c r="K774" s="13" t="s">
        <v>16</v>
      </c>
    </row>
    <row r="775" customFormat="false" ht="15.75" hidden="false" customHeight="false" outlineLevel="0" collapsed="false">
      <c r="A775" s="9" t="n">
        <v>21</v>
      </c>
      <c r="B775" s="10" t="s">
        <v>11</v>
      </c>
      <c r="C775" s="11" t="n">
        <v>1673.525</v>
      </c>
      <c r="D775" s="10" t="s">
        <v>12</v>
      </c>
      <c r="E775" s="12" t="n">
        <v>8</v>
      </c>
      <c r="F775" s="12" t="n">
        <v>8</v>
      </c>
      <c r="G775" s="12" t="n">
        <v>0</v>
      </c>
      <c r="H775" s="9" t="n">
        <v>1</v>
      </c>
      <c r="I775" s="9" t="n">
        <v>36</v>
      </c>
      <c r="J775" s="9" t="n">
        <v>1</v>
      </c>
      <c r="K775" s="13" t="s">
        <v>13</v>
      </c>
    </row>
    <row r="776" customFormat="false" ht="15.75" hidden="false" customHeight="false" outlineLevel="0" collapsed="false">
      <c r="A776" s="9" t="n">
        <v>24</v>
      </c>
      <c r="B776" s="10" t="s">
        <v>11</v>
      </c>
      <c r="C776" s="11" t="n">
        <v>1135.953</v>
      </c>
      <c r="D776" s="10" t="s">
        <v>12</v>
      </c>
      <c r="E776" s="12" t="n">
        <v>8</v>
      </c>
      <c r="F776" s="12" t="n">
        <v>8</v>
      </c>
      <c r="G776" s="12" t="n">
        <v>0</v>
      </c>
      <c r="H776" s="9" t="n">
        <v>4</v>
      </c>
      <c r="I776" s="9" t="n">
        <v>52</v>
      </c>
      <c r="J776" s="9" t="n">
        <v>2</v>
      </c>
      <c r="K776" s="13" t="s">
        <v>13</v>
      </c>
    </row>
    <row r="777" customFormat="false" ht="15.75" hidden="false" customHeight="false" outlineLevel="0" collapsed="false">
      <c r="A777" s="9" t="n">
        <v>12</v>
      </c>
      <c r="B777" s="10" t="s">
        <v>11</v>
      </c>
      <c r="C777" s="11" t="n">
        <v>756.28</v>
      </c>
      <c r="D777" s="10" t="s">
        <v>19</v>
      </c>
      <c r="E777" s="12" t="n">
        <v>0</v>
      </c>
      <c r="F777" s="12" t="n">
        <v>0</v>
      </c>
      <c r="G777" s="12" t="n">
        <v>0</v>
      </c>
      <c r="H777" s="9" t="n">
        <v>2</v>
      </c>
      <c r="I777" s="9" t="n">
        <v>66</v>
      </c>
      <c r="J777" s="9" t="n">
        <v>3</v>
      </c>
      <c r="K777" s="13" t="s">
        <v>13</v>
      </c>
    </row>
    <row r="778" customFormat="false" ht="15.75" hidden="false" customHeight="false" outlineLevel="0" collapsed="false">
      <c r="A778" s="9" t="n">
        <v>24</v>
      </c>
      <c r="B778" s="10" t="s">
        <v>14</v>
      </c>
      <c r="C778" s="11" t="n">
        <v>700.581</v>
      </c>
      <c r="D778" s="10" t="s">
        <v>15</v>
      </c>
      <c r="E778" s="12" t="n">
        <v>2.5</v>
      </c>
      <c r="F778" s="12" t="n">
        <v>2.5</v>
      </c>
      <c r="G778" s="12" t="n">
        <v>0</v>
      </c>
      <c r="H778" s="9" t="n">
        <v>4</v>
      </c>
      <c r="I778" s="9" t="n">
        <v>25</v>
      </c>
      <c r="J778" s="9" t="n">
        <v>1</v>
      </c>
      <c r="K778" s="13" t="s">
        <v>16</v>
      </c>
    </row>
    <row r="779" customFormat="false" ht="15.75" hidden="false" customHeight="false" outlineLevel="0" collapsed="false">
      <c r="A779" s="9" t="n">
        <v>36</v>
      </c>
      <c r="B779" s="10" t="s">
        <v>11</v>
      </c>
      <c r="C779" s="11" t="n">
        <v>1806.385</v>
      </c>
      <c r="D779" s="10" t="s">
        <v>17</v>
      </c>
      <c r="E779" s="12" t="n">
        <v>5.5</v>
      </c>
      <c r="F779" s="12" t="n">
        <v>5.5</v>
      </c>
      <c r="G779" s="12" t="n">
        <v>0</v>
      </c>
      <c r="H779" s="9" t="n">
        <v>4</v>
      </c>
      <c r="I779" s="9" t="n">
        <v>37</v>
      </c>
      <c r="J779" s="9" t="n">
        <v>2</v>
      </c>
      <c r="K779" s="13" t="s">
        <v>13</v>
      </c>
    </row>
    <row r="780" customFormat="false" ht="15.75" hidden="false" customHeight="false" outlineLevel="0" collapsed="false">
      <c r="A780" s="9" t="n">
        <v>18</v>
      </c>
      <c r="B780" s="10" t="s">
        <v>14</v>
      </c>
      <c r="C780" s="11" t="n">
        <v>1793.099</v>
      </c>
      <c r="D780" s="10" t="s">
        <v>17</v>
      </c>
      <c r="E780" s="12" t="n">
        <v>5.5</v>
      </c>
      <c r="F780" s="12" t="n">
        <v>5.5</v>
      </c>
      <c r="G780" s="12" t="n">
        <v>0</v>
      </c>
      <c r="H780" s="9" t="n">
        <v>4</v>
      </c>
      <c r="I780" s="9" t="n">
        <v>25</v>
      </c>
      <c r="J780" s="9" t="n">
        <v>1</v>
      </c>
      <c r="K780" s="13" t="s">
        <v>13</v>
      </c>
    </row>
    <row r="781" customFormat="false" ht="15.75" hidden="false" customHeight="false" outlineLevel="0" collapsed="false">
      <c r="A781" s="9" t="n">
        <v>36</v>
      </c>
      <c r="B781" s="10" t="s">
        <v>11</v>
      </c>
      <c r="C781" s="11" t="n">
        <v>2918.321</v>
      </c>
      <c r="D781" s="10" t="s">
        <v>12</v>
      </c>
      <c r="E781" s="12" t="n">
        <v>8</v>
      </c>
      <c r="F781" s="12" t="n">
        <v>8</v>
      </c>
      <c r="G781" s="12" t="n">
        <v>0</v>
      </c>
      <c r="H781" s="9" t="n">
        <v>4</v>
      </c>
      <c r="I781" s="9" t="n">
        <v>38</v>
      </c>
      <c r="J781" s="9" t="n">
        <v>2</v>
      </c>
      <c r="K781" s="13" t="s">
        <v>13</v>
      </c>
    </row>
    <row r="782" customFormat="false" ht="15.75" hidden="false" customHeight="false" outlineLevel="0" collapsed="false">
      <c r="A782" s="9" t="n">
        <v>18</v>
      </c>
      <c r="B782" s="10" t="s">
        <v>14</v>
      </c>
      <c r="C782" s="11" t="n">
        <v>1978.592</v>
      </c>
      <c r="D782" s="10" t="s">
        <v>19</v>
      </c>
      <c r="E782" s="12" t="n">
        <v>0</v>
      </c>
      <c r="F782" s="12" t="n">
        <v>0</v>
      </c>
      <c r="G782" s="12" t="n">
        <v>0</v>
      </c>
      <c r="H782" s="9" t="n">
        <v>2</v>
      </c>
      <c r="I782" s="9" t="n">
        <v>67</v>
      </c>
      <c r="J782" s="9" t="n">
        <v>1</v>
      </c>
      <c r="K782" s="13" t="s">
        <v>13</v>
      </c>
    </row>
    <row r="783" customFormat="false" ht="15.75" hidden="false" customHeight="false" outlineLevel="0" collapsed="false">
      <c r="A783" s="9" t="n">
        <v>39</v>
      </c>
      <c r="B783" s="10" t="s">
        <v>11</v>
      </c>
      <c r="C783" s="11" t="n">
        <v>2520.763</v>
      </c>
      <c r="D783" s="10" t="s">
        <v>17</v>
      </c>
      <c r="E783" s="12" t="n">
        <v>5.5</v>
      </c>
      <c r="F783" s="12" t="n">
        <v>5.5</v>
      </c>
      <c r="G783" s="12" t="n">
        <v>0</v>
      </c>
      <c r="H783" s="9" t="n">
        <v>2</v>
      </c>
      <c r="I783" s="9" t="n">
        <v>25</v>
      </c>
      <c r="J783" s="9" t="n">
        <v>2</v>
      </c>
      <c r="K783" s="13" t="s">
        <v>16</v>
      </c>
    </row>
    <row r="784" customFormat="false" ht="15.75" hidden="false" customHeight="false" outlineLevel="0" collapsed="false">
      <c r="A784" s="9" t="n">
        <v>24</v>
      </c>
      <c r="B784" s="10" t="s">
        <v>11</v>
      </c>
      <c r="C784" s="11" t="n">
        <v>991.34</v>
      </c>
      <c r="D784" s="10" t="s">
        <v>12</v>
      </c>
      <c r="E784" s="12" t="n">
        <v>8</v>
      </c>
      <c r="F784" s="12" t="n">
        <v>8</v>
      </c>
      <c r="G784" s="12" t="n">
        <v>0</v>
      </c>
      <c r="H784" s="9" t="n">
        <v>4</v>
      </c>
      <c r="I784" s="9" t="n">
        <v>60</v>
      </c>
      <c r="J784" s="9" t="n">
        <v>1</v>
      </c>
      <c r="K784" s="13" t="s">
        <v>13</v>
      </c>
    </row>
    <row r="785" customFormat="false" ht="15.75" hidden="false" customHeight="false" outlineLevel="0" collapsed="false">
      <c r="A785" s="9" t="n">
        <v>12</v>
      </c>
      <c r="B785" s="10" t="s">
        <v>21</v>
      </c>
      <c r="C785" s="11" t="n">
        <v>720.51</v>
      </c>
      <c r="D785" s="10" t="s">
        <v>15</v>
      </c>
      <c r="E785" s="12" t="n">
        <v>2.5</v>
      </c>
      <c r="F785" s="12" t="n">
        <v>2.5</v>
      </c>
      <c r="G785" s="12" t="n">
        <v>0</v>
      </c>
      <c r="H785" s="9" t="n">
        <v>2</v>
      </c>
      <c r="I785" s="9" t="n">
        <v>31</v>
      </c>
      <c r="J785" s="9" t="n">
        <v>1</v>
      </c>
      <c r="K785" s="13" t="s">
        <v>13</v>
      </c>
    </row>
    <row r="786" customFormat="false" ht="15.75" hidden="false" customHeight="false" outlineLevel="0" collapsed="false">
      <c r="A786" s="9" t="n">
        <v>12</v>
      </c>
      <c r="B786" s="10" t="s">
        <v>14</v>
      </c>
      <c r="C786" s="11" t="n">
        <v>427.196</v>
      </c>
      <c r="D786" s="10" t="s">
        <v>20</v>
      </c>
      <c r="E786" s="12" t="n">
        <v>0.5</v>
      </c>
      <c r="F786" s="12" t="n">
        <v>0.5</v>
      </c>
      <c r="G786" s="12" t="n">
        <v>0</v>
      </c>
      <c r="H786" s="9" t="n">
        <v>4</v>
      </c>
      <c r="I786" s="9" t="n">
        <v>23</v>
      </c>
      <c r="J786" s="9" t="n">
        <v>1</v>
      </c>
      <c r="K786" s="13" t="s">
        <v>16</v>
      </c>
    </row>
    <row r="787" customFormat="false" ht="15.75" hidden="false" customHeight="false" outlineLevel="0" collapsed="false">
      <c r="A787" s="9" t="n">
        <v>20</v>
      </c>
      <c r="B787" s="10" t="s">
        <v>14</v>
      </c>
      <c r="C787" s="11" t="n">
        <v>3305.148</v>
      </c>
      <c r="D787" s="10" t="s">
        <v>19</v>
      </c>
      <c r="E787" s="12" t="n">
        <v>0</v>
      </c>
      <c r="F787" s="12" t="n">
        <v>0</v>
      </c>
      <c r="G787" s="12" t="n">
        <v>0</v>
      </c>
      <c r="H787" s="9" t="n">
        <v>1</v>
      </c>
      <c r="I787" s="9" t="n">
        <v>60</v>
      </c>
      <c r="J787" s="9" t="n">
        <v>1</v>
      </c>
      <c r="K787" s="13" t="s">
        <v>13</v>
      </c>
    </row>
    <row r="788" customFormat="false" ht="15.75" hidden="false" customHeight="false" outlineLevel="0" collapsed="false">
      <c r="A788" s="9" t="n">
        <v>18</v>
      </c>
      <c r="B788" s="10" t="s">
        <v>14</v>
      </c>
      <c r="C788" s="11" t="n">
        <v>991.851</v>
      </c>
      <c r="D788" s="10" t="s">
        <v>15</v>
      </c>
      <c r="E788" s="12" t="n">
        <v>2.5</v>
      </c>
      <c r="F788" s="12" t="n">
        <v>2.5</v>
      </c>
      <c r="G788" s="12" t="n">
        <v>0</v>
      </c>
      <c r="H788" s="9" t="n">
        <v>4</v>
      </c>
      <c r="I788" s="9" t="n">
        <v>35</v>
      </c>
      <c r="J788" s="9" t="n">
        <v>1</v>
      </c>
      <c r="K788" s="13" t="s">
        <v>13</v>
      </c>
    </row>
    <row r="789" customFormat="false" ht="15.75" hidden="false" customHeight="false" outlineLevel="0" collapsed="false">
      <c r="A789" s="9" t="n">
        <v>22</v>
      </c>
      <c r="B789" s="10" t="s">
        <v>14</v>
      </c>
      <c r="C789" s="11" t="n">
        <v>1366.925</v>
      </c>
      <c r="D789" s="10" t="s">
        <v>12</v>
      </c>
      <c r="E789" s="12" t="n">
        <v>8</v>
      </c>
      <c r="F789" s="12" t="n">
        <v>8</v>
      </c>
      <c r="G789" s="12" t="n">
        <v>0</v>
      </c>
      <c r="H789" s="9" t="n">
        <v>3</v>
      </c>
      <c r="I789" s="9" t="n">
        <v>40</v>
      </c>
      <c r="J789" s="9" t="n">
        <v>1</v>
      </c>
      <c r="K789" s="13" t="s">
        <v>13</v>
      </c>
    </row>
    <row r="790" customFormat="false" ht="15.75" hidden="false" customHeight="false" outlineLevel="0" collapsed="false">
      <c r="A790" s="9" t="n">
        <v>48</v>
      </c>
      <c r="B790" s="10" t="s">
        <v>11</v>
      </c>
      <c r="C790" s="11" t="n">
        <v>1405.761</v>
      </c>
      <c r="D790" s="10" t="s">
        <v>12</v>
      </c>
      <c r="E790" s="12" t="n">
        <v>8</v>
      </c>
      <c r="F790" s="12" t="n">
        <v>8</v>
      </c>
      <c r="G790" s="12" t="n">
        <v>0</v>
      </c>
      <c r="H790" s="9" t="n">
        <v>4</v>
      </c>
      <c r="I790" s="9" t="n">
        <v>38</v>
      </c>
      <c r="J790" s="9" t="n">
        <v>2</v>
      </c>
      <c r="K790" s="13" t="s">
        <v>13</v>
      </c>
    </row>
    <row r="791" customFormat="false" ht="15.75" hidden="false" customHeight="false" outlineLevel="0" collapsed="false">
      <c r="A791" s="9" t="n">
        <v>48</v>
      </c>
      <c r="B791" s="10" t="s">
        <v>18</v>
      </c>
      <c r="C791" s="11" t="n">
        <v>3180.464</v>
      </c>
      <c r="D791" s="10" t="s">
        <v>12</v>
      </c>
      <c r="E791" s="12" t="n">
        <v>8</v>
      </c>
      <c r="F791" s="12" t="n">
        <v>8</v>
      </c>
      <c r="G791" s="12" t="n">
        <v>0</v>
      </c>
      <c r="H791" s="9" t="n">
        <v>4</v>
      </c>
      <c r="I791" s="9" t="n">
        <v>50</v>
      </c>
      <c r="J791" s="9" t="n">
        <v>1</v>
      </c>
      <c r="K791" s="13" t="s">
        <v>16</v>
      </c>
    </row>
    <row r="792" customFormat="false" ht="15.75" hidden="false" customHeight="false" outlineLevel="0" collapsed="false">
      <c r="A792" s="9" t="n">
        <v>40</v>
      </c>
      <c r="B792" s="10" t="s">
        <v>11</v>
      </c>
      <c r="C792" s="11" t="n">
        <v>3064.978</v>
      </c>
      <c r="D792" s="10" t="s">
        <v>15</v>
      </c>
      <c r="E792" s="12" t="n">
        <v>2.5</v>
      </c>
      <c r="F792" s="12" t="n">
        <v>2.5</v>
      </c>
      <c r="G792" s="12" t="n">
        <v>0</v>
      </c>
      <c r="H792" s="9" t="n">
        <v>4</v>
      </c>
      <c r="I792" s="9" t="n">
        <v>27</v>
      </c>
      <c r="J792" s="9" t="n">
        <v>1</v>
      </c>
      <c r="K792" s="13" t="s">
        <v>16</v>
      </c>
    </row>
    <row r="793" customFormat="false" ht="15.75" hidden="false" customHeight="false" outlineLevel="0" collapsed="false">
      <c r="A793" s="9" t="n">
        <v>21</v>
      </c>
      <c r="B793" s="10" t="s">
        <v>14</v>
      </c>
      <c r="C793" s="11" t="n">
        <v>607.068</v>
      </c>
      <c r="D793" s="10" t="s">
        <v>12</v>
      </c>
      <c r="E793" s="12" t="n">
        <v>8</v>
      </c>
      <c r="F793" s="12" t="n">
        <v>8</v>
      </c>
      <c r="G793" s="12" t="n">
        <v>0</v>
      </c>
      <c r="H793" s="9" t="n">
        <v>2</v>
      </c>
      <c r="I793" s="9" t="n">
        <v>39</v>
      </c>
      <c r="J793" s="9" t="n">
        <v>1</v>
      </c>
      <c r="K793" s="13" t="s">
        <v>16</v>
      </c>
    </row>
    <row r="794" customFormat="false" ht="15.75" hidden="false" customHeight="false" outlineLevel="0" collapsed="false">
      <c r="A794" s="9" t="n">
        <v>24</v>
      </c>
      <c r="B794" s="10" t="s">
        <v>14</v>
      </c>
      <c r="C794" s="11" t="n">
        <v>3225.943</v>
      </c>
      <c r="D794" s="10" t="s">
        <v>12</v>
      </c>
      <c r="E794" s="12" t="n">
        <v>8</v>
      </c>
      <c r="F794" s="12" t="n">
        <v>8</v>
      </c>
      <c r="G794" s="12" t="n">
        <v>0</v>
      </c>
      <c r="H794" s="9" t="n">
        <v>3</v>
      </c>
      <c r="I794" s="9" t="n">
        <v>41</v>
      </c>
      <c r="J794" s="9" t="n">
        <v>1</v>
      </c>
      <c r="K794" s="13" t="s">
        <v>13</v>
      </c>
    </row>
    <row r="795" customFormat="false" ht="15.75" hidden="false" customHeight="false" outlineLevel="0" collapsed="false">
      <c r="A795" s="9" t="n">
        <v>6</v>
      </c>
      <c r="B795" s="10" t="s">
        <v>11</v>
      </c>
      <c r="C795" s="11" t="n">
        <v>623.931</v>
      </c>
      <c r="D795" s="10" t="s">
        <v>15</v>
      </c>
      <c r="E795" s="12" t="n">
        <v>2.5</v>
      </c>
      <c r="F795" s="12" t="n">
        <v>2.5</v>
      </c>
      <c r="G795" s="12" t="n">
        <v>0</v>
      </c>
      <c r="H795" s="9" t="n">
        <v>1</v>
      </c>
      <c r="I795" s="9" t="n">
        <v>27</v>
      </c>
      <c r="J795" s="9" t="n">
        <v>2</v>
      </c>
      <c r="K795" s="13" t="s">
        <v>13</v>
      </c>
    </row>
    <row r="796" customFormat="false" ht="15.75" hidden="false" customHeight="false" outlineLevel="0" collapsed="false">
      <c r="A796" s="9" t="n">
        <v>24</v>
      </c>
      <c r="B796" s="10" t="s">
        <v>14</v>
      </c>
      <c r="C796" s="11" t="n">
        <v>1477.812</v>
      </c>
      <c r="D796" s="10" t="s">
        <v>12</v>
      </c>
      <c r="E796" s="12" t="n">
        <v>8</v>
      </c>
      <c r="F796" s="12" t="n">
        <v>8</v>
      </c>
      <c r="G796" s="12" t="n">
        <v>0</v>
      </c>
      <c r="H796" s="9" t="n">
        <v>3</v>
      </c>
      <c r="I796" s="9" t="n">
        <v>51</v>
      </c>
      <c r="J796" s="9" t="n">
        <v>1</v>
      </c>
      <c r="K796" s="13" t="s">
        <v>13</v>
      </c>
    </row>
    <row r="797" customFormat="false" ht="15.75" hidden="false" customHeight="false" outlineLevel="0" collapsed="false">
      <c r="A797" s="9" t="n">
        <v>24</v>
      </c>
      <c r="B797" s="10" t="s">
        <v>14</v>
      </c>
      <c r="C797" s="11" t="n">
        <v>1564.682</v>
      </c>
      <c r="D797" s="10" t="s">
        <v>12</v>
      </c>
      <c r="E797" s="12" t="n">
        <v>8</v>
      </c>
      <c r="F797" s="12" t="n">
        <v>8</v>
      </c>
      <c r="G797" s="12" t="n">
        <v>0</v>
      </c>
      <c r="H797" s="9" t="n">
        <v>4</v>
      </c>
      <c r="I797" s="9" t="n">
        <v>32</v>
      </c>
      <c r="J797" s="9" t="n">
        <v>1</v>
      </c>
      <c r="K797" s="13" t="s">
        <v>13</v>
      </c>
    </row>
    <row r="798" customFormat="false" ht="15.75" hidden="false" customHeight="false" outlineLevel="0" collapsed="false">
      <c r="A798" s="9" t="n">
        <v>9</v>
      </c>
      <c r="B798" s="10" t="s">
        <v>14</v>
      </c>
      <c r="C798" s="11" t="n">
        <v>1175.811</v>
      </c>
      <c r="D798" s="10" t="s">
        <v>20</v>
      </c>
      <c r="E798" s="12" t="n">
        <v>0.5</v>
      </c>
      <c r="F798" s="12" t="n">
        <v>0.5</v>
      </c>
      <c r="G798" s="12" t="n">
        <v>0</v>
      </c>
      <c r="H798" s="9" t="n">
        <v>2</v>
      </c>
      <c r="I798" s="9" t="n">
        <v>22</v>
      </c>
      <c r="J798" s="9" t="n">
        <v>1</v>
      </c>
      <c r="K798" s="13" t="s">
        <v>13</v>
      </c>
    </row>
    <row r="799" customFormat="false" ht="15.75" hidden="false" customHeight="false" outlineLevel="0" collapsed="false">
      <c r="A799" s="9" t="n">
        <v>18</v>
      </c>
      <c r="B799" s="10" t="s">
        <v>14</v>
      </c>
      <c r="C799" s="11" t="n">
        <v>3838.121</v>
      </c>
      <c r="D799" s="10" t="s">
        <v>12</v>
      </c>
      <c r="E799" s="12" t="n">
        <v>8</v>
      </c>
      <c r="F799" s="12" t="n">
        <v>8</v>
      </c>
      <c r="G799" s="12" t="n">
        <v>0</v>
      </c>
      <c r="H799" s="9" t="n">
        <v>1</v>
      </c>
      <c r="I799" s="9" t="n">
        <v>51</v>
      </c>
      <c r="J799" s="9" t="n">
        <v>1</v>
      </c>
      <c r="K799" s="13" t="s">
        <v>16</v>
      </c>
    </row>
    <row r="800" customFormat="false" ht="15.75" hidden="false" customHeight="false" outlineLevel="0" collapsed="false">
      <c r="A800" s="9" t="n">
        <v>12</v>
      </c>
      <c r="B800" s="10" t="s">
        <v>11</v>
      </c>
      <c r="C800" s="11" t="n">
        <v>642.838</v>
      </c>
      <c r="D800" s="10" t="s">
        <v>20</v>
      </c>
      <c r="E800" s="12" t="n">
        <v>0.5</v>
      </c>
      <c r="F800" s="12" t="n">
        <v>0.5</v>
      </c>
      <c r="G800" s="12" t="n">
        <v>0</v>
      </c>
      <c r="H800" s="9" t="n">
        <v>2</v>
      </c>
      <c r="I800" s="9" t="n">
        <v>22</v>
      </c>
      <c r="J800" s="9" t="n">
        <v>2</v>
      </c>
      <c r="K800" s="13" t="s">
        <v>13</v>
      </c>
    </row>
    <row r="801" customFormat="false" ht="15.75" hidden="false" customHeight="false" outlineLevel="0" collapsed="false">
      <c r="A801" s="9" t="n">
        <v>24</v>
      </c>
      <c r="B801" s="10" t="s">
        <v>18</v>
      </c>
      <c r="C801" s="11" t="n">
        <v>366.387</v>
      </c>
      <c r="D801" s="10" t="s">
        <v>12</v>
      </c>
      <c r="E801" s="12" t="n">
        <v>8</v>
      </c>
      <c r="F801" s="12" t="n">
        <v>8</v>
      </c>
      <c r="G801" s="12" t="n">
        <v>0</v>
      </c>
      <c r="H801" s="9" t="n">
        <v>4</v>
      </c>
      <c r="I801" s="9" t="n">
        <v>54</v>
      </c>
      <c r="J801" s="9" t="n">
        <v>2</v>
      </c>
      <c r="K801" s="13" t="s">
        <v>13</v>
      </c>
    </row>
    <row r="802" customFormat="false" ht="15.75" hidden="false" customHeight="false" outlineLevel="0" collapsed="false">
      <c r="A802" s="9" t="n">
        <v>9</v>
      </c>
      <c r="B802" s="10" t="s">
        <v>14</v>
      </c>
      <c r="C802" s="11" t="n">
        <v>791.539</v>
      </c>
      <c r="D802" s="10" t="s">
        <v>20</v>
      </c>
      <c r="E802" s="12" t="n">
        <v>0.5</v>
      </c>
      <c r="F802" s="12" t="n">
        <v>0.5</v>
      </c>
      <c r="G802" s="12" t="n">
        <v>0</v>
      </c>
      <c r="H802" s="9" t="n">
        <v>4</v>
      </c>
      <c r="I802" s="9" t="n">
        <v>35</v>
      </c>
      <c r="J802" s="9" t="n">
        <v>1</v>
      </c>
      <c r="K802" s="13" t="s">
        <v>13</v>
      </c>
    </row>
    <row r="803" customFormat="false" ht="15.75" hidden="false" customHeight="false" outlineLevel="0" collapsed="false">
      <c r="A803" s="9" t="n">
        <v>24</v>
      </c>
      <c r="B803" s="10" t="s">
        <v>11</v>
      </c>
      <c r="C803" s="11" t="n">
        <v>816.067</v>
      </c>
      <c r="D803" s="10" t="s">
        <v>12</v>
      </c>
      <c r="E803" s="12" t="n">
        <v>8</v>
      </c>
      <c r="F803" s="12" t="n">
        <v>8</v>
      </c>
      <c r="G803" s="12" t="n">
        <v>0</v>
      </c>
      <c r="H803" s="9" t="n">
        <v>4</v>
      </c>
      <c r="I803" s="9" t="n">
        <v>54</v>
      </c>
      <c r="J803" s="9" t="n">
        <v>2</v>
      </c>
      <c r="K803" s="13" t="s">
        <v>13</v>
      </c>
    </row>
    <row r="804" customFormat="false" ht="15.75" hidden="false" customHeight="false" outlineLevel="0" collapsed="false">
      <c r="A804" s="9" t="n">
        <v>18</v>
      </c>
      <c r="B804" s="10" t="s">
        <v>11</v>
      </c>
      <c r="C804" s="11" t="n">
        <v>917.245</v>
      </c>
      <c r="D804" s="10" t="s">
        <v>12</v>
      </c>
      <c r="E804" s="12" t="n">
        <v>8</v>
      </c>
      <c r="F804" s="12" t="n">
        <v>8</v>
      </c>
      <c r="G804" s="12" t="n">
        <v>0</v>
      </c>
      <c r="H804" s="9" t="n">
        <v>3</v>
      </c>
      <c r="I804" s="9" t="n">
        <v>48</v>
      </c>
      <c r="J804" s="9" t="n">
        <v>2</v>
      </c>
      <c r="K804" s="13" t="s">
        <v>13</v>
      </c>
    </row>
    <row r="805" customFormat="false" ht="15.75" hidden="false" customHeight="false" outlineLevel="0" collapsed="false">
      <c r="A805" s="9" t="n">
        <v>20</v>
      </c>
      <c r="B805" s="10" t="s">
        <v>11</v>
      </c>
      <c r="C805" s="11" t="n">
        <v>2182.992</v>
      </c>
      <c r="D805" s="10" t="s">
        <v>12</v>
      </c>
      <c r="E805" s="12" t="n">
        <v>8</v>
      </c>
      <c r="F805" s="12" t="n">
        <v>6</v>
      </c>
      <c r="G805" s="12" t="n">
        <v>1</v>
      </c>
      <c r="H805" s="9" t="n">
        <v>1</v>
      </c>
      <c r="I805" s="9" t="n">
        <v>24</v>
      </c>
      <c r="J805" s="9" t="n">
        <v>2</v>
      </c>
      <c r="K805" s="13" t="s">
        <v>13</v>
      </c>
    </row>
    <row r="806" customFormat="false" ht="15.75" hidden="false" customHeight="false" outlineLevel="0" collapsed="false">
      <c r="A806" s="9" t="n">
        <v>12</v>
      </c>
      <c r="B806" s="10" t="s">
        <v>11</v>
      </c>
      <c r="C806" s="11" t="n">
        <v>498.736</v>
      </c>
      <c r="D806" s="10" t="s">
        <v>12</v>
      </c>
      <c r="E806" s="12" t="n">
        <v>8</v>
      </c>
      <c r="F806" s="12" t="n">
        <v>8</v>
      </c>
      <c r="G806" s="12" t="n">
        <v>0</v>
      </c>
      <c r="H806" s="9" t="n">
        <v>4</v>
      </c>
      <c r="I806" s="9" t="n">
        <v>35</v>
      </c>
      <c r="J806" s="9" t="n">
        <v>2</v>
      </c>
      <c r="K806" s="13" t="s">
        <v>13</v>
      </c>
    </row>
    <row r="807" customFormat="false" ht="15.75" hidden="false" customHeight="false" outlineLevel="0" collapsed="false">
      <c r="A807" s="9" t="n">
        <v>12</v>
      </c>
      <c r="B807" s="10" t="s">
        <v>14</v>
      </c>
      <c r="C807" s="11" t="n">
        <v>3818.192</v>
      </c>
      <c r="D807" s="10" t="s">
        <v>19</v>
      </c>
      <c r="E807" s="12" t="n">
        <v>0</v>
      </c>
      <c r="F807" s="12" t="n">
        <v>0</v>
      </c>
      <c r="G807" s="12" t="n">
        <v>0</v>
      </c>
      <c r="H807" s="9" t="n">
        <v>1</v>
      </c>
      <c r="I807" s="9" t="n">
        <v>24</v>
      </c>
      <c r="J807" s="9" t="n">
        <v>1</v>
      </c>
      <c r="K807" s="13" t="s">
        <v>13</v>
      </c>
    </row>
    <row r="808" customFormat="false" ht="15.75" hidden="false" customHeight="false" outlineLevel="0" collapsed="false">
      <c r="A808" s="9" t="n">
        <v>36</v>
      </c>
      <c r="B808" s="10" t="s">
        <v>14</v>
      </c>
      <c r="C808" s="11" t="n">
        <v>4737.481</v>
      </c>
      <c r="D808" s="10" t="s">
        <v>17</v>
      </c>
      <c r="E808" s="12" t="n">
        <v>5.5</v>
      </c>
      <c r="F808" s="12" t="n">
        <v>5.5</v>
      </c>
      <c r="G808" s="12" t="n">
        <v>0</v>
      </c>
      <c r="H808" s="9" t="n">
        <v>2</v>
      </c>
      <c r="I808" s="9" t="n">
        <v>24</v>
      </c>
      <c r="J808" s="9" t="n">
        <v>1</v>
      </c>
      <c r="K808" s="13" t="s">
        <v>16</v>
      </c>
    </row>
    <row r="809" customFormat="false" ht="15.75" hidden="false" customHeight="false" outlineLevel="0" collapsed="false">
      <c r="A809" s="9" t="n">
        <v>6</v>
      </c>
      <c r="B809" s="10" t="s">
        <v>14</v>
      </c>
      <c r="C809" s="11" t="n">
        <v>301.49</v>
      </c>
      <c r="D809" s="10" t="s">
        <v>20</v>
      </c>
      <c r="E809" s="12" t="n">
        <v>0.5</v>
      </c>
      <c r="F809" s="12" t="n">
        <v>0.5</v>
      </c>
      <c r="G809" s="12" t="n">
        <v>0</v>
      </c>
      <c r="H809" s="9" t="n">
        <v>3</v>
      </c>
      <c r="I809" s="9" t="n">
        <v>26</v>
      </c>
      <c r="J809" s="9" t="n">
        <v>1</v>
      </c>
      <c r="K809" s="13" t="s">
        <v>13</v>
      </c>
    </row>
    <row r="810" customFormat="false" ht="15.75" hidden="false" customHeight="false" outlineLevel="0" collapsed="false">
      <c r="A810" s="9" t="n">
        <v>12</v>
      </c>
      <c r="B810" s="10" t="s">
        <v>11</v>
      </c>
      <c r="C810" s="11" t="n">
        <v>475.23</v>
      </c>
      <c r="D810" s="10" t="s">
        <v>12</v>
      </c>
      <c r="E810" s="12" t="n">
        <v>8</v>
      </c>
      <c r="F810" s="12" t="n">
        <v>8</v>
      </c>
      <c r="G810" s="12" t="n">
        <v>0</v>
      </c>
      <c r="H810" s="9" t="n">
        <v>4</v>
      </c>
      <c r="I810" s="9" t="n">
        <v>65</v>
      </c>
      <c r="J810" s="9" t="n">
        <v>4</v>
      </c>
      <c r="K810" s="13" t="s">
        <v>13</v>
      </c>
    </row>
    <row r="811" customFormat="false" ht="15.75" hidden="false" customHeight="false" outlineLevel="0" collapsed="false">
      <c r="A811" s="9" t="n">
        <v>42</v>
      </c>
      <c r="B811" s="10" t="s">
        <v>22</v>
      </c>
      <c r="C811" s="11" t="n">
        <v>4743.613</v>
      </c>
      <c r="D811" s="10" t="s">
        <v>19</v>
      </c>
      <c r="E811" s="12" t="n">
        <v>0</v>
      </c>
      <c r="F811" s="12" t="n">
        <v>0</v>
      </c>
      <c r="G811" s="12" t="n">
        <v>0</v>
      </c>
      <c r="H811" s="9" t="n">
        <v>1</v>
      </c>
      <c r="I811" s="9" t="n">
        <v>55</v>
      </c>
      <c r="J811" s="9" t="n">
        <v>1</v>
      </c>
      <c r="K811" s="13" t="s">
        <v>13</v>
      </c>
    </row>
    <row r="812" customFormat="false" ht="15.75" hidden="false" customHeight="false" outlineLevel="0" collapsed="false">
      <c r="A812" s="9" t="n">
        <v>15</v>
      </c>
      <c r="B812" s="10" t="s">
        <v>21</v>
      </c>
      <c r="C812" s="11" t="n">
        <v>908.558</v>
      </c>
      <c r="D812" s="10" t="s">
        <v>20</v>
      </c>
      <c r="E812" s="12" t="n">
        <v>0.5</v>
      </c>
      <c r="F812" s="12" t="n">
        <v>0.5</v>
      </c>
      <c r="G812" s="12" t="n">
        <v>0</v>
      </c>
      <c r="H812" s="9" t="n">
        <v>2</v>
      </c>
      <c r="I812" s="9" t="n">
        <v>26</v>
      </c>
      <c r="J812" s="9" t="n">
        <v>2</v>
      </c>
      <c r="K812" s="13" t="s">
        <v>16</v>
      </c>
    </row>
    <row r="813" customFormat="false" ht="15.75" hidden="false" customHeight="false" outlineLevel="0" collapsed="false">
      <c r="A813" s="9" t="n">
        <v>8</v>
      </c>
      <c r="B813" s="10" t="s">
        <v>14</v>
      </c>
      <c r="C813" s="11" t="n">
        <v>463.477</v>
      </c>
      <c r="D813" s="10" t="s">
        <v>20</v>
      </c>
      <c r="E813" s="12" t="n">
        <v>0.5</v>
      </c>
      <c r="F813" s="12" t="n">
        <v>0.5</v>
      </c>
      <c r="G813" s="12" t="n">
        <v>0</v>
      </c>
      <c r="H813" s="9" t="n">
        <v>3</v>
      </c>
      <c r="I813" s="9" t="n">
        <v>26</v>
      </c>
      <c r="J813" s="9" t="n">
        <v>1</v>
      </c>
      <c r="K813" s="13" t="s">
        <v>13</v>
      </c>
    </row>
    <row r="814" customFormat="false" ht="15.75" hidden="false" customHeight="false" outlineLevel="0" collapsed="false">
      <c r="A814" s="9" t="n">
        <v>6</v>
      </c>
      <c r="B814" s="10" t="s">
        <v>14</v>
      </c>
      <c r="C814" s="11" t="n">
        <v>247.324</v>
      </c>
      <c r="D814" s="10" t="s">
        <v>17</v>
      </c>
      <c r="E814" s="12" t="n">
        <v>5.5</v>
      </c>
      <c r="F814" s="12" t="n">
        <v>5.5</v>
      </c>
      <c r="G814" s="12" t="n">
        <v>0</v>
      </c>
      <c r="H814" s="9" t="n">
        <v>3</v>
      </c>
      <c r="I814" s="9" t="n">
        <v>28</v>
      </c>
      <c r="J814" s="9" t="n">
        <v>1</v>
      </c>
      <c r="K814" s="13" t="s">
        <v>13</v>
      </c>
    </row>
    <row r="815" customFormat="false" ht="15.75" hidden="false" customHeight="false" outlineLevel="0" collapsed="false">
      <c r="A815" s="9" t="n">
        <v>36</v>
      </c>
      <c r="B815" s="10" t="s">
        <v>11</v>
      </c>
      <c r="C815" s="11" t="n">
        <v>4920.419</v>
      </c>
      <c r="D815" s="10" t="s">
        <v>17</v>
      </c>
      <c r="E815" s="12" t="n">
        <v>5.5</v>
      </c>
      <c r="F815" s="12" t="n">
        <v>5.5</v>
      </c>
      <c r="G815" s="12" t="n">
        <v>0</v>
      </c>
      <c r="H815" s="9" t="n">
        <v>4</v>
      </c>
      <c r="I815" s="9" t="n">
        <v>24</v>
      </c>
      <c r="J815" s="9" t="n">
        <v>2</v>
      </c>
      <c r="K815" s="13" t="s">
        <v>16</v>
      </c>
    </row>
    <row r="816" customFormat="false" ht="15.75" hidden="false" customHeight="false" outlineLevel="0" collapsed="false">
      <c r="A816" s="9" t="n">
        <v>48</v>
      </c>
      <c r="B816" s="10" t="s">
        <v>14</v>
      </c>
      <c r="C816" s="11" t="n">
        <v>1559.061</v>
      </c>
      <c r="D816" s="10" t="s">
        <v>15</v>
      </c>
      <c r="E816" s="12" t="n">
        <v>2.5</v>
      </c>
      <c r="F816" s="12" t="n">
        <v>2.5</v>
      </c>
      <c r="G816" s="12" t="n">
        <v>0</v>
      </c>
      <c r="H816" s="9" t="n">
        <v>3</v>
      </c>
      <c r="I816" s="9" t="n">
        <v>54</v>
      </c>
      <c r="J816" s="9" t="n">
        <v>1</v>
      </c>
      <c r="K816" s="13" t="s">
        <v>16</v>
      </c>
    </row>
    <row r="817" customFormat="false" ht="15.75" hidden="false" customHeight="false" outlineLevel="0" collapsed="false">
      <c r="A817" s="9" t="n">
        <v>48</v>
      </c>
      <c r="B817" s="10" t="s">
        <v>14</v>
      </c>
      <c r="C817" s="11" t="n">
        <v>2008.741</v>
      </c>
      <c r="D817" s="10" t="s">
        <v>17</v>
      </c>
      <c r="E817" s="12" t="n">
        <v>5.5</v>
      </c>
      <c r="F817" s="12" t="n">
        <v>5.5</v>
      </c>
      <c r="G817" s="12" t="n">
        <v>0</v>
      </c>
      <c r="H817" s="9" t="n">
        <v>4</v>
      </c>
      <c r="I817" s="9" t="n">
        <v>46</v>
      </c>
      <c r="J817" s="9" t="n">
        <v>1</v>
      </c>
      <c r="K817" s="13" t="s">
        <v>16</v>
      </c>
    </row>
    <row r="818" customFormat="false" ht="15.75" hidden="false" customHeight="false" outlineLevel="0" collapsed="false">
      <c r="A818" s="9" t="n">
        <v>36</v>
      </c>
      <c r="B818" s="10" t="s">
        <v>18</v>
      </c>
      <c r="C818" s="11" t="n">
        <v>3797.752</v>
      </c>
      <c r="D818" s="10" t="s">
        <v>15</v>
      </c>
      <c r="E818" s="12" t="n">
        <v>2.5</v>
      </c>
      <c r="F818" s="12" t="n">
        <v>2.5</v>
      </c>
      <c r="G818" s="12" t="n">
        <v>0</v>
      </c>
      <c r="H818" s="9" t="n">
        <v>2</v>
      </c>
      <c r="I818" s="9" t="n">
        <v>54</v>
      </c>
      <c r="J818" s="9" t="n">
        <v>1</v>
      </c>
      <c r="K818" s="13" t="s">
        <v>13</v>
      </c>
    </row>
    <row r="819" customFormat="false" ht="15.75" hidden="false" customHeight="false" outlineLevel="0" collapsed="false">
      <c r="A819" s="9" t="n">
        <v>6</v>
      </c>
      <c r="B819" s="10" t="s">
        <v>14</v>
      </c>
      <c r="C819" s="11" t="n">
        <v>683.718</v>
      </c>
      <c r="D819" s="10" t="s">
        <v>15</v>
      </c>
      <c r="E819" s="12" t="n">
        <v>2.5</v>
      </c>
      <c r="F819" s="12" t="n">
        <v>2.5</v>
      </c>
      <c r="G819" s="12" t="n">
        <v>0</v>
      </c>
      <c r="H819" s="9" t="n">
        <v>1</v>
      </c>
      <c r="I819" s="9" t="n">
        <v>62</v>
      </c>
      <c r="J819" s="9" t="n">
        <v>1</v>
      </c>
      <c r="K819" s="13" t="s">
        <v>13</v>
      </c>
    </row>
    <row r="820" customFormat="false" ht="15.75" hidden="false" customHeight="false" outlineLevel="0" collapsed="false">
      <c r="A820" s="9" t="n">
        <v>6</v>
      </c>
      <c r="B820" s="10" t="s">
        <v>11</v>
      </c>
      <c r="C820" s="11" t="n">
        <v>794.094</v>
      </c>
      <c r="D820" s="10" t="s">
        <v>17</v>
      </c>
      <c r="E820" s="12" t="n">
        <v>5.5</v>
      </c>
      <c r="F820" s="12" t="n">
        <v>5.5</v>
      </c>
      <c r="G820" s="12" t="n">
        <v>0</v>
      </c>
      <c r="H820" s="9" t="n">
        <v>1</v>
      </c>
      <c r="I820" s="9" t="n">
        <v>24</v>
      </c>
      <c r="J820" s="9" t="n">
        <v>2</v>
      </c>
      <c r="K820" s="13" t="s">
        <v>13</v>
      </c>
    </row>
    <row r="821" customFormat="false" ht="15.75" hidden="false" customHeight="false" outlineLevel="0" collapsed="false">
      <c r="A821" s="9" t="n">
        <v>36</v>
      </c>
      <c r="B821" s="10" t="s">
        <v>14</v>
      </c>
      <c r="C821" s="11" t="n">
        <v>8102.927</v>
      </c>
      <c r="D821" s="10" t="s">
        <v>19</v>
      </c>
      <c r="E821" s="12" t="n">
        <v>0</v>
      </c>
      <c r="F821" s="12" t="n">
        <v>0</v>
      </c>
      <c r="G821" s="12" t="n">
        <v>0</v>
      </c>
      <c r="H821" s="9" t="n">
        <v>2</v>
      </c>
      <c r="I821" s="9" t="n">
        <v>43</v>
      </c>
      <c r="J821" s="9" t="n">
        <v>1</v>
      </c>
      <c r="K821" s="13" t="s">
        <v>13</v>
      </c>
    </row>
    <row r="822" customFormat="false" ht="15.75" hidden="false" customHeight="false" outlineLevel="0" collapsed="false">
      <c r="A822" s="9" t="n">
        <v>18</v>
      </c>
      <c r="B822" s="10" t="s">
        <v>14</v>
      </c>
      <c r="C822" s="11" t="n">
        <v>687.295</v>
      </c>
      <c r="D822" s="10" t="s">
        <v>15</v>
      </c>
      <c r="E822" s="12" t="n">
        <v>2.5</v>
      </c>
      <c r="F822" s="12" t="n">
        <v>2.5</v>
      </c>
      <c r="G822" s="12" t="n">
        <v>0</v>
      </c>
      <c r="H822" s="9" t="n">
        <v>4</v>
      </c>
      <c r="I822" s="9" t="n">
        <v>26</v>
      </c>
      <c r="J822" s="9" t="n">
        <v>1</v>
      </c>
      <c r="K822" s="13" t="s">
        <v>16</v>
      </c>
    </row>
    <row r="823" customFormat="false" ht="15.75" hidden="false" customHeight="false" outlineLevel="0" collapsed="false">
      <c r="A823" s="9" t="n">
        <v>12</v>
      </c>
      <c r="B823" s="10" t="s">
        <v>14</v>
      </c>
      <c r="C823" s="11" t="n">
        <v>562.611</v>
      </c>
      <c r="D823" s="10" t="s">
        <v>15</v>
      </c>
      <c r="E823" s="12" t="n">
        <v>2.5</v>
      </c>
      <c r="F823" s="12" t="n">
        <v>2.5</v>
      </c>
      <c r="G823" s="12" t="n">
        <v>0</v>
      </c>
      <c r="H823" s="9" t="n">
        <v>3</v>
      </c>
      <c r="I823" s="9" t="n">
        <v>27</v>
      </c>
      <c r="J823" s="9" t="n">
        <v>2</v>
      </c>
      <c r="K823" s="13" t="s">
        <v>13</v>
      </c>
    </row>
    <row r="824" customFormat="false" ht="15.75" hidden="false" customHeight="false" outlineLevel="0" collapsed="false">
      <c r="A824" s="9" t="n">
        <v>12</v>
      </c>
      <c r="B824" s="10" t="s">
        <v>14</v>
      </c>
      <c r="C824" s="11" t="n">
        <v>1541.176</v>
      </c>
      <c r="D824" s="10" t="s">
        <v>15</v>
      </c>
      <c r="E824" s="12" t="n">
        <v>2.5</v>
      </c>
      <c r="F824" s="12" t="n">
        <v>2.5</v>
      </c>
      <c r="G824" s="12" t="n">
        <v>0</v>
      </c>
      <c r="H824" s="9" t="n">
        <v>3</v>
      </c>
      <c r="I824" s="9" t="n">
        <v>24</v>
      </c>
      <c r="J824" s="9" t="n">
        <v>1</v>
      </c>
      <c r="K824" s="13" t="s">
        <v>13</v>
      </c>
    </row>
    <row r="825" customFormat="false" ht="15.75" hidden="false" customHeight="false" outlineLevel="0" collapsed="false">
      <c r="A825" s="9" t="n">
        <v>36</v>
      </c>
      <c r="B825" s="10" t="s">
        <v>14</v>
      </c>
      <c r="C825" s="11" t="n">
        <v>1385.832</v>
      </c>
      <c r="D825" s="10" t="s">
        <v>12</v>
      </c>
      <c r="E825" s="12" t="n">
        <v>8</v>
      </c>
      <c r="F825" s="12" t="n">
        <v>8</v>
      </c>
      <c r="G825" s="12" t="n">
        <v>0</v>
      </c>
      <c r="H825" s="9" t="n">
        <v>2</v>
      </c>
      <c r="I825" s="9" t="n">
        <v>41</v>
      </c>
      <c r="J825" s="9" t="n">
        <v>1</v>
      </c>
      <c r="K825" s="13" t="s">
        <v>16</v>
      </c>
    </row>
    <row r="826" customFormat="false" ht="15.75" hidden="false" customHeight="false" outlineLevel="0" collapsed="false">
      <c r="A826" s="9" t="n">
        <v>8</v>
      </c>
      <c r="B826" s="10" t="s">
        <v>11</v>
      </c>
      <c r="C826" s="11" t="n">
        <v>373.541</v>
      </c>
      <c r="D826" s="10" t="s">
        <v>12</v>
      </c>
      <c r="E826" s="12" t="n">
        <v>8</v>
      </c>
      <c r="F826" s="12" t="n">
        <v>8</v>
      </c>
      <c r="G826" s="12" t="n">
        <v>0</v>
      </c>
      <c r="H826" s="9" t="n">
        <v>4</v>
      </c>
      <c r="I826" s="9" t="n">
        <v>47</v>
      </c>
      <c r="J826" s="9" t="n">
        <v>2</v>
      </c>
      <c r="K826" s="13" t="s">
        <v>13</v>
      </c>
    </row>
    <row r="827" customFormat="false" ht="15.75" hidden="false" customHeight="false" outlineLevel="0" collapsed="false">
      <c r="A827" s="9" t="n">
        <v>18</v>
      </c>
      <c r="B827" s="10" t="s">
        <v>11</v>
      </c>
      <c r="C827" s="11" t="n">
        <v>1931.58</v>
      </c>
      <c r="D827" s="10" t="s">
        <v>20</v>
      </c>
      <c r="E827" s="12" t="n">
        <v>0.5</v>
      </c>
      <c r="F827" s="12" t="n">
        <v>0.5</v>
      </c>
      <c r="G827" s="12" t="n">
        <v>0</v>
      </c>
      <c r="H827" s="9" t="n">
        <v>3</v>
      </c>
      <c r="I827" s="9" t="n">
        <v>35</v>
      </c>
      <c r="J827" s="9" t="n">
        <v>2</v>
      </c>
      <c r="K827" s="13" t="s">
        <v>13</v>
      </c>
    </row>
    <row r="828" customFormat="false" ht="15.75" hidden="false" customHeight="false" outlineLevel="0" collapsed="false">
      <c r="A828" s="9" t="n">
        <v>21</v>
      </c>
      <c r="B828" s="10" t="s">
        <v>11</v>
      </c>
      <c r="C828" s="11" t="n">
        <v>818.622</v>
      </c>
      <c r="D828" s="10" t="s">
        <v>12</v>
      </c>
      <c r="E828" s="12" t="n">
        <v>8</v>
      </c>
      <c r="F828" s="12" t="n">
        <v>8</v>
      </c>
      <c r="G828" s="12" t="n">
        <v>0</v>
      </c>
      <c r="H828" s="9" t="n">
        <v>4</v>
      </c>
      <c r="I828" s="9" t="n">
        <v>30</v>
      </c>
      <c r="J828" s="9" t="n">
        <v>2</v>
      </c>
      <c r="K828" s="13" t="s">
        <v>13</v>
      </c>
    </row>
    <row r="829" customFormat="false" ht="15.75" hidden="false" customHeight="false" outlineLevel="0" collapsed="false">
      <c r="A829" s="9" t="n">
        <v>18</v>
      </c>
      <c r="B829" s="10" t="s">
        <v>11</v>
      </c>
      <c r="C829" s="11" t="n">
        <v>2026.626</v>
      </c>
      <c r="D829" s="10" t="s">
        <v>12</v>
      </c>
      <c r="E829" s="12" t="n">
        <v>8</v>
      </c>
      <c r="F829" s="12" t="n">
        <v>8</v>
      </c>
      <c r="G829" s="12" t="n">
        <v>0</v>
      </c>
      <c r="H829" s="9" t="n">
        <v>1</v>
      </c>
      <c r="I829" s="9" t="n">
        <v>33</v>
      </c>
      <c r="J829" s="9" t="n">
        <v>3</v>
      </c>
      <c r="K829" s="13" t="s">
        <v>16</v>
      </c>
    </row>
    <row r="830" customFormat="false" ht="15.75" hidden="false" customHeight="false" outlineLevel="0" collapsed="false">
      <c r="A830" s="9" t="n">
        <v>18</v>
      </c>
      <c r="B830" s="10" t="s">
        <v>21</v>
      </c>
      <c r="C830" s="11" t="n">
        <v>2128.315</v>
      </c>
      <c r="D830" s="10" t="s">
        <v>15</v>
      </c>
      <c r="E830" s="12" t="n">
        <v>2.5</v>
      </c>
      <c r="F830" s="12" t="n">
        <v>2.5</v>
      </c>
      <c r="G830" s="12" t="n">
        <v>0</v>
      </c>
      <c r="H830" s="9" t="n">
        <v>2</v>
      </c>
      <c r="I830" s="9" t="n">
        <v>36</v>
      </c>
      <c r="J830" s="9" t="n">
        <v>2</v>
      </c>
      <c r="K830" s="13" t="s">
        <v>16</v>
      </c>
    </row>
    <row r="831" customFormat="false" ht="15.75" hidden="false" customHeight="false" outlineLevel="0" collapsed="false">
      <c r="A831" s="9" t="n">
        <v>36</v>
      </c>
      <c r="B831" s="10" t="s">
        <v>14</v>
      </c>
      <c r="C831" s="11" t="n">
        <v>4259.185</v>
      </c>
      <c r="D831" s="10" t="s">
        <v>12</v>
      </c>
      <c r="E831" s="12" t="n">
        <v>8</v>
      </c>
      <c r="F831" s="12" t="n">
        <v>8</v>
      </c>
      <c r="G831" s="12" t="n">
        <v>0</v>
      </c>
      <c r="H831" s="9" t="n">
        <v>3</v>
      </c>
      <c r="I831" s="9" t="n">
        <v>47</v>
      </c>
      <c r="J831" s="9" t="n">
        <v>1</v>
      </c>
      <c r="K831" s="13" t="s">
        <v>16</v>
      </c>
    </row>
    <row r="832" customFormat="false" ht="15.75" hidden="false" customHeight="false" outlineLevel="0" collapsed="false">
      <c r="A832" s="9" t="n">
        <v>48</v>
      </c>
      <c r="B832" s="10" t="s">
        <v>18</v>
      </c>
      <c r="C832" s="11" t="n">
        <v>3413.991</v>
      </c>
      <c r="D832" s="10" t="s">
        <v>15</v>
      </c>
      <c r="E832" s="12" t="n">
        <v>2.5</v>
      </c>
      <c r="F832" s="12" t="n">
        <v>2.5</v>
      </c>
      <c r="G832" s="12" t="n">
        <v>0</v>
      </c>
      <c r="H832" s="9" t="n">
        <v>4</v>
      </c>
      <c r="I832" s="9" t="n">
        <v>38</v>
      </c>
      <c r="J832" s="9" t="n">
        <v>1</v>
      </c>
      <c r="K832" s="13" t="s">
        <v>13</v>
      </c>
    </row>
    <row r="833" customFormat="false" ht="15.75" hidden="false" customHeight="false" outlineLevel="0" collapsed="false">
      <c r="A833" s="9" t="n">
        <v>24</v>
      </c>
      <c r="B833" s="10" t="s">
        <v>18</v>
      </c>
      <c r="C833" s="11" t="n">
        <v>1213.625</v>
      </c>
      <c r="D833" s="10" t="s">
        <v>15</v>
      </c>
      <c r="E833" s="12" t="n">
        <v>2.5</v>
      </c>
      <c r="F833" s="12" t="n">
        <v>2.5</v>
      </c>
      <c r="G833" s="12" t="n">
        <v>0</v>
      </c>
      <c r="H833" s="9" t="n">
        <v>4</v>
      </c>
      <c r="I833" s="9" t="n">
        <v>44</v>
      </c>
      <c r="J833" s="9" t="n">
        <v>2</v>
      </c>
      <c r="K833" s="13" t="s">
        <v>13</v>
      </c>
    </row>
    <row r="834" customFormat="false" ht="15.75" hidden="false" customHeight="false" outlineLevel="0" collapsed="false">
      <c r="A834" s="9" t="n">
        <v>18</v>
      </c>
      <c r="B834" s="10" t="s">
        <v>14</v>
      </c>
      <c r="C834" s="11" t="n">
        <v>621.376</v>
      </c>
      <c r="D834" s="10" t="s">
        <v>20</v>
      </c>
      <c r="E834" s="12" t="n">
        <v>0.5</v>
      </c>
      <c r="F834" s="12" t="n">
        <v>0.5</v>
      </c>
      <c r="G834" s="12" t="n">
        <v>0</v>
      </c>
      <c r="H834" s="9" t="n">
        <v>4</v>
      </c>
      <c r="I834" s="9" t="n">
        <v>23</v>
      </c>
      <c r="J834" s="9" t="n">
        <v>1</v>
      </c>
      <c r="K834" s="13" t="s">
        <v>16</v>
      </c>
    </row>
    <row r="835" customFormat="false" ht="15.75" hidden="false" customHeight="false" outlineLevel="0" collapsed="false">
      <c r="A835" s="9" t="n">
        <v>45</v>
      </c>
      <c r="B835" s="10" t="s">
        <v>21</v>
      </c>
      <c r="C835" s="11" t="n">
        <v>6037.976</v>
      </c>
      <c r="D835" s="10" t="s">
        <v>12</v>
      </c>
      <c r="E835" s="12" t="n">
        <v>8</v>
      </c>
      <c r="F835" s="12" t="n">
        <v>8</v>
      </c>
      <c r="G835" s="12" t="n">
        <v>0</v>
      </c>
      <c r="H835" s="9" t="n">
        <v>2</v>
      </c>
      <c r="I835" s="9" t="n">
        <v>29</v>
      </c>
      <c r="J835" s="9" t="n">
        <v>2</v>
      </c>
      <c r="K835" s="13" t="s">
        <v>16</v>
      </c>
    </row>
    <row r="836" customFormat="false" ht="15.75" hidden="false" customHeight="false" outlineLevel="0" collapsed="false">
      <c r="A836" s="9" t="n">
        <v>24</v>
      </c>
      <c r="B836" s="10" t="s">
        <v>14</v>
      </c>
      <c r="C836" s="11" t="n">
        <v>2597.924</v>
      </c>
      <c r="D836" s="10" t="s">
        <v>12</v>
      </c>
      <c r="E836" s="12" t="n">
        <v>8</v>
      </c>
      <c r="F836" s="12" t="n">
        <v>8</v>
      </c>
      <c r="G836" s="12" t="n">
        <v>0</v>
      </c>
      <c r="H836" s="9" t="n">
        <v>2</v>
      </c>
      <c r="I836" s="9" t="n">
        <v>42</v>
      </c>
      <c r="J836" s="9" t="n">
        <v>1</v>
      </c>
      <c r="K836" s="13" t="s">
        <v>13</v>
      </c>
    </row>
    <row r="837" customFormat="false" ht="15.75" hidden="false" customHeight="false" outlineLevel="0" collapsed="false">
      <c r="A837" s="9" t="n">
        <v>15</v>
      </c>
      <c r="B837" s="10" t="s">
        <v>14</v>
      </c>
      <c r="C837" s="11" t="n">
        <v>1189.097</v>
      </c>
      <c r="D837" s="10" t="s">
        <v>20</v>
      </c>
      <c r="E837" s="12" t="n">
        <v>0.5</v>
      </c>
      <c r="F837" s="12" t="n">
        <v>0.5</v>
      </c>
      <c r="G837" s="12" t="n">
        <v>0</v>
      </c>
      <c r="H837" s="9" t="n">
        <v>2</v>
      </c>
      <c r="I837" s="9" t="n">
        <v>25</v>
      </c>
      <c r="J837" s="9" t="n">
        <v>1</v>
      </c>
      <c r="K837" s="13" t="s">
        <v>16</v>
      </c>
    </row>
    <row r="838" customFormat="false" ht="15.75" hidden="false" customHeight="false" outlineLevel="0" collapsed="false">
      <c r="A838" s="9" t="n">
        <v>12</v>
      </c>
      <c r="B838" s="10" t="s">
        <v>21</v>
      </c>
      <c r="C838" s="11" t="n">
        <v>552.902</v>
      </c>
      <c r="D838" s="10" t="s">
        <v>15</v>
      </c>
      <c r="E838" s="12" t="n">
        <v>2.5</v>
      </c>
      <c r="F838" s="12" t="n">
        <v>2.5</v>
      </c>
      <c r="G838" s="12" t="n">
        <v>0</v>
      </c>
      <c r="H838" s="9" t="n">
        <v>4</v>
      </c>
      <c r="I838" s="9" t="n">
        <v>48</v>
      </c>
      <c r="J838" s="9" t="n">
        <v>2</v>
      </c>
      <c r="K838" s="13" t="s">
        <v>16</v>
      </c>
    </row>
    <row r="839" customFormat="false" ht="15.75" hidden="false" customHeight="false" outlineLevel="0" collapsed="false">
      <c r="A839" s="9" t="n">
        <v>12</v>
      </c>
      <c r="B839" s="10" t="s">
        <v>14</v>
      </c>
      <c r="C839" s="11" t="n">
        <v>452.746</v>
      </c>
      <c r="D839" s="10" t="s">
        <v>15</v>
      </c>
      <c r="E839" s="12" t="n">
        <v>2.5</v>
      </c>
      <c r="F839" s="12" t="n">
        <v>2.5</v>
      </c>
      <c r="G839" s="12" t="n">
        <v>0</v>
      </c>
      <c r="H839" s="9" t="n">
        <v>4</v>
      </c>
      <c r="I839" s="9" t="n">
        <v>21</v>
      </c>
      <c r="J839" s="9" t="n">
        <v>1</v>
      </c>
      <c r="K839" s="13" t="s">
        <v>13</v>
      </c>
    </row>
    <row r="840" customFormat="false" ht="15.75" hidden="false" customHeight="false" outlineLevel="0" collapsed="false">
      <c r="A840" s="9" t="n">
        <v>4</v>
      </c>
      <c r="B840" s="10" t="s">
        <v>14</v>
      </c>
      <c r="C840" s="11" t="n">
        <v>307.111</v>
      </c>
      <c r="D840" s="10" t="s">
        <v>20</v>
      </c>
      <c r="E840" s="12" t="n">
        <v>0.5</v>
      </c>
      <c r="F840" s="12" t="n">
        <v>0.5</v>
      </c>
      <c r="G840" s="12" t="n">
        <v>0</v>
      </c>
      <c r="H840" s="9" t="n">
        <v>1</v>
      </c>
      <c r="I840" s="9" t="n">
        <v>23</v>
      </c>
      <c r="J840" s="9" t="n">
        <v>1</v>
      </c>
      <c r="K840" s="13" t="s">
        <v>13</v>
      </c>
    </row>
    <row r="841" customFormat="false" ht="15.75" hidden="false" customHeight="false" outlineLevel="0" collapsed="false">
      <c r="A841" s="9" t="n">
        <v>24</v>
      </c>
      <c r="B841" s="10" t="s">
        <v>11</v>
      </c>
      <c r="C841" s="11" t="n">
        <v>1511.027</v>
      </c>
      <c r="D841" s="10" t="s">
        <v>12</v>
      </c>
      <c r="E841" s="12" t="n">
        <v>8</v>
      </c>
      <c r="F841" s="12" t="n">
        <v>8</v>
      </c>
      <c r="G841" s="12" t="n">
        <v>0</v>
      </c>
      <c r="H841" s="9" t="n">
        <v>4</v>
      </c>
      <c r="I841" s="9" t="n">
        <v>63</v>
      </c>
      <c r="J841" s="9" t="n">
        <v>2</v>
      </c>
      <c r="K841" s="13" t="s">
        <v>13</v>
      </c>
    </row>
    <row r="842" customFormat="false" ht="15.75" hidden="false" customHeight="false" outlineLevel="0" collapsed="false">
      <c r="A842" s="9" t="n">
        <v>24</v>
      </c>
      <c r="B842" s="10" t="s">
        <v>11</v>
      </c>
      <c r="C842" s="11" t="n">
        <v>1334.221</v>
      </c>
      <c r="D842" s="10" t="s">
        <v>12</v>
      </c>
      <c r="E842" s="12" t="n">
        <v>8</v>
      </c>
      <c r="F842" s="12" t="n">
        <v>8</v>
      </c>
      <c r="G842" s="12" t="n">
        <v>0</v>
      </c>
      <c r="H842" s="9" t="n">
        <v>4</v>
      </c>
      <c r="I842" s="9" t="n">
        <v>46</v>
      </c>
      <c r="J842" s="9" t="n">
        <v>2</v>
      </c>
      <c r="K842" s="13" t="s">
        <v>13</v>
      </c>
    </row>
    <row r="843" customFormat="false" ht="15.75" hidden="false" customHeight="false" outlineLevel="0" collapsed="false">
      <c r="A843" s="9" t="n">
        <v>36</v>
      </c>
      <c r="B843" s="10" t="s">
        <v>14</v>
      </c>
      <c r="C843" s="11" t="n">
        <v>2646.469</v>
      </c>
      <c r="D843" s="10" t="s">
        <v>17</v>
      </c>
      <c r="E843" s="12" t="n">
        <v>5.5</v>
      </c>
      <c r="F843" s="12" t="n">
        <v>5.5</v>
      </c>
      <c r="G843" s="12" t="n">
        <v>0</v>
      </c>
      <c r="H843" s="9" t="n">
        <v>4</v>
      </c>
      <c r="I843" s="9" t="n">
        <v>29</v>
      </c>
      <c r="J843" s="9" t="n">
        <v>1</v>
      </c>
      <c r="K843" s="13" t="s">
        <v>16</v>
      </c>
    </row>
    <row r="844" customFormat="false" ht="15.75" hidden="false" customHeight="false" outlineLevel="0" collapsed="false">
      <c r="A844" s="9" t="n">
        <v>21</v>
      </c>
      <c r="B844" s="10" t="s">
        <v>18</v>
      </c>
      <c r="C844" s="11" t="n">
        <v>1529.423</v>
      </c>
      <c r="D844" s="10" t="s">
        <v>15</v>
      </c>
      <c r="E844" s="12" t="n">
        <v>2.5</v>
      </c>
      <c r="F844" s="12" t="n">
        <v>2.5</v>
      </c>
      <c r="G844" s="12" t="n">
        <v>0</v>
      </c>
      <c r="H844" s="9" t="n">
        <v>3</v>
      </c>
      <c r="I844" s="9" t="n">
        <v>28</v>
      </c>
      <c r="J844" s="9" t="n">
        <v>2</v>
      </c>
      <c r="K844" s="13" t="s">
        <v>13</v>
      </c>
    </row>
    <row r="845" customFormat="false" ht="15.75" hidden="false" customHeight="false" outlineLevel="0" collapsed="false">
      <c r="A845" s="9" t="n">
        <v>18</v>
      </c>
      <c r="B845" s="10" t="s">
        <v>14</v>
      </c>
      <c r="C845" s="11" t="n">
        <v>992.873</v>
      </c>
      <c r="D845" s="10" t="s">
        <v>20</v>
      </c>
      <c r="E845" s="12" t="n">
        <v>0.5</v>
      </c>
      <c r="F845" s="12" t="n">
        <v>0.5</v>
      </c>
      <c r="G845" s="12" t="n">
        <v>0</v>
      </c>
      <c r="H845" s="9" t="n">
        <v>4</v>
      </c>
      <c r="I845" s="9" t="n">
        <v>23</v>
      </c>
      <c r="J845" s="9" t="n">
        <v>1</v>
      </c>
      <c r="K845" s="13" t="s">
        <v>16</v>
      </c>
    </row>
    <row r="846" customFormat="false" ht="15.75" hidden="false" customHeight="false" outlineLevel="0" collapsed="false">
      <c r="A846" s="9" t="n">
        <v>24</v>
      </c>
      <c r="B846" s="10" t="s">
        <v>22</v>
      </c>
      <c r="C846" s="11" t="n">
        <v>796.649</v>
      </c>
      <c r="D846" s="10" t="s">
        <v>17</v>
      </c>
      <c r="E846" s="12" t="n">
        <v>5.5</v>
      </c>
      <c r="F846" s="12" t="n">
        <v>5.5</v>
      </c>
      <c r="G846" s="12" t="n">
        <v>0</v>
      </c>
      <c r="H846" s="9" t="n">
        <v>4</v>
      </c>
      <c r="I846" s="9" t="n">
        <v>50</v>
      </c>
      <c r="J846" s="9" t="n">
        <v>1</v>
      </c>
      <c r="K846" s="13" t="s">
        <v>13</v>
      </c>
    </row>
    <row r="847" customFormat="false" ht="15.75" hidden="false" customHeight="false" outlineLevel="0" collapsed="false">
      <c r="A847" s="9" t="n">
        <v>18</v>
      </c>
      <c r="B847" s="10" t="s">
        <v>14</v>
      </c>
      <c r="C847" s="11" t="n">
        <v>1748.642</v>
      </c>
      <c r="D847" s="10" t="s">
        <v>12</v>
      </c>
      <c r="E847" s="12" t="n">
        <v>8</v>
      </c>
      <c r="F847" s="12" t="n">
        <v>8</v>
      </c>
      <c r="G847" s="12" t="n">
        <v>0</v>
      </c>
      <c r="H847" s="9" t="n">
        <v>4</v>
      </c>
      <c r="I847" s="9" t="n">
        <v>47</v>
      </c>
      <c r="J847" s="9" t="n">
        <v>3</v>
      </c>
      <c r="K847" s="13" t="s">
        <v>13</v>
      </c>
    </row>
    <row r="848" customFormat="false" ht="15.75" hidden="false" customHeight="false" outlineLevel="0" collapsed="false">
      <c r="A848" s="9" t="n">
        <v>21</v>
      </c>
      <c r="B848" s="10" t="s">
        <v>14</v>
      </c>
      <c r="C848" s="11" t="n">
        <v>2031.736</v>
      </c>
      <c r="D848" s="10" t="s">
        <v>17</v>
      </c>
      <c r="E848" s="12" t="n">
        <v>5.5</v>
      </c>
      <c r="F848" s="12" t="n">
        <v>5.5</v>
      </c>
      <c r="G848" s="12" t="n">
        <v>0</v>
      </c>
      <c r="H848" s="9" t="n">
        <v>2</v>
      </c>
      <c r="I848" s="9" t="n">
        <v>35</v>
      </c>
      <c r="J848" s="9" t="n">
        <v>1</v>
      </c>
      <c r="K848" s="13" t="s">
        <v>13</v>
      </c>
    </row>
    <row r="849" customFormat="false" ht="15.75" hidden="false" customHeight="false" outlineLevel="0" collapsed="false">
      <c r="A849" s="9" t="n">
        <v>18</v>
      </c>
      <c r="B849" s="10" t="s">
        <v>14</v>
      </c>
      <c r="C849" s="11" t="n">
        <v>3454.871</v>
      </c>
      <c r="D849" s="10" t="s">
        <v>15</v>
      </c>
      <c r="E849" s="12" t="n">
        <v>2.5</v>
      </c>
      <c r="F849" s="12" t="n">
        <v>2.5</v>
      </c>
      <c r="G849" s="12" t="n">
        <v>0</v>
      </c>
      <c r="H849" s="9" t="n">
        <v>2</v>
      </c>
      <c r="I849" s="9" t="n">
        <v>68</v>
      </c>
      <c r="J849" s="9" t="n">
        <v>2</v>
      </c>
      <c r="K849" s="13" t="s">
        <v>16</v>
      </c>
    </row>
    <row r="850" customFormat="false" ht="15.75" hidden="false" customHeight="false" outlineLevel="0" collapsed="false">
      <c r="A850" s="9" t="n">
        <v>24</v>
      </c>
      <c r="B850" s="10" t="s">
        <v>14</v>
      </c>
      <c r="C850" s="11" t="n">
        <v>638.239</v>
      </c>
      <c r="D850" s="10" t="s">
        <v>20</v>
      </c>
      <c r="E850" s="12" t="n">
        <v>0.5</v>
      </c>
      <c r="F850" s="12" t="n">
        <v>0.5</v>
      </c>
      <c r="G850" s="12" t="n">
        <v>0</v>
      </c>
      <c r="H850" s="9" t="n">
        <v>4</v>
      </c>
      <c r="I850" s="9" t="n">
        <v>28</v>
      </c>
      <c r="J850" s="9" t="n">
        <v>1</v>
      </c>
      <c r="K850" s="13" t="s">
        <v>13</v>
      </c>
    </row>
    <row r="851" customFormat="false" ht="15.75" hidden="false" customHeight="false" outlineLevel="0" collapsed="false">
      <c r="A851" s="9" t="n">
        <v>9</v>
      </c>
      <c r="B851" s="10" t="s">
        <v>14</v>
      </c>
      <c r="C851" s="11" t="n">
        <v>697.004</v>
      </c>
      <c r="D851" s="10" t="s">
        <v>17</v>
      </c>
      <c r="E851" s="12" t="n">
        <v>5.5</v>
      </c>
      <c r="F851" s="12" t="n">
        <v>5.5</v>
      </c>
      <c r="G851" s="12" t="n">
        <v>0</v>
      </c>
      <c r="H851" s="9" t="n">
        <v>3</v>
      </c>
      <c r="I851" s="9" t="n">
        <v>59</v>
      </c>
      <c r="J851" s="9" t="n">
        <v>1</v>
      </c>
      <c r="K851" s="13" t="s">
        <v>13</v>
      </c>
    </row>
    <row r="852" customFormat="false" ht="15.75" hidden="false" customHeight="false" outlineLevel="0" collapsed="false">
      <c r="A852" s="9" t="n">
        <v>12</v>
      </c>
      <c r="B852" s="10" t="s">
        <v>14</v>
      </c>
      <c r="C852" s="11" t="n">
        <v>362.299</v>
      </c>
      <c r="D852" s="10" t="s">
        <v>12</v>
      </c>
      <c r="E852" s="12" t="n">
        <v>8</v>
      </c>
      <c r="F852" s="12" t="n">
        <v>8</v>
      </c>
      <c r="G852" s="12" t="n">
        <v>0</v>
      </c>
      <c r="H852" s="9" t="n">
        <v>4</v>
      </c>
      <c r="I852" s="9" t="n">
        <v>57</v>
      </c>
      <c r="J852" s="9" t="n">
        <v>1</v>
      </c>
      <c r="K852" s="13" t="s">
        <v>16</v>
      </c>
    </row>
    <row r="853" customFormat="false" ht="15.75" hidden="false" customHeight="false" outlineLevel="0" collapsed="false">
      <c r="A853" s="9" t="n">
        <v>20</v>
      </c>
      <c r="B853" s="10" t="s">
        <v>11</v>
      </c>
      <c r="C853" s="11" t="n">
        <v>1142.085</v>
      </c>
      <c r="D853" s="10" t="s">
        <v>15</v>
      </c>
      <c r="E853" s="12" t="n">
        <v>2.5</v>
      </c>
      <c r="F853" s="12" t="n">
        <v>2.5</v>
      </c>
      <c r="G853" s="12" t="n">
        <v>0</v>
      </c>
      <c r="H853" s="9" t="n">
        <v>4</v>
      </c>
      <c r="I853" s="9" t="n">
        <v>33</v>
      </c>
      <c r="J853" s="9" t="n">
        <v>2</v>
      </c>
      <c r="K853" s="13" t="s">
        <v>16</v>
      </c>
    </row>
    <row r="854" customFormat="false" ht="15.75" hidden="false" customHeight="false" outlineLevel="0" collapsed="false">
      <c r="A854" s="9" t="n">
        <v>24</v>
      </c>
      <c r="B854" s="10" t="s">
        <v>11</v>
      </c>
      <c r="C854" s="11" t="n">
        <v>2065.462</v>
      </c>
      <c r="D854" s="10" t="s">
        <v>17</v>
      </c>
      <c r="E854" s="12" t="n">
        <v>5.5</v>
      </c>
      <c r="F854" s="12" t="n">
        <v>5.5</v>
      </c>
      <c r="G854" s="12" t="n">
        <v>0</v>
      </c>
      <c r="H854" s="9" t="n">
        <v>3</v>
      </c>
      <c r="I854" s="9" t="n">
        <v>43</v>
      </c>
      <c r="J854" s="9" t="n">
        <v>2</v>
      </c>
      <c r="K854" s="13" t="s">
        <v>13</v>
      </c>
    </row>
    <row r="855" customFormat="false" ht="15.75" hidden="false" customHeight="false" outlineLevel="0" collapsed="false">
      <c r="A855" s="9" t="n">
        <v>15</v>
      </c>
      <c r="B855" s="10" t="s">
        <v>11</v>
      </c>
      <c r="C855" s="11" t="n">
        <v>751.681</v>
      </c>
      <c r="D855" s="10" t="s">
        <v>15</v>
      </c>
      <c r="E855" s="12" t="n">
        <v>2.5</v>
      </c>
      <c r="F855" s="12" t="n">
        <v>2.5</v>
      </c>
      <c r="G855" s="12" t="n">
        <v>0</v>
      </c>
      <c r="H855" s="9" t="n">
        <v>4</v>
      </c>
      <c r="I855" s="9" t="n">
        <v>35</v>
      </c>
      <c r="J855" s="9" t="n">
        <v>2</v>
      </c>
      <c r="K855" s="13" t="s">
        <v>13</v>
      </c>
    </row>
    <row r="856" customFormat="false" ht="15.75" hidden="false" customHeight="false" outlineLevel="0" collapsed="false">
      <c r="A856" s="9" t="n">
        <v>18</v>
      </c>
      <c r="B856" s="10" t="s">
        <v>22</v>
      </c>
      <c r="C856" s="11" t="n">
        <v>736.862</v>
      </c>
      <c r="D856" s="10" t="s">
        <v>17</v>
      </c>
      <c r="E856" s="12" t="n">
        <v>5.5</v>
      </c>
      <c r="F856" s="12" t="n">
        <v>5.5</v>
      </c>
      <c r="G856" s="12" t="n">
        <v>0</v>
      </c>
      <c r="H856" s="9" t="n">
        <v>4</v>
      </c>
      <c r="I856" s="9" t="n">
        <v>32</v>
      </c>
      <c r="J856" s="9" t="n">
        <v>2</v>
      </c>
      <c r="K856" s="13" t="s">
        <v>16</v>
      </c>
    </row>
    <row r="857" customFormat="false" ht="15.75" hidden="false" customHeight="false" outlineLevel="0" collapsed="false">
      <c r="A857" s="9" t="n">
        <v>36</v>
      </c>
      <c r="B857" s="10" t="s">
        <v>18</v>
      </c>
      <c r="C857" s="11" t="n">
        <v>5557.125</v>
      </c>
      <c r="D857" s="10" t="s">
        <v>12</v>
      </c>
      <c r="E857" s="12" t="n">
        <v>8</v>
      </c>
      <c r="F857" s="12" t="n">
        <v>8</v>
      </c>
      <c r="G857" s="12" t="n">
        <v>0</v>
      </c>
      <c r="H857" s="9" t="n">
        <v>2</v>
      </c>
      <c r="I857" s="9" t="n">
        <v>45</v>
      </c>
      <c r="J857" s="9" t="n">
        <v>2</v>
      </c>
      <c r="K857" s="13" t="s">
        <v>13</v>
      </c>
    </row>
    <row r="858" customFormat="false" ht="15.75" hidden="false" customHeight="false" outlineLevel="0" collapsed="false">
      <c r="A858" s="9" t="n">
        <v>24</v>
      </c>
      <c r="B858" s="10" t="s">
        <v>14</v>
      </c>
      <c r="C858" s="11" t="n">
        <v>753.214</v>
      </c>
      <c r="D858" s="10" t="s">
        <v>20</v>
      </c>
      <c r="E858" s="12" t="n">
        <v>0.5</v>
      </c>
      <c r="F858" s="12" t="n">
        <v>0.5</v>
      </c>
      <c r="G858" s="12" t="n">
        <v>0</v>
      </c>
      <c r="H858" s="9" t="n">
        <v>4</v>
      </c>
      <c r="I858" s="9" t="n">
        <v>33</v>
      </c>
      <c r="J858" s="9" t="n">
        <v>1</v>
      </c>
      <c r="K858" s="13" t="s">
        <v>13</v>
      </c>
    </row>
    <row r="859" customFormat="false" ht="15.75" hidden="false" customHeight="false" outlineLevel="0" collapsed="false">
      <c r="A859" s="9" t="n">
        <v>10</v>
      </c>
      <c r="B859" s="10" t="s">
        <v>14</v>
      </c>
      <c r="C859" s="11" t="n">
        <v>456.834</v>
      </c>
      <c r="D859" s="10" t="s">
        <v>17</v>
      </c>
      <c r="E859" s="12" t="n">
        <v>5.5</v>
      </c>
      <c r="F859" s="12" t="n">
        <v>5.5</v>
      </c>
      <c r="G859" s="12" t="n">
        <v>0</v>
      </c>
      <c r="H859" s="9" t="n">
        <v>4</v>
      </c>
      <c r="I859" s="9" t="n">
        <v>40</v>
      </c>
      <c r="J859" s="9" t="n">
        <v>1</v>
      </c>
      <c r="K859" s="13" t="s">
        <v>13</v>
      </c>
    </row>
    <row r="860" customFormat="false" ht="15.75" hidden="false" customHeight="false" outlineLevel="0" collapsed="false">
      <c r="A860" s="9" t="n">
        <v>15</v>
      </c>
      <c r="B860" s="10" t="s">
        <v>11</v>
      </c>
      <c r="C860" s="11" t="n">
        <v>1708.273</v>
      </c>
      <c r="D860" s="10" t="s">
        <v>15</v>
      </c>
      <c r="E860" s="12" t="n">
        <v>2.5</v>
      </c>
      <c r="F860" s="12" t="n">
        <v>2.5</v>
      </c>
      <c r="G860" s="12" t="n">
        <v>0</v>
      </c>
      <c r="H860" s="9" t="n">
        <v>4</v>
      </c>
      <c r="I860" s="9" t="n">
        <v>28</v>
      </c>
      <c r="J860" s="9" t="n">
        <v>1</v>
      </c>
      <c r="K860" s="13" t="s">
        <v>13</v>
      </c>
    </row>
    <row r="861" customFormat="false" ht="15.75" hidden="false" customHeight="false" outlineLevel="0" collapsed="false">
      <c r="A861" s="9" t="n">
        <v>15</v>
      </c>
      <c r="B861" s="10" t="s">
        <v>14</v>
      </c>
      <c r="C861" s="11" t="n">
        <v>2023.049</v>
      </c>
      <c r="D861" s="10" t="s">
        <v>15</v>
      </c>
      <c r="E861" s="12" t="n">
        <v>2.5</v>
      </c>
      <c r="F861" s="12" t="n">
        <v>2.5</v>
      </c>
      <c r="G861" s="12" t="n">
        <v>0</v>
      </c>
      <c r="H861" s="9" t="n">
        <v>3</v>
      </c>
      <c r="I861" s="9" t="n">
        <v>29</v>
      </c>
      <c r="J861" s="9" t="n">
        <v>1</v>
      </c>
      <c r="K861" s="13" t="s">
        <v>16</v>
      </c>
    </row>
    <row r="862" customFormat="false" ht="15.75" hidden="false" customHeight="false" outlineLevel="0" collapsed="false">
      <c r="A862" s="9" t="n">
        <v>9</v>
      </c>
      <c r="B862" s="10" t="s">
        <v>14</v>
      </c>
      <c r="C862" s="11" t="n">
        <v>1827.847</v>
      </c>
      <c r="D862" s="10" t="s">
        <v>15</v>
      </c>
      <c r="E862" s="12" t="n">
        <v>2.5</v>
      </c>
      <c r="F862" s="12" t="n">
        <v>2.5</v>
      </c>
      <c r="G862" s="12" t="n">
        <v>0</v>
      </c>
      <c r="H862" s="9" t="n">
        <v>1</v>
      </c>
      <c r="I862" s="9" t="n">
        <v>26</v>
      </c>
      <c r="J862" s="9" t="n">
        <v>1</v>
      </c>
      <c r="K862" s="13" t="s">
        <v>13</v>
      </c>
    </row>
    <row r="863" customFormat="false" ht="15.75" hidden="false" customHeight="false" outlineLevel="0" collapsed="false">
      <c r="A863" s="9" t="n">
        <v>24</v>
      </c>
      <c r="B863" s="10" t="s">
        <v>11</v>
      </c>
      <c r="C863" s="11" t="n">
        <v>2965.844</v>
      </c>
      <c r="D863" s="10" t="s">
        <v>15</v>
      </c>
      <c r="E863" s="12" t="n">
        <v>2.5</v>
      </c>
      <c r="F863" s="12" t="n">
        <v>2.5</v>
      </c>
      <c r="G863" s="12" t="n">
        <v>0</v>
      </c>
      <c r="H863" s="9" t="n">
        <v>4</v>
      </c>
      <c r="I863" s="9" t="n">
        <v>27</v>
      </c>
      <c r="J863" s="9" t="n">
        <v>2</v>
      </c>
      <c r="K863" s="13" t="s">
        <v>13</v>
      </c>
    </row>
    <row r="864" customFormat="false" ht="15.75" hidden="false" customHeight="false" outlineLevel="0" collapsed="false">
      <c r="A864" s="9" t="n">
        <v>18</v>
      </c>
      <c r="B864" s="10" t="s">
        <v>18</v>
      </c>
      <c r="C864" s="11" t="n">
        <v>1108.359</v>
      </c>
      <c r="D864" s="10" t="s">
        <v>15</v>
      </c>
      <c r="E864" s="12" t="n">
        <v>2.5</v>
      </c>
      <c r="F864" s="12" t="n">
        <v>2.5</v>
      </c>
      <c r="G864" s="12" t="n">
        <v>0</v>
      </c>
      <c r="H864" s="9" t="n">
        <v>4</v>
      </c>
      <c r="I864" s="9" t="n">
        <v>28</v>
      </c>
      <c r="J864" s="9" t="n">
        <v>1</v>
      </c>
      <c r="K864" s="13" t="s">
        <v>16</v>
      </c>
    </row>
    <row r="865" customFormat="false" ht="15.75" hidden="false" customHeight="false" outlineLevel="0" collapsed="false">
      <c r="A865" s="9" t="n">
        <v>24</v>
      </c>
      <c r="B865" s="10" t="s">
        <v>14</v>
      </c>
      <c r="C865" s="11" t="n">
        <v>1246.329</v>
      </c>
      <c r="D865" s="10" t="s">
        <v>20</v>
      </c>
      <c r="E865" s="12" t="n">
        <v>0.5</v>
      </c>
      <c r="F865" s="12" t="n">
        <v>0.5</v>
      </c>
      <c r="G865" s="12" t="n">
        <v>0</v>
      </c>
      <c r="H865" s="9" t="n">
        <v>4</v>
      </c>
      <c r="I865" s="9" t="n">
        <v>35</v>
      </c>
      <c r="J865" s="9" t="n">
        <v>1</v>
      </c>
      <c r="K865" s="13" t="s">
        <v>16</v>
      </c>
    </row>
    <row r="866" customFormat="false" ht="15.75" hidden="false" customHeight="false" outlineLevel="0" collapsed="false">
      <c r="A866" s="9" t="n">
        <v>27</v>
      </c>
      <c r="B866" s="10" t="s">
        <v>11</v>
      </c>
      <c r="C866" s="11" t="n">
        <v>2312.786</v>
      </c>
      <c r="D866" s="10" t="s">
        <v>20</v>
      </c>
      <c r="E866" s="12" t="n">
        <v>0.5</v>
      </c>
      <c r="F866" s="12" t="n">
        <v>0.5</v>
      </c>
      <c r="G866" s="12" t="n">
        <v>0</v>
      </c>
      <c r="H866" s="9" t="n">
        <v>4</v>
      </c>
      <c r="I866" s="9" t="n">
        <v>32</v>
      </c>
      <c r="J866" s="9" t="n">
        <v>2</v>
      </c>
      <c r="K866" s="13" t="s">
        <v>13</v>
      </c>
    </row>
    <row r="867" customFormat="false" ht="15.75" hidden="false" customHeight="false" outlineLevel="0" collapsed="false">
      <c r="A867" s="9" t="n">
        <v>10</v>
      </c>
      <c r="B867" s="10" t="s">
        <v>14</v>
      </c>
      <c r="C867" s="11" t="n">
        <v>1129.31</v>
      </c>
      <c r="D867" s="10" t="s">
        <v>15</v>
      </c>
      <c r="E867" s="12" t="n">
        <v>2.5</v>
      </c>
      <c r="F867" s="12" t="n">
        <v>2.5</v>
      </c>
      <c r="G867" s="12" t="n">
        <v>0</v>
      </c>
      <c r="H867" s="9" t="n">
        <v>2</v>
      </c>
      <c r="I867" s="9" t="n">
        <v>25</v>
      </c>
      <c r="J867" s="9" t="n">
        <v>1</v>
      </c>
      <c r="K867" s="13" t="s">
        <v>16</v>
      </c>
    </row>
    <row r="868" customFormat="false" ht="15.75" hidden="false" customHeight="false" outlineLevel="0" collapsed="false">
      <c r="A868" s="9" t="n">
        <v>15</v>
      </c>
      <c r="B868" s="10" t="s">
        <v>14</v>
      </c>
      <c r="C868" s="11" t="n">
        <v>1134.931</v>
      </c>
      <c r="D868" s="10" t="s">
        <v>15</v>
      </c>
      <c r="E868" s="12" t="n">
        <v>2.5</v>
      </c>
      <c r="F868" s="12" t="n">
        <v>2</v>
      </c>
      <c r="G868" s="12" t="n">
        <v>1</v>
      </c>
      <c r="H868" s="9" t="n">
        <v>2</v>
      </c>
      <c r="I868" s="9" t="n">
        <v>20</v>
      </c>
      <c r="J868" s="9" t="n">
        <v>1</v>
      </c>
      <c r="K868" s="13" t="s">
        <v>13</v>
      </c>
    </row>
    <row r="869" customFormat="false" ht="15.75" hidden="false" customHeight="false" outlineLevel="0" collapsed="false">
      <c r="A869" s="9" t="n">
        <v>18</v>
      </c>
      <c r="B869" s="10" t="s">
        <v>14</v>
      </c>
      <c r="C869" s="11" t="n">
        <v>1220.779</v>
      </c>
      <c r="D869" s="10" t="s">
        <v>20</v>
      </c>
      <c r="E869" s="12" t="n">
        <v>0.5</v>
      </c>
      <c r="F869" s="12" t="n">
        <v>0.5</v>
      </c>
      <c r="G869" s="12" t="n">
        <v>0</v>
      </c>
      <c r="H869" s="9" t="n">
        <v>4</v>
      </c>
      <c r="I869" s="9" t="n">
        <v>27</v>
      </c>
      <c r="J869" s="9" t="n">
        <v>1</v>
      </c>
      <c r="K869" s="13" t="s">
        <v>13</v>
      </c>
    </row>
    <row r="870" customFormat="false" ht="15.75" hidden="false" customHeight="false" outlineLevel="0" collapsed="false">
      <c r="A870" s="9" t="n">
        <v>12</v>
      </c>
      <c r="B870" s="10" t="s">
        <v>11</v>
      </c>
      <c r="C870" s="11" t="n">
        <v>1702.141</v>
      </c>
      <c r="D870" s="10" t="s">
        <v>12</v>
      </c>
      <c r="E870" s="12" t="n">
        <v>8</v>
      </c>
      <c r="F870" s="12" t="n">
        <v>8</v>
      </c>
      <c r="G870" s="12" t="n">
        <v>0</v>
      </c>
      <c r="H870" s="9" t="n">
        <v>2</v>
      </c>
      <c r="I870" s="9" t="n">
        <v>42</v>
      </c>
      <c r="J870" s="9" t="n">
        <v>1</v>
      </c>
      <c r="K870" s="13" t="s">
        <v>13</v>
      </c>
    </row>
    <row r="871" customFormat="false" ht="15.75" hidden="false" customHeight="false" outlineLevel="0" collapsed="false">
      <c r="A871" s="9" t="n">
        <v>36</v>
      </c>
      <c r="B871" s="10" t="s">
        <v>14</v>
      </c>
      <c r="C871" s="11" t="n">
        <v>3785.999</v>
      </c>
      <c r="D871" s="10" t="s">
        <v>12</v>
      </c>
      <c r="E871" s="12" t="n">
        <v>8</v>
      </c>
      <c r="F871" s="12" t="n">
        <v>8</v>
      </c>
      <c r="G871" s="12" t="n">
        <v>0</v>
      </c>
      <c r="H871" s="9" t="n">
        <v>3</v>
      </c>
      <c r="I871" s="9" t="n">
        <v>37</v>
      </c>
      <c r="J871" s="9" t="n">
        <v>2</v>
      </c>
      <c r="K871" s="13" t="s">
        <v>13</v>
      </c>
    </row>
    <row r="872" customFormat="false" ht="15.75" hidden="false" customHeight="false" outlineLevel="0" collapsed="false">
      <c r="A872" s="9" t="n">
        <v>12</v>
      </c>
      <c r="B872" s="10" t="s">
        <v>14</v>
      </c>
      <c r="C872" s="11" t="n">
        <v>333.172</v>
      </c>
      <c r="D872" s="10" t="s">
        <v>12</v>
      </c>
      <c r="E872" s="12" t="n">
        <v>8</v>
      </c>
      <c r="F872" s="12" t="n">
        <v>6</v>
      </c>
      <c r="G872" s="12" t="n">
        <v>1</v>
      </c>
      <c r="H872" s="9" t="n">
        <v>4</v>
      </c>
      <c r="I872" s="9" t="n">
        <v>24</v>
      </c>
      <c r="J872" s="9" t="n">
        <v>1</v>
      </c>
      <c r="K872" s="13" t="s">
        <v>13</v>
      </c>
    </row>
    <row r="873" customFormat="false" ht="15.75" hidden="false" customHeight="false" outlineLevel="0" collapsed="false">
      <c r="A873" s="9" t="n">
        <v>36</v>
      </c>
      <c r="B873" s="10" t="s">
        <v>18</v>
      </c>
      <c r="C873" s="11" t="n">
        <v>3923.458</v>
      </c>
      <c r="D873" s="10" t="s">
        <v>17</v>
      </c>
      <c r="E873" s="12" t="n">
        <v>5.5</v>
      </c>
      <c r="F873" s="12" t="n">
        <v>5.5</v>
      </c>
      <c r="G873" s="12" t="n">
        <v>0</v>
      </c>
      <c r="H873" s="9" t="n">
        <v>2</v>
      </c>
      <c r="I873" s="9" t="n">
        <v>40</v>
      </c>
      <c r="J873" s="9" t="n">
        <v>2</v>
      </c>
      <c r="K873" s="13" t="s">
        <v>13</v>
      </c>
    </row>
    <row r="874" customFormat="false" ht="15.75" hidden="false" customHeight="false" outlineLevel="0" collapsed="false">
      <c r="A874" s="9" t="n">
        <v>6</v>
      </c>
      <c r="B874" s="10" t="s">
        <v>11</v>
      </c>
      <c r="C874" s="11" t="n">
        <v>686.273</v>
      </c>
      <c r="D874" s="10" t="s">
        <v>12</v>
      </c>
      <c r="E874" s="12" t="n">
        <v>8</v>
      </c>
      <c r="F874" s="12" t="n">
        <v>8</v>
      </c>
      <c r="G874" s="12" t="n">
        <v>0</v>
      </c>
      <c r="H874" s="9" t="n">
        <v>1</v>
      </c>
      <c r="I874" s="9" t="n">
        <v>46</v>
      </c>
      <c r="J874" s="9" t="n">
        <v>2</v>
      </c>
      <c r="K874" s="13" t="s">
        <v>13</v>
      </c>
    </row>
    <row r="875" customFormat="false" ht="15.75" hidden="false" customHeight="false" outlineLevel="0" collapsed="false">
      <c r="A875" s="9" t="n">
        <v>24</v>
      </c>
      <c r="B875" s="10" t="s">
        <v>11</v>
      </c>
      <c r="C875" s="11" t="n">
        <v>706.202</v>
      </c>
      <c r="D875" s="10" t="s">
        <v>17</v>
      </c>
      <c r="E875" s="12" t="n">
        <v>5.5</v>
      </c>
      <c r="F875" s="12" t="n">
        <v>5.5</v>
      </c>
      <c r="G875" s="12" t="n">
        <v>0</v>
      </c>
      <c r="H875" s="9" t="n">
        <v>4</v>
      </c>
      <c r="I875" s="9" t="n">
        <v>26</v>
      </c>
      <c r="J875" s="9" t="n">
        <v>2</v>
      </c>
      <c r="K875" s="13" t="s">
        <v>13</v>
      </c>
    </row>
    <row r="876" customFormat="false" ht="15.75" hidden="false" customHeight="false" outlineLevel="0" collapsed="false">
      <c r="A876" s="9" t="n">
        <v>15</v>
      </c>
      <c r="B876" s="10" t="s">
        <v>14</v>
      </c>
      <c r="C876" s="11" t="n">
        <v>446.614</v>
      </c>
      <c r="D876" s="10" t="s">
        <v>20</v>
      </c>
      <c r="E876" s="12" t="n">
        <v>0.5</v>
      </c>
      <c r="F876" s="12" t="n">
        <v>0.5</v>
      </c>
      <c r="G876" s="12" t="n">
        <v>0</v>
      </c>
      <c r="H876" s="9" t="n">
        <v>4</v>
      </c>
      <c r="I876" s="9" t="n">
        <v>24</v>
      </c>
      <c r="J876" s="9" t="n">
        <v>1</v>
      </c>
      <c r="K876" s="13" t="s">
        <v>13</v>
      </c>
    </row>
    <row r="877" customFormat="false" ht="15.75" hidden="false" customHeight="false" outlineLevel="0" collapsed="false">
      <c r="A877" s="9" t="n">
        <v>12</v>
      </c>
      <c r="B877" s="10" t="s">
        <v>14</v>
      </c>
      <c r="C877" s="11" t="n">
        <v>1834.49</v>
      </c>
      <c r="D877" s="10" t="s">
        <v>15</v>
      </c>
      <c r="E877" s="12" t="n">
        <v>2.5</v>
      </c>
      <c r="F877" s="12" t="n">
        <v>2.5</v>
      </c>
      <c r="G877" s="12" t="n">
        <v>0</v>
      </c>
      <c r="H877" s="9" t="n">
        <v>2</v>
      </c>
      <c r="I877" s="9" t="n">
        <v>29</v>
      </c>
      <c r="J877" s="9" t="n">
        <v>1</v>
      </c>
      <c r="K877" s="13" t="s">
        <v>13</v>
      </c>
    </row>
    <row r="878" customFormat="false" ht="15.75" hidden="false" customHeight="false" outlineLevel="0" collapsed="false">
      <c r="A878" s="9" t="n">
        <v>11</v>
      </c>
      <c r="B878" s="10" t="s">
        <v>11</v>
      </c>
      <c r="C878" s="11" t="n">
        <v>675.542</v>
      </c>
      <c r="D878" s="10" t="s">
        <v>15</v>
      </c>
      <c r="E878" s="12" t="n">
        <v>2.5</v>
      </c>
      <c r="F878" s="12" t="n">
        <v>2.5</v>
      </c>
      <c r="G878" s="12" t="n">
        <v>0</v>
      </c>
      <c r="H878" s="9" t="n">
        <v>4</v>
      </c>
      <c r="I878" s="9" t="n">
        <v>40</v>
      </c>
      <c r="J878" s="9" t="n">
        <v>2</v>
      </c>
      <c r="K878" s="13" t="s">
        <v>13</v>
      </c>
    </row>
    <row r="879" customFormat="false" ht="15.75" hidden="false" customHeight="false" outlineLevel="0" collapsed="false">
      <c r="A879" s="9" t="n">
        <v>18</v>
      </c>
      <c r="B879" s="10" t="s">
        <v>22</v>
      </c>
      <c r="C879" s="11" t="n">
        <v>991.34</v>
      </c>
      <c r="D879" s="10" t="s">
        <v>20</v>
      </c>
      <c r="E879" s="12" t="n">
        <v>0.5</v>
      </c>
      <c r="F879" s="12" t="n">
        <v>0.5</v>
      </c>
      <c r="G879" s="12" t="n">
        <v>0</v>
      </c>
      <c r="H879" s="9" t="n">
        <v>3</v>
      </c>
      <c r="I879" s="9" t="n">
        <v>36</v>
      </c>
      <c r="J879" s="9" t="n">
        <v>1</v>
      </c>
      <c r="K879" s="13" t="s">
        <v>13</v>
      </c>
    </row>
    <row r="880" customFormat="false" ht="15.75" hidden="false" customHeight="false" outlineLevel="0" collapsed="false">
      <c r="A880" s="9" t="n">
        <v>36</v>
      </c>
      <c r="B880" s="10" t="s">
        <v>14</v>
      </c>
      <c r="C880" s="11" t="n">
        <v>1837.045</v>
      </c>
      <c r="D880" s="10" t="s">
        <v>12</v>
      </c>
      <c r="E880" s="12" t="n">
        <v>8</v>
      </c>
      <c r="F880" s="12" t="n">
        <v>8</v>
      </c>
      <c r="G880" s="12" t="n">
        <v>0</v>
      </c>
      <c r="H880" s="9" t="n">
        <v>4</v>
      </c>
      <c r="I880" s="9" t="n">
        <v>28</v>
      </c>
      <c r="J880" s="9" t="n">
        <v>1</v>
      </c>
      <c r="K880" s="13" t="s">
        <v>13</v>
      </c>
    </row>
    <row r="881" customFormat="false" ht="15.75" hidden="false" customHeight="false" outlineLevel="0" collapsed="false">
      <c r="A881" s="9" t="n">
        <v>9</v>
      </c>
      <c r="B881" s="10" t="s">
        <v>14</v>
      </c>
      <c r="C881" s="11" t="n">
        <v>726.642</v>
      </c>
      <c r="D881" s="10" t="s">
        <v>20</v>
      </c>
      <c r="E881" s="12" t="n">
        <v>0.5</v>
      </c>
      <c r="F881" s="12" t="n">
        <v>0.5</v>
      </c>
      <c r="G881" s="12" t="n">
        <v>0</v>
      </c>
      <c r="H881" s="9" t="n">
        <v>3</v>
      </c>
      <c r="I881" s="9" t="n">
        <v>27</v>
      </c>
      <c r="J881" s="9" t="n">
        <v>1</v>
      </c>
      <c r="K881" s="13" t="s">
        <v>16</v>
      </c>
    </row>
    <row r="882" customFormat="false" ht="15.75" hidden="false" customHeight="false" outlineLevel="0" collapsed="false">
      <c r="A882" s="9" t="n">
        <v>30</v>
      </c>
      <c r="B882" s="10" t="s">
        <v>11</v>
      </c>
      <c r="C882" s="11" t="n">
        <v>3445.162</v>
      </c>
      <c r="D882" s="10" t="s">
        <v>17</v>
      </c>
      <c r="E882" s="12" t="n">
        <v>5.5</v>
      </c>
      <c r="F882" s="12" t="n">
        <v>5.5</v>
      </c>
      <c r="G882" s="12" t="n">
        <v>0</v>
      </c>
      <c r="H882" s="9" t="n">
        <v>2</v>
      </c>
      <c r="I882" s="9" t="n">
        <v>36</v>
      </c>
      <c r="J882" s="9" t="n">
        <v>2</v>
      </c>
      <c r="K882" s="13" t="s">
        <v>13</v>
      </c>
    </row>
    <row r="883" customFormat="false" ht="15.75" hidden="false" customHeight="false" outlineLevel="0" collapsed="false">
      <c r="A883" s="9" t="n">
        <v>24</v>
      </c>
      <c r="B883" s="10" t="s">
        <v>14</v>
      </c>
      <c r="C883" s="11" t="n">
        <v>3992.954</v>
      </c>
      <c r="D883" s="10" t="s">
        <v>17</v>
      </c>
      <c r="E883" s="12" t="n">
        <v>5.5</v>
      </c>
      <c r="F883" s="12" t="n">
        <v>5.5</v>
      </c>
      <c r="G883" s="12" t="n">
        <v>0</v>
      </c>
      <c r="H883" s="9" t="n">
        <v>3</v>
      </c>
      <c r="I883" s="9" t="n">
        <v>38</v>
      </c>
      <c r="J883" s="9" t="n">
        <v>1</v>
      </c>
      <c r="K883" s="13" t="s">
        <v>13</v>
      </c>
    </row>
    <row r="884" customFormat="false" ht="15.75" hidden="false" customHeight="false" outlineLevel="0" collapsed="false">
      <c r="A884" s="9" t="n">
        <v>24</v>
      </c>
      <c r="B884" s="10" t="s">
        <v>14</v>
      </c>
      <c r="C884" s="11" t="n">
        <v>4740.547</v>
      </c>
      <c r="D884" s="10" t="s">
        <v>15</v>
      </c>
      <c r="E884" s="12" t="n">
        <v>2.5</v>
      </c>
      <c r="F884" s="12" t="n">
        <v>2.5</v>
      </c>
      <c r="G884" s="12" t="n">
        <v>0</v>
      </c>
      <c r="H884" s="9" t="n">
        <v>2</v>
      </c>
      <c r="I884" s="9" t="n">
        <v>48</v>
      </c>
      <c r="J884" s="9" t="n">
        <v>1</v>
      </c>
      <c r="K884" s="13" t="s">
        <v>13</v>
      </c>
    </row>
    <row r="885" customFormat="false" ht="15.75" hidden="false" customHeight="false" outlineLevel="0" collapsed="false">
      <c r="A885" s="9" t="n">
        <v>30</v>
      </c>
      <c r="B885" s="10" t="s">
        <v>11</v>
      </c>
      <c r="C885" s="11" t="n">
        <v>1114.491</v>
      </c>
      <c r="D885" s="10" t="s">
        <v>12</v>
      </c>
      <c r="E885" s="12" t="n">
        <v>8</v>
      </c>
      <c r="F885" s="12" t="n">
        <v>8</v>
      </c>
      <c r="G885" s="12" t="n">
        <v>0</v>
      </c>
      <c r="H885" s="9" t="n">
        <v>4</v>
      </c>
      <c r="I885" s="9" t="n">
        <v>36</v>
      </c>
      <c r="J885" s="9" t="n">
        <v>2</v>
      </c>
      <c r="K885" s="13" t="s">
        <v>13</v>
      </c>
    </row>
    <row r="886" customFormat="false" ht="15.75" hidden="false" customHeight="false" outlineLevel="0" collapsed="false">
      <c r="A886" s="9" t="n">
        <v>18</v>
      </c>
      <c r="B886" s="10" t="s">
        <v>11</v>
      </c>
      <c r="C886" s="11" t="n">
        <v>561.078</v>
      </c>
      <c r="D886" s="10" t="s">
        <v>19</v>
      </c>
      <c r="E886" s="12" t="n">
        <v>0</v>
      </c>
      <c r="F886" s="12" t="n">
        <v>0</v>
      </c>
      <c r="G886" s="12" t="n">
        <v>0</v>
      </c>
      <c r="H886" s="9" t="n">
        <v>4</v>
      </c>
      <c r="I886" s="9" t="n">
        <v>65</v>
      </c>
      <c r="J886" s="9" t="n">
        <v>2</v>
      </c>
      <c r="K886" s="13" t="s">
        <v>13</v>
      </c>
    </row>
    <row r="887" customFormat="false" ht="15.75" hidden="false" customHeight="false" outlineLevel="0" collapsed="false">
      <c r="A887" s="9" t="n">
        <v>24</v>
      </c>
      <c r="B887" s="10" t="s">
        <v>14</v>
      </c>
      <c r="C887" s="11" t="n">
        <v>2073.127</v>
      </c>
      <c r="D887" s="10" t="s">
        <v>17</v>
      </c>
      <c r="E887" s="12" t="n">
        <v>5.5</v>
      </c>
      <c r="F887" s="12" t="n">
        <v>5.5</v>
      </c>
      <c r="G887" s="12" t="n">
        <v>0</v>
      </c>
      <c r="H887" s="9" t="n">
        <v>3</v>
      </c>
      <c r="I887" s="9" t="n">
        <v>43</v>
      </c>
      <c r="J887" s="9" t="n">
        <v>1</v>
      </c>
      <c r="K887" s="13" t="s">
        <v>16</v>
      </c>
    </row>
    <row r="888" customFormat="false" ht="15.75" hidden="false" customHeight="false" outlineLevel="0" collapsed="false">
      <c r="A888" s="9" t="n">
        <v>12</v>
      </c>
      <c r="B888" s="10" t="s">
        <v>14</v>
      </c>
      <c r="C888" s="11" t="n">
        <v>406.245</v>
      </c>
      <c r="D888" s="10" t="s">
        <v>20</v>
      </c>
      <c r="E888" s="12" t="n">
        <v>0.5</v>
      </c>
      <c r="F888" s="12" t="n">
        <v>0.5</v>
      </c>
      <c r="G888" s="12" t="n">
        <v>0</v>
      </c>
      <c r="H888" s="9" t="n">
        <v>4</v>
      </c>
      <c r="I888" s="9" t="n">
        <v>53</v>
      </c>
      <c r="J888" s="9" t="n">
        <v>1</v>
      </c>
      <c r="K888" s="13" t="s">
        <v>16</v>
      </c>
    </row>
    <row r="889" customFormat="false" ht="15.75" hidden="false" customHeight="false" outlineLevel="0" collapsed="false">
      <c r="A889" s="9" t="n">
        <v>24</v>
      </c>
      <c r="B889" s="10" t="s">
        <v>11</v>
      </c>
      <c r="C889" s="11" t="n">
        <v>1443.575</v>
      </c>
      <c r="D889" s="10" t="s">
        <v>17</v>
      </c>
      <c r="E889" s="12" t="n">
        <v>5.5</v>
      </c>
      <c r="F889" s="12" t="n">
        <v>5.5</v>
      </c>
      <c r="G889" s="12" t="n">
        <v>0</v>
      </c>
      <c r="H889" s="9" t="n">
        <v>4</v>
      </c>
      <c r="I889" s="9" t="n">
        <v>34</v>
      </c>
      <c r="J889" s="9" t="n">
        <v>2</v>
      </c>
      <c r="K889" s="13" t="s">
        <v>13</v>
      </c>
    </row>
    <row r="890" customFormat="false" ht="15.75" hidden="false" customHeight="false" outlineLevel="0" collapsed="false">
      <c r="A890" s="9" t="n">
        <v>48</v>
      </c>
      <c r="B890" s="10" t="s">
        <v>14</v>
      </c>
      <c r="C890" s="11" t="n">
        <v>8008.392</v>
      </c>
      <c r="D890" s="10" t="s">
        <v>15</v>
      </c>
      <c r="E890" s="12" t="n">
        <v>2.5</v>
      </c>
      <c r="F890" s="12" t="n">
        <v>2.5</v>
      </c>
      <c r="G890" s="12" t="n">
        <v>0</v>
      </c>
      <c r="H890" s="9" t="n">
        <v>2</v>
      </c>
      <c r="I890" s="9" t="n">
        <v>23</v>
      </c>
      <c r="J890" s="9" t="n">
        <v>1</v>
      </c>
      <c r="K890" s="13" t="s">
        <v>16</v>
      </c>
    </row>
    <row r="891" customFormat="false" ht="15.75" hidden="false" customHeight="false" outlineLevel="0" collapsed="false">
      <c r="A891" s="9" t="n">
        <v>36</v>
      </c>
      <c r="B891" s="10" t="s">
        <v>11</v>
      </c>
      <c r="C891" s="11" t="n">
        <v>3379.754</v>
      </c>
      <c r="D891" s="10" t="s">
        <v>12</v>
      </c>
      <c r="E891" s="12" t="n">
        <v>8</v>
      </c>
      <c r="F891" s="12" t="n">
        <v>8</v>
      </c>
      <c r="G891" s="12" t="n">
        <v>0</v>
      </c>
      <c r="H891" s="9" t="n">
        <v>4</v>
      </c>
      <c r="I891" s="9" t="n">
        <v>34</v>
      </c>
      <c r="J891" s="9" t="n">
        <v>2</v>
      </c>
      <c r="K891" s="13" t="s">
        <v>13</v>
      </c>
    </row>
    <row r="892" customFormat="false" ht="15.75" hidden="false" customHeight="false" outlineLevel="0" collapsed="false">
      <c r="A892" s="9" t="n">
        <v>28</v>
      </c>
      <c r="B892" s="10" t="s">
        <v>22</v>
      </c>
      <c r="C892" s="11" t="n">
        <v>3998.064</v>
      </c>
      <c r="D892" s="10" t="s">
        <v>20</v>
      </c>
      <c r="E892" s="12" t="n">
        <v>0.5</v>
      </c>
      <c r="F892" s="12" t="n">
        <v>0.5</v>
      </c>
      <c r="G892" s="12" t="n">
        <v>0</v>
      </c>
      <c r="H892" s="9" t="n">
        <v>3</v>
      </c>
      <c r="I892" s="9" t="n">
        <v>40</v>
      </c>
      <c r="J892" s="9" t="n">
        <v>2</v>
      </c>
      <c r="K892" s="13" t="s">
        <v>13</v>
      </c>
    </row>
    <row r="893" customFormat="false" ht="15.75" hidden="false" customHeight="false" outlineLevel="0" collapsed="false">
      <c r="A893" s="9" t="n">
        <v>27</v>
      </c>
      <c r="B893" s="10" t="s">
        <v>11</v>
      </c>
      <c r="C893" s="11" t="n">
        <v>1247.862</v>
      </c>
      <c r="D893" s="10" t="s">
        <v>12</v>
      </c>
      <c r="E893" s="12" t="n">
        <v>8</v>
      </c>
      <c r="F893" s="12" t="n">
        <v>8</v>
      </c>
      <c r="G893" s="12" t="n">
        <v>0</v>
      </c>
      <c r="H893" s="9" t="n">
        <v>4</v>
      </c>
      <c r="I893" s="9" t="n">
        <v>43</v>
      </c>
      <c r="J893" s="9" t="n">
        <v>4</v>
      </c>
      <c r="K893" s="13" t="s">
        <v>13</v>
      </c>
    </row>
    <row r="894" customFormat="false" ht="15.75" hidden="false" customHeight="false" outlineLevel="0" collapsed="false">
      <c r="A894" s="9" t="n">
        <v>15</v>
      </c>
      <c r="B894" s="10" t="s">
        <v>11</v>
      </c>
      <c r="C894" s="11" t="n">
        <v>934.619</v>
      </c>
      <c r="D894" s="10" t="s">
        <v>12</v>
      </c>
      <c r="E894" s="12" t="n">
        <v>8</v>
      </c>
      <c r="F894" s="12" t="n">
        <v>8</v>
      </c>
      <c r="G894" s="12" t="n">
        <v>0</v>
      </c>
      <c r="H894" s="9" t="n">
        <v>4</v>
      </c>
      <c r="I894" s="9" t="n">
        <v>46</v>
      </c>
      <c r="J894" s="9" t="n">
        <v>2</v>
      </c>
      <c r="K894" s="13" t="s">
        <v>13</v>
      </c>
    </row>
    <row r="895" customFormat="false" ht="15.75" hidden="false" customHeight="false" outlineLevel="0" collapsed="false">
      <c r="A895" s="9" t="n">
        <v>12</v>
      </c>
      <c r="B895" s="10" t="s">
        <v>11</v>
      </c>
      <c r="C895" s="11" t="n">
        <v>1109.381</v>
      </c>
      <c r="D895" s="10" t="s">
        <v>15</v>
      </c>
      <c r="E895" s="12" t="n">
        <v>2.5</v>
      </c>
      <c r="F895" s="12" t="n">
        <v>2.5</v>
      </c>
      <c r="G895" s="12" t="n">
        <v>0</v>
      </c>
      <c r="H895" s="9" t="n">
        <v>4</v>
      </c>
      <c r="I895" s="9" t="n">
        <v>38</v>
      </c>
      <c r="J895" s="9" t="n">
        <v>2</v>
      </c>
      <c r="K895" s="13" t="s">
        <v>13</v>
      </c>
    </row>
    <row r="896" customFormat="false" ht="15.75" hidden="false" customHeight="false" outlineLevel="0" collapsed="false">
      <c r="A896" s="9" t="n">
        <v>36</v>
      </c>
      <c r="B896" s="10" t="s">
        <v>11</v>
      </c>
      <c r="C896" s="11" t="n">
        <v>2963.8</v>
      </c>
      <c r="D896" s="10" t="s">
        <v>15</v>
      </c>
      <c r="E896" s="12" t="n">
        <v>2.5</v>
      </c>
      <c r="F896" s="12" t="n">
        <v>2.5</v>
      </c>
      <c r="G896" s="12" t="n">
        <v>0</v>
      </c>
      <c r="H896" s="9" t="n">
        <v>3</v>
      </c>
      <c r="I896" s="9" t="n">
        <v>34</v>
      </c>
      <c r="J896" s="9" t="n">
        <v>2</v>
      </c>
      <c r="K896" s="13" t="s">
        <v>13</v>
      </c>
    </row>
    <row r="897" customFormat="false" ht="15.75" hidden="false" customHeight="false" outlineLevel="0" collapsed="false">
      <c r="A897" s="9" t="n">
        <v>18</v>
      </c>
      <c r="B897" s="10" t="s">
        <v>11</v>
      </c>
      <c r="C897" s="11" t="n">
        <v>597.359</v>
      </c>
      <c r="D897" s="10" t="s">
        <v>15</v>
      </c>
      <c r="E897" s="12" t="n">
        <v>2.5</v>
      </c>
      <c r="F897" s="12" t="n">
        <v>2.5</v>
      </c>
      <c r="G897" s="12" t="n">
        <v>0</v>
      </c>
      <c r="H897" s="9" t="n">
        <v>4</v>
      </c>
      <c r="I897" s="9" t="n">
        <v>29</v>
      </c>
      <c r="J897" s="9" t="n">
        <v>2</v>
      </c>
      <c r="K897" s="13" t="s">
        <v>13</v>
      </c>
    </row>
    <row r="898" customFormat="false" ht="15.75" hidden="false" customHeight="false" outlineLevel="0" collapsed="false">
      <c r="A898" s="9" t="n">
        <v>36</v>
      </c>
      <c r="B898" s="10" t="s">
        <v>18</v>
      </c>
      <c r="C898" s="11" t="n">
        <v>4571.917</v>
      </c>
      <c r="D898" s="10" t="s">
        <v>17</v>
      </c>
      <c r="E898" s="12" t="n">
        <v>5.5</v>
      </c>
      <c r="F898" s="12" t="n">
        <v>5.5</v>
      </c>
      <c r="G898" s="12" t="n">
        <v>0</v>
      </c>
      <c r="H898" s="9" t="n">
        <v>3</v>
      </c>
      <c r="I898" s="9" t="n">
        <v>31</v>
      </c>
      <c r="J898" s="9" t="n">
        <v>1</v>
      </c>
      <c r="K898" s="13" t="s">
        <v>13</v>
      </c>
    </row>
    <row r="899" customFormat="false" ht="15.75" hidden="false" customHeight="false" outlineLevel="0" collapsed="false">
      <c r="A899" s="9" t="n">
        <v>21</v>
      </c>
      <c r="B899" s="10" t="s">
        <v>14</v>
      </c>
      <c r="C899" s="11" t="n">
        <v>1331.666</v>
      </c>
      <c r="D899" s="10" t="s">
        <v>20</v>
      </c>
      <c r="E899" s="12" t="n">
        <v>0.5</v>
      </c>
      <c r="F899" s="12" t="n">
        <v>0.5</v>
      </c>
      <c r="G899" s="12" t="n">
        <v>0</v>
      </c>
      <c r="H899" s="9" t="n">
        <v>4</v>
      </c>
      <c r="I899" s="9" t="n">
        <v>28</v>
      </c>
      <c r="J899" s="9" t="n">
        <v>1</v>
      </c>
      <c r="K899" s="13" t="s">
        <v>13</v>
      </c>
    </row>
    <row r="900" customFormat="false" ht="15.75" hidden="false" customHeight="false" outlineLevel="0" collapsed="false">
      <c r="A900" s="9" t="n">
        <v>12</v>
      </c>
      <c r="B900" s="10" t="s">
        <v>11</v>
      </c>
      <c r="C900" s="11" t="n">
        <v>813.512</v>
      </c>
      <c r="D900" s="10" t="s">
        <v>17</v>
      </c>
      <c r="E900" s="12" t="n">
        <v>5.5</v>
      </c>
      <c r="F900" s="12" t="n">
        <v>5.5</v>
      </c>
      <c r="G900" s="12" t="n">
        <v>0</v>
      </c>
      <c r="H900" s="9" t="n">
        <v>3</v>
      </c>
      <c r="I900" s="9" t="n">
        <v>35</v>
      </c>
      <c r="J900" s="9" t="n">
        <v>1</v>
      </c>
      <c r="K900" s="13" t="s">
        <v>13</v>
      </c>
    </row>
    <row r="901" customFormat="false" ht="15.75" hidden="false" customHeight="false" outlineLevel="0" collapsed="false">
      <c r="A901" s="9" t="n">
        <v>15</v>
      </c>
      <c r="B901" s="10" t="s">
        <v>14</v>
      </c>
      <c r="C901" s="11" t="n">
        <v>1117.046</v>
      </c>
      <c r="D901" s="10" t="s">
        <v>17</v>
      </c>
      <c r="E901" s="12" t="n">
        <v>5.5</v>
      </c>
      <c r="F901" s="12" t="n">
        <v>5.5</v>
      </c>
      <c r="G901" s="12" t="n">
        <v>0</v>
      </c>
      <c r="H901" s="9" t="n">
        <v>1</v>
      </c>
      <c r="I901" s="9" t="n">
        <v>33</v>
      </c>
      <c r="J901" s="9" t="n">
        <v>1</v>
      </c>
      <c r="K901" s="13" t="s">
        <v>13</v>
      </c>
    </row>
    <row r="902" customFormat="false" ht="15.75" hidden="false" customHeight="false" outlineLevel="0" collapsed="false">
      <c r="A902" s="9" t="n">
        <v>18</v>
      </c>
      <c r="B902" s="10" t="s">
        <v>14</v>
      </c>
      <c r="C902" s="11" t="n">
        <v>2122.183</v>
      </c>
      <c r="D902" s="10" t="s">
        <v>15</v>
      </c>
      <c r="E902" s="12" t="n">
        <v>2.5</v>
      </c>
      <c r="F902" s="12" t="n">
        <v>2.5</v>
      </c>
      <c r="G902" s="12" t="n">
        <v>0</v>
      </c>
      <c r="H902" s="9" t="n">
        <v>2</v>
      </c>
      <c r="I902" s="9" t="n">
        <v>42</v>
      </c>
      <c r="J902" s="9" t="n">
        <v>1</v>
      </c>
      <c r="K902" s="13" t="s">
        <v>16</v>
      </c>
    </row>
    <row r="903" customFormat="false" ht="15.75" hidden="false" customHeight="false" outlineLevel="0" collapsed="false">
      <c r="A903" s="9" t="n">
        <v>16</v>
      </c>
      <c r="B903" s="10" t="s">
        <v>11</v>
      </c>
      <c r="C903" s="11" t="n">
        <v>1341.375</v>
      </c>
      <c r="D903" s="10" t="s">
        <v>12</v>
      </c>
      <c r="E903" s="12" t="n">
        <v>8</v>
      </c>
      <c r="F903" s="12" t="n">
        <v>8</v>
      </c>
      <c r="G903" s="12" t="n">
        <v>0</v>
      </c>
      <c r="H903" s="9" t="n">
        <v>2</v>
      </c>
      <c r="I903" s="9" t="n">
        <v>43</v>
      </c>
      <c r="J903" s="9" t="n">
        <v>1</v>
      </c>
      <c r="K903" s="13" t="s">
        <v>16</v>
      </c>
    </row>
    <row r="904" customFormat="false" ht="15.75" hidden="false" customHeight="false" outlineLevel="0" collapsed="false">
      <c r="A904" s="9" t="n">
        <v>20</v>
      </c>
      <c r="B904" s="10" t="s">
        <v>11</v>
      </c>
      <c r="C904" s="11" t="n">
        <v>1780.835</v>
      </c>
      <c r="D904" s="10" t="s">
        <v>20</v>
      </c>
      <c r="E904" s="12" t="n">
        <v>0.5</v>
      </c>
      <c r="F904" s="12" t="n">
        <v>0.5</v>
      </c>
      <c r="G904" s="12" t="n">
        <v>0</v>
      </c>
      <c r="H904" s="9" t="n">
        <v>2</v>
      </c>
      <c r="I904" s="9" t="n">
        <v>44</v>
      </c>
      <c r="J904" s="9" t="n">
        <v>2</v>
      </c>
      <c r="K904" s="13" t="s">
        <v>13</v>
      </c>
    </row>
    <row r="905" customFormat="false" ht="15.75" hidden="false" customHeight="false" outlineLevel="0" collapsed="false">
      <c r="A905" s="9" t="n">
        <v>36</v>
      </c>
      <c r="B905" s="10" t="s">
        <v>11</v>
      </c>
      <c r="C905" s="11" t="n">
        <v>5353.747</v>
      </c>
      <c r="D905" s="10" t="s">
        <v>12</v>
      </c>
      <c r="E905" s="12" t="n">
        <v>8</v>
      </c>
      <c r="F905" s="12" t="n">
        <v>8</v>
      </c>
      <c r="G905" s="12" t="n">
        <v>0</v>
      </c>
      <c r="H905" s="9" t="n">
        <v>2</v>
      </c>
      <c r="I905" s="9" t="n">
        <v>42</v>
      </c>
      <c r="J905" s="9" t="n">
        <v>2</v>
      </c>
      <c r="K905" s="13" t="s">
        <v>13</v>
      </c>
    </row>
    <row r="906" customFormat="false" ht="15.75" hidden="false" customHeight="false" outlineLevel="0" collapsed="false">
      <c r="A906" s="9" t="n">
        <v>15</v>
      </c>
      <c r="B906" s="10" t="s">
        <v>14</v>
      </c>
      <c r="C906" s="11" t="n">
        <v>708.246</v>
      </c>
      <c r="D906" s="10" t="s">
        <v>15</v>
      </c>
      <c r="E906" s="12" t="n">
        <v>2.5</v>
      </c>
      <c r="F906" s="12" t="n">
        <v>2.5</v>
      </c>
      <c r="G906" s="12" t="n">
        <v>0</v>
      </c>
      <c r="H906" s="9" t="n">
        <v>4</v>
      </c>
      <c r="I906" s="9" t="n">
        <v>40</v>
      </c>
      <c r="J906" s="9" t="n">
        <v>1</v>
      </c>
      <c r="K906" s="13" t="s">
        <v>13</v>
      </c>
    </row>
    <row r="907" customFormat="false" ht="15.75" hidden="false" customHeight="false" outlineLevel="0" collapsed="false">
      <c r="A907" s="9" t="n">
        <v>24</v>
      </c>
      <c r="B907" s="10" t="s">
        <v>14</v>
      </c>
      <c r="C907" s="11" t="n">
        <v>653.058</v>
      </c>
      <c r="D907" s="10" t="s">
        <v>12</v>
      </c>
      <c r="E907" s="12" t="n">
        <v>8</v>
      </c>
      <c r="F907" s="12" t="n">
        <v>8</v>
      </c>
      <c r="G907" s="12" t="n">
        <v>0</v>
      </c>
      <c r="H907" s="9" t="n">
        <v>4</v>
      </c>
      <c r="I907" s="9" t="n">
        <v>36</v>
      </c>
      <c r="J907" s="9" t="n">
        <v>1</v>
      </c>
      <c r="K907" s="13" t="s">
        <v>13</v>
      </c>
    </row>
    <row r="908" customFormat="false" ht="15.75" hidden="false" customHeight="false" outlineLevel="0" collapsed="false">
      <c r="A908" s="9" t="n">
        <v>12</v>
      </c>
      <c r="B908" s="10" t="s">
        <v>14</v>
      </c>
      <c r="C908" s="11" t="n">
        <v>565.677</v>
      </c>
      <c r="D908" s="10" t="s">
        <v>15</v>
      </c>
      <c r="E908" s="12" t="n">
        <v>2.5</v>
      </c>
      <c r="F908" s="12" t="n">
        <v>2</v>
      </c>
      <c r="G908" s="12" t="n">
        <v>1</v>
      </c>
      <c r="H908" s="9" t="n">
        <v>2</v>
      </c>
      <c r="I908" s="9" t="n">
        <v>20</v>
      </c>
      <c r="J908" s="9" t="n">
        <v>1</v>
      </c>
      <c r="K908" s="13" t="s">
        <v>13</v>
      </c>
    </row>
    <row r="909" customFormat="false" ht="15.75" hidden="false" customHeight="false" outlineLevel="0" collapsed="false">
      <c r="A909" s="9" t="n">
        <v>21</v>
      </c>
      <c r="B909" s="10" t="s">
        <v>14</v>
      </c>
      <c r="C909" s="11" t="n">
        <v>1922.893</v>
      </c>
      <c r="D909" s="10" t="s">
        <v>17</v>
      </c>
      <c r="E909" s="12" t="n">
        <v>5.5</v>
      </c>
      <c r="F909" s="12" t="n">
        <v>5.5</v>
      </c>
      <c r="G909" s="12" t="n">
        <v>0</v>
      </c>
      <c r="H909" s="9" t="n">
        <v>2</v>
      </c>
      <c r="I909" s="9" t="n">
        <v>24</v>
      </c>
      <c r="J909" s="9" t="n">
        <v>1</v>
      </c>
      <c r="K909" s="13" t="s">
        <v>13</v>
      </c>
    </row>
    <row r="910" customFormat="false" ht="15.75" hidden="false" customHeight="false" outlineLevel="0" collapsed="false">
      <c r="A910" s="9" t="n">
        <v>36</v>
      </c>
      <c r="B910" s="10" t="s">
        <v>14</v>
      </c>
      <c r="C910" s="11" t="n">
        <v>1896.321</v>
      </c>
      <c r="D910" s="10" t="s">
        <v>15</v>
      </c>
      <c r="E910" s="12" t="n">
        <v>2.5</v>
      </c>
      <c r="F910" s="12" t="n">
        <v>2.5</v>
      </c>
      <c r="G910" s="12" t="n">
        <v>0</v>
      </c>
      <c r="H910" s="9" t="n">
        <v>2</v>
      </c>
      <c r="I910" s="9" t="n">
        <v>27</v>
      </c>
      <c r="J910" s="9" t="n">
        <v>1</v>
      </c>
      <c r="K910" s="13" t="s">
        <v>13</v>
      </c>
    </row>
    <row r="911" customFormat="false" ht="15.75" hidden="false" customHeight="false" outlineLevel="0" collapsed="false">
      <c r="A911" s="9" t="n">
        <v>15</v>
      </c>
      <c r="B911" s="10" t="s">
        <v>18</v>
      </c>
      <c r="C911" s="11" t="n">
        <v>1836.534</v>
      </c>
      <c r="D911" s="10" t="s">
        <v>20</v>
      </c>
      <c r="E911" s="12" t="n">
        <v>0.5</v>
      </c>
      <c r="F911" s="12" t="n">
        <v>0.5</v>
      </c>
      <c r="G911" s="12" t="n">
        <v>0</v>
      </c>
      <c r="H911" s="9" t="n">
        <v>1</v>
      </c>
      <c r="I911" s="9" t="n">
        <v>46</v>
      </c>
      <c r="J911" s="9" t="n">
        <v>2</v>
      </c>
      <c r="K911" s="13" t="s">
        <v>13</v>
      </c>
    </row>
    <row r="912" customFormat="false" ht="15.75" hidden="false" customHeight="false" outlineLevel="0" collapsed="false">
      <c r="A912" s="9" t="n">
        <v>9</v>
      </c>
      <c r="B912" s="10" t="s">
        <v>14</v>
      </c>
      <c r="C912" s="11" t="n">
        <v>1632.645</v>
      </c>
      <c r="D912" s="10" t="s">
        <v>15</v>
      </c>
      <c r="E912" s="12" t="n">
        <v>2.5</v>
      </c>
      <c r="F912" s="12" t="n">
        <v>2.5</v>
      </c>
      <c r="G912" s="12" t="n">
        <v>0</v>
      </c>
      <c r="H912" s="9" t="n">
        <v>1</v>
      </c>
      <c r="I912" s="9" t="n">
        <v>33</v>
      </c>
      <c r="J912" s="9" t="n">
        <v>1</v>
      </c>
      <c r="K912" s="13" t="s">
        <v>13</v>
      </c>
    </row>
    <row r="913" customFormat="false" ht="15.75" hidden="false" customHeight="false" outlineLevel="0" collapsed="false">
      <c r="A913" s="9" t="n">
        <v>36</v>
      </c>
      <c r="B913" s="10" t="s">
        <v>18</v>
      </c>
      <c r="C913" s="11" t="n">
        <v>2275.994</v>
      </c>
      <c r="D913" s="10" t="s">
        <v>15</v>
      </c>
      <c r="E913" s="12" t="n">
        <v>2.5</v>
      </c>
      <c r="F913" s="12" t="n">
        <v>2.5</v>
      </c>
      <c r="G913" s="12" t="n">
        <v>0</v>
      </c>
      <c r="H913" s="9" t="n">
        <v>4</v>
      </c>
      <c r="I913" s="9" t="n">
        <v>34</v>
      </c>
      <c r="J913" s="9" t="n">
        <v>2</v>
      </c>
      <c r="K913" s="13" t="s">
        <v>13</v>
      </c>
    </row>
    <row r="914" customFormat="false" ht="15.75" hidden="false" customHeight="false" outlineLevel="0" collapsed="false">
      <c r="A914" s="9" t="n">
        <v>24</v>
      </c>
      <c r="B914" s="10" t="s">
        <v>11</v>
      </c>
      <c r="C914" s="11" t="n">
        <v>2420.096</v>
      </c>
      <c r="D914" s="10" t="s">
        <v>20</v>
      </c>
      <c r="E914" s="12" t="n">
        <v>0.5</v>
      </c>
      <c r="F914" s="12" t="n">
        <v>0.5</v>
      </c>
      <c r="G914" s="12" t="n">
        <v>0</v>
      </c>
      <c r="H914" s="9" t="n">
        <v>2</v>
      </c>
      <c r="I914" s="9" t="n">
        <v>25</v>
      </c>
      <c r="J914" s="9" t="n">
        <v>1</v>
      </c>
      <c r="K914" s="13" t="s">
        <v>16</v>
      </c>
    </row>
    <row r="915" customFormat="false" ht="15.75" hidden="false" customHeight="false" outlineLevel="0" collapsed="false">
      <c r="A915" s="9" t="n">
        <v>30</v>
      </c>
      <c r="B915" s="10" t="s">
        <v>14</v>
      </c>
      <c r="C915" s="11" t="n">
        <v>1528.401</v>
      </c>
      <c r="D915" s="10" t="s">
        <v>12</v>
      </c>
      <c r="E915" s="12" t="n">
        <v>8</v>
      </c>
      <c r="F915" s="12" t="n">
        <v>7</v>
      </c>
      <c r="G915" s="12" t="n">
        <v>1</v>
      </c>
      <c r="H915" s="9" t="n">
        <v>2</v>
      </c>
      <c r="I915" s="9" t="n">
        <v>25</v>
      </c>
      <c r="J915" s="9" t="n">
        <v>1</v>
      </c>
      <c r="K915" s="13" t="s">
        <v>13</v>
      </c>
    </row>
    <row r="916" customFormat="false" ht="15.75" hidden="false" customHeight="false" outlineLevel="0" collapsed="false">
      <c r="A916" s="9" t="n">
        <v>11</v>
      </c>
      <c r="B916" s="10" t="s">
        <v>14</v>
      </c>
      <c r="C916" s="11" t="n">
        <v>1094.562</v>
      </c>
      <c r="D916" s="10" t="s">
        <v>12</v>
      </c>
      <c r="E916" s="12" t="n">
        <v>8</v>
      </c>
      <c r="F916" s="12" t="n">
        <v>8</v>
      </c>
      <c r="G916" s="12" t="n">
        <v>0</v>
      </c>
      <c r="H916" s="9" t="n">
        <v>1</v>
      </c>
      <c r="I916" s="9" t="n">
        <v>28</v>
      </c>
      <c r="J916" s="9" t="n">
        <v>1</v>
      </c>
      <c r="K916" s="13" t="s">
        <v>13</v>
      </c>
    </row>
    <row r="917" customFormat="false" ht="15.75" hidden="false" customHeight="false" outlineLevel="0" collapsed="false">
      <c r="A917" s="9" t="n">
        <v>24</v>
      </c>
      <c r="B917" s="10" t="s">
        <v>22</v>
      </c>
      <c r="C917" s="11" t="n">
        <v>1615.271</v>
      </c>
      <c r="D917" s="10" t="s">
        <v>15</v>
      </c>
      <c r="E917" s="12" t="n">
        <v>2.5</v>
      </c>
      <c r="F917" s="12" t="n">
        <v>2.5</v>
      </c>
      <c r="G917" s="12" t="n">
        <v>0</v>
      </c>
      <c r="H917" s="9" t="n">
        <v>4</v>
      </c>
      <c r="I917" s="9" t="n">
        <v>31</v>
      </c>
      <c r="J917" s="9" t="n">
        <v>1</v>
      </c>
      <c r="K917" s="13" t="s">
        <v>16</v>
      </c>
    </row>
    <row r="918" customFormat="false" ht="15.75" hidden="false" customHeight="false" outlineLevel="0" collapsed="false">
      <c r="A918" s="9" t="n">
        <v>48</v>
      </c>
      <c r="B918" s="10" t="s">
        <v>21</v>
      </c>
      <c r="C918" s="11" t="n">
        <v>9414.664</v>
      </c>
      <c r="D918" s="10" t="s">
        <v>15</v>
      </c>
      <c r="E918" s="12" t="n">
        <v>2.5</v>
      </c>
      <c r="F918" s="12" t="n">
        <v>2.5</v>
      </c>
      <c r="G918" s="12" t="n">
        <v>0</v>
      </c>
      <c r="H918" s="9" t="n">
        <v>1</v>
      </c>
      <c r="I918" s="9" t="n">
        <v>32</v>
      </c>
      <c r="J918" s="9" t="n">
        <v>1</v>
      </c>
      <c r="K918" s="13" t="s">
        <v>16</v>
      </c>
    </row>
    <row r="919" customFormat="false" ht="15.75" hidden="false" customHeight="false" outlineLevel="0" collapsed="false">
      <c r="A919" s="9" t="n">
        <v>10</v>
      </c>
      <c r="B919" s="10" t="s">
        <v>14</v>
      </c>
      <c r="C919" s="11" t="n">
        <v>1455.328</v>
      </c>
      <c r="D919" s="10" t="s">
        <v>15</v>
      </c>
      <c r="E919" s="12" t="n">
        <v>2.5</v>
      </c>
      <c r="F919" s="12" t="n">
        <v>2.5</v>
      </c>
      <c r="G919" s="12" t="n">
        <v>0</v>
      </c>
      <c r="H919" s="9" t="n">
        <v>1</v>
      </c>
      <c r="I919" s="9" t="n">
        <v>32</v>
      </c>
      <c r="J919" s="9" t="n">
        <v>1</v>
      </c>
      <c r="K919" s="13" t="s">
        <v>13</v>
      </c>
    </row>
    <row r="920" customFormat="false" ht="15.75" hidden="false" customHeight="false" outlineLevel="0" collapsed="false">
      <c r="A920" s="9" t="n">
        <v>6</v>
      </c>
      <c r="B920" s="10" t="s">
        <v>14</v>
      </c>
      <c r="C920" s="11" t="n">
        <v>7611.856</v>
      </c>
      <c r="D920" s="10" t="s">
        <v>12</v>
      </c>
      <c r="E920" s="12" t="n">
        <v>8</v>
      </c>
      <c r="F920" s="12" t="n">
        <v>8</v>
      </c>
      <c r="G920" s="12" t="n">
        <v>0</v>
      </c>
      <c r="H920" s="9" t="n">
        <v>1</v>
      </c>
      <c r="I920" s="9" t="n">
        <v>68</v>
      </c>
      <c r="J920" s="9" t="n">
        <v>1</v>
      </c>
      <c r="K920" s="13" t="s">
        <v>16</v>
      </c>
    </row>
    <row r="921" customFormat="false" ht="15.75" hidden="false" customHeight="false" outlineLevel="0" collapsed="false">
      <c r="A921" s="9" t="n">
        <v>24</v>
      </c>
      <c r="B921" s="10" t="s">
        <v>14</v>
      </c>
      <c r="C921" s="11" t="n">
        <v>1205.449</v>
      </c>
      <c r="D921" s="10" t="s">
        <v>19</v>
      </c>
      <c r="E921" s="12" t="n">
        <v>0</v>
      </c>
      <c r="F921" s="12" t="n">
        <v>0</v>
      </c>
      <c r="G921" s="12" t="n">
        <v>0</v>
      </c>
      <c r="H921" s="9" t="n">
        <v>1</v>
      </c>
      <c r="I921" s="9" t="n">
        <v>33</v>
      </c>
      <c r="J921" s="9" t="n">
        <v>1</v>
      </c>
      <c r="K921" s="13" t="s">
        <v>16</v>
      </c>
    </row>
    <row r="922" customFormat="false" ht="15.75" hidden="false" customHeight="false" outlineLevel="0" collapsed="false">
      <c r="A922" s="9" t="n">
        <v>24</v>
      </c>
      <c r="B922" s="10" t="s">
        <v>14</v>
      </c>
      <c r="C922" s="11" t="n">
        <v>1709.295</v>
      </c>
      <c r="D922" s="10" t="s">
        <v>12</v>
      </c>
      <c r="E922" s="12" t="n">
        <v>8</v>
      </c>
      <c r="F922" s="12" t="n">
        <v>8</v>
      </c>
      <c r="G922" s="12" t="n">
        <v>0</v>
      </c>
      <c r="H922" s="9" t="n">
        <v>4</v>
      </c>
      <c r="I922" s="9" t="n">
        <v>39</v>
      </c>
      <c r="J922" s="9" t="n">
        <v>1</v>
      </c>
      <c r="K922" s="13" t="s">
        <v>16</v>
      </c>
    </row>
    <row r="923" customFormat="false" ht="15.75" hidden="false" customHeight="false" outlineLevel="0" collapsed="false">
      <c r="A923" s="9" t="n">
        <v>18</v>
      </c>
      <c r="B923" s="10" t="s">
        <v>11</v>
      </c>
      <c r="C923" s="11" t="n">
        <v>928.487</v>
      </c>
      <c r="D923" s="10" t="s">
        <v>15</v>
      </c>
      <c r="E923" s="12" t="n">
        <v>2.5</v>
      </c>
      <c r="F923" s="12" t="n">
        <v>2.5</v>
      </c>
      <c r="G923" s="12" t="n">
        <v>0</v>
      </c>
      <c r="H923" s="9" t="n">
        <v>4</v>
      </c>
      <c r="I923" s="9" t="n">
        <v>28</v>
      </c>
      <c r="J923" s="9" t="n">
        <v>2</v>
      </c>
      <c r="K923" s="13" t="s">
        <v>13</v>
      </c>
    </row>
    <row r="924" customFormat="false" ht="15.75" hidden="false" customHeight="false" outlineLevel="0" collapsed="false">
      <c r="A924" s="9" t="n">
        <v>48</v>
      </c>
      <c r="B924" s="10" t="s">
        <v>18</v>
      </c>
      <c r="C924" s="11" t="n">
        <v>6514.739</v>
      </c>
      <c r="D924" s="10" t="s">
        <v>17</v>
      </c>
      <c r="E924" s="12" t="n">
        <v>5.5</v>
      </c>
      <c r="F924" s="12" t="n">
        <v>5.5</v>
      </c>
      <c r="G924" s="12" t="n">
        <v>0</v>
      </c>
      <c r="H924" s="9" t="n">
        <v>4</v>
      </c>
      <c r="I924" s="9" t="n">
        <v>37</v>
      </c>
      <c r="J924" s="9" t="n">
        <v>1</v>
      </c>
      <c r="K924" s="13" t="s">
        <v>13</v>
      </c>
    </row>
    <row r="925" customFormat="false" ht="15.75" hidden="false" customHeight="false" outlineLevel="0" collapsed="false">
      <c r="A925" s="9" t="n">
        <v>9</v>
      </c>
      <c r="B925" s="10" t="s">
        <v>14</v>
      </c>
      <c r="C925" s="11" t="n">
        <v>698.026</v>
      </c>
      <c r="D925" s="10" t="s">
        <v>20</v>
      </c>
      <c r="E925" s="12" t="n">
        <v>0.5</v>
      </c>
      <c r="F925" s="12" t="n">
        <v>0.5</v>
      </c>
      <c r="G925" s="12" t="n">
        <v>0</v>
      </c>
      <c r="H925" s="9" t="n">
        <v>3</v>
      </c>
      <c r="I925" s="9" t="n">
        <v>22</v>
      </c>
      <c r="J925" s="9" t="n">
        <v>1</v>
      </c>
      <c r="K925" s="13" t="s">
        <v>16</v>
      </c>
    </row>
    <row r="926" customFormat="false" ht="15.75" hidden="false" customHeight="false" outlineLevel="0" collapsed="false">
      <c r="A926" s="9" t="n">
        <v>12</v>
      </c>
      <c r="B926" s="10" t="s">
        <v>14</v>
      </c>
      <c r="C926" s="11" t="n">
        <v>1023.022</v>
      </c>
      <c r="D926" s="10" t="s">
        <v>17</v>
      </c>
      <c r="E926" s="12" t="n">
        <v>5.5</v>
      </c>
      <c r="F926" s="12" t="n">
        <v>5.5</v>
      </c>
      <c r="G926" s="12" t="n">
        <v>0</v>
      </c>
      <c r="H926" s="9" t="n">
        <v>3</v>
      </c>
      <c r="I926" s="9" t="n">
        <v>30</v>
      </c>
      <c r="J926" s="9" t="n">
        <v>1</v>
      </c>
      <c r="K926" s="13" t="s">
        <v>13</v>
      </c>
    </row>
    <row r="927" customFormat="false" ht="15.75" hidden="false" customHeight="false" outlineLevel="0" collapsed="false">
      <c r="A927" s="9" t="n">
        <v>24</v>
      </c>
      <c r="B927" s="10" t="s">
        <v>22</v>
      </c>
      <c r="C927" s="11" t="n">
        <v>3511.592</v>
      </c>
      <c r="D927" s="10" t="s">
        <v>20</v>
      </c>
      <c r="E927" s="12" t="n">
        <v>0.5</v>
      </c>
      <c r="F927" s="12" t="n">
        <v>0.5</v>
      </c>
      <c r="G927" s="12" t="n">
        <v>0</v>
      </c>
      <c r="H927" s="9" t="n">
        <v>2</v>
      </c>
      <c r="I927" s="9" t="n">
        <v>55</v>
      </c>
      <c r="J927" s="9" t="n">
        <v>1</v>
      </c>
      <c r="K927" s="13" t="s">
        <v>16</v>
      </c>
    </row>
    <row r="928" customFormat="false" ht="15.75" hidden="false" customHeight="false" outlineLevel="0" collapsed="false">
      <c r="A928" s="9" t="n">
        <v>12</v>
      </c>
      <c r="B928" s="10" t="s">
        <v>22</v>
      </c>
      <c r="C928" s="11" t="n">
        <v>356.167</v>
      </c>
      <c r="D928" s="10" t="s">
        <v>20</v>
      </c>
      <c r="E928" s="12" t="n">
        <v>0.5</v>
      </c>
      <c r="F928" s="12" t="n">
        <v>0.5</v>
      </c>
      <c r="G928" s="12" t="n">
        <v>0</v>
      </c>
      <c r="H928" s="9" t="n">
        <v>4</v>
      </c>
      <c r="I928" s="9" t="n">
        <v>46</v>
      </c>
      <c r="J928" s="9" t="n">
        <v>2</v>
      </c>
      <c r="K928" s="13" t="s">
        <v>16</v>
      </c>
    </row>
    <row r="929" customFormat="false" ht="15.75" hidden="false" customHeight="false" outlineLevel="0" collapsed="false">
      <c r="A929" s="9" t="n">
        <v>18</v>
      </c>
      <c r="B929" s="10" t="s">
        <v>11</v>
      </c>
      <c r="C929" s="11" t="n">
        <v>536.039</v>
      </c>
      <c r="D929" s="10" t="s">
        <v>20</v>
      </c>
      <c r="E929" s="12" t="n">
        <v>0.5</v>
      </c>
      <c r="F929" s="12" t="n">
        <v>0.5</v>
      </c>
      <c r="G929" s="12" t="n">
        <v>0</v>
      </c>
      <c r="H929" s="9" t="n">
        <v>4</v>
      </c>
      <c r="I929" s="9" t="n">
        <v>21</v>
      </c>
      <c r="J929" s="9" t="n">
        <v>1</v>
      </c>
      <c r="K929" s="13" t="s">
        <v>13</v>
      </c>
    </row>
    <row r="930" customFormat="false" ht="15.75" hidden="false" customHeight="false" outlineLevel="0" collapsed="false">
      <c r="A930" s="9" t="n">
        <v>48</v>
      </c>
      <c r="B930" s="10" t="s">
        <v>14</v>
      </c>
      <c r="C930" s="11" t="n">
        <v>5261.767</v>
      </c>
      <c r="D930" s="10" t="s">
        <v>17</v>
      </c>
      <c r="E930" s="12" t="n">
        <v>5.5</v>
      </c>
      <c r="F930" s="12" t="n">
        <v>5.5</v>
      </c>
      <c r="G930" s="12" t="n">
        <v>0</v>
      </c>
      <c r="H930" s="9" t="n">
        <v>4</v>
      </c>
      <c r="I930" s="9" t="n">
        <v>39</v>
      </c>
      <c r="J930" s="9" t="n">
        <v>3</v>
      </c>
      <c r="K930" s="13" t="s">
        <v>16</v>
      </c>
    </row>
    <row r="931" customFormat="false" ht="15.75" hidden="false" customHeight="false" outlineLevel="0" collapsed="false">
      <c r="A931" s="9" t="n">
        <v>30</v>
      </c>
      <c r="B931" s="10" t="s">
        <v>14</v>
      </c>
      <c r="C931" s="11" t="n">
        <v>954.037</v>
      </c>
      <c r="D931" s="10" t="s">
        <v>12</v>
      </c>
      <c r="E931" s="12" t="n">
        <v>8</v>
      </c>
      <c r="F931" s="12" t="n">
        <v>8</v>
      </c>
      <c r="G931" s="12" t="n">
        <v>0</v>
      </c>
      <c r="H931" s="9" t="n">
        <v>4</v>
      </c>
      <c r="I931" s="9" t="n">
        <v>58</v>
      </c>
      <c r="J931" s="9" t="n">
        <v>1</v>
      </c>
      <c r="K931" s="13" t="s">
        <v>13</v>
      </c>
    </row>
    <row r="932" customFormat="false" ht="15.75" hidden="false" customHeight="false" outlineLevel="0" collapsed="false">
      <c r="A932" s="9" t="n">
        <v>12</v>
      </c>
      <c r="B932" s="10" t="s">
        <v>18</v>
      </c>
      <c r="C932" s="11" t="n">
        <v>686.784</v>
      </c>
      <c r="D932" s="10" t="s">
        <v>15</v>
      </c>
      <c r="E932" s="12" t="n">
        <v>2.5</v>
      </c>
      <c r="F932" s="12" t="n">
        <v>2.5</v>
      </c>
      <c r="G932" s="12" t="n">
        <v>0</v>
      </c>
      <c r="H932" s="9" t="n">
        <v>4</v>
      </c>
      <c r="I932" s="9" t="n">
        <v>43</v>
      </c>
      <c r="J932" s="9" t="n">
        <v>2</v>
      </c>
      <c r="K932" s="13" t="s">
        <v>13</v>
      </c>
    </row>
    <row r="933" customFormat="false" ht="15.75" hidden="false" customHeight="false" outlineLevel="0" collapsed="false">
      <c r="A933" s="9" t="n">
        <v>24</v>
      </c>
      <c r="B933" s="10" t="s">
        <v>14</v>
      </c>
      <c r="C933" s="11" t="n">
        <v>892.717</v>
      </c>
      <c r="D933" s="10" t="s">
        <v>20</v>
      </c>
      <c r="E933" s="12" t="n">
        <v>0.5</v>
      </c>
      <c r="F933" s="12" t="n">
        <v>0.5</v>
      </c>
      <c r="G933" s="12" t="n">
        <v>0</v>
      </c>
      <c r="H933" s="9" t="n">
        <v>4</v>
      </c>
      <c r="I933" s="9" t="n">
        <v>24</v>
      </c>
      <c r="J933" s="9" t="n">
        <v>1</v>
      </c>
      <c r="K933" s="13" t="s">
        <v>13</v>
      </c>
    </row>
    <row r="934" customFormat="false" ht="15.75" hidden="false" customHeight="false" outlineLevel="0" collapsed="false">
      <c r="A934" s="9" t="n">
        <v>9</v>
      </c>
      <c r="B934" s="10" t="s">
        <v>14</v>
      </c>
      <c r="C934" s="11" t="n">
        <v>853.37</v>
      </c>
      <c r="D934" s="10" t="s">
        <v>20</v>
      </c>
      <c r="E934" s="12" t="n">
        <v>0.5</v>
      </c>
      <c r="F934" s="12" t="n">
        <v>0.5</v>
      </c>
      <c r="G934" s="12" t="n">
        <v>0</v>
      </c>
      <c r="H934" s="9" t="n">
        <v>4</v>
      </c>
      <c r="I934" s="9" t="n">
        <v>22</v>
      </c>
      <c r="J934" s="9" t="n">
        <v>1</v>
      </c>
      <c r="K934" s="13" t="s">
        <v>16</v>
      </c>
    </row>
    <row r="935" customFormat="false" ht="15.75" hidden="false" customHeight="false" outlineLevel="0" collapsed="false">
      <c r="A935" s="9" t="n">
        <v>9</v>
      </c>
      <c r="B935" s="10" t="s">
        <v>11</v>
      </c>
      <c r="C935" s="11" t="n">
        <v>625.464</v>
      </c>
      <c r="D935" s="10" t="s">
        <v>15</v>
      </c>
      <c r="E935" s="12" t="n">
        <v>2.5</v>
      </c>
      <c r="F935" s="12" t="n">
        <v>2.5</v>
      </c>
      <c r="G935" s="12" t="n">
        <v>0</v>
      </c>
      <c r="H935" s="9" t="n">
        <v>3</v>
      </c>
      <c r="I935" s="9" t="n">
        <v>30</v>
      </c>
      <c r="J935" s="9" t="n">
        <v>2</v>
      </c>
      <c r="K935" s="13" t="s">
        <v>13</v>
      </c>
    </row>
    <row r="936" customFormat="false" ht="15.75" hidden="false" customHeight="false" outlineLevel="0" collapsed="false">
      <c r="A936" s="9" t="n">
        <v>12</v>
      </c>
      <c r="B936" s="10" t="s">
        <v>11</v>
      </c>
      <c r="C936" s="11" t="n">
        <v>266.742</v>
      </c>
      <c r="D936" s="10" t="s">
        <v>12</v>
      </c>
      <c r="E936" s="12" t="n">
        <v>8</v>
      </c>
      <c r="F936" s="12" t="n">
        <v>8</v>
      </c>
      <c r="G936" s="12" t="n">
        <v>0</v>
      </c>
      <c r="H936" s="9" t="n">
        <v>4</v>
      </c>
      <c r="I936" s="9" t="n">
        <v>42</v>
      </c>
      <c r="J936" s="9" t="n">
        <v>2</v>
      </c>
      <c r="K936" s="13" t="s">
        <v>13</v>
      </c>
    </row>
    <row r="937" customFormat="false" ht="15.75" hidden="false" customHeight="false" outlineLevel="0" collapsed="false">
      <c r="A937" s="9" t="n">
        <v>12</v>
      </c>
      <c r="B937" s="10" t="s">
        <v>14</v>
      </c>
      <c r="C937" s="11" t="n">
        <v>765.478</v>
      </c>
      <c r="D937" s="10" t="s">
        <v>15</v>
      </c>
      <c r="E937" s="12" t="n">
        <v>2.5</v>
      </c>
      <c r="F937" s="12" t="n">
        <v>2.5</v>
      </c>
      <c r="G937" s="12" t="n">
        <v>0</v>
      </c>
      <c r="H937" s="9" t="n">
        <v>4</v>
      </c>
      <c r="I937" s="9" t="n">
        <v>23</v>
      </c>
      <c r="J937" s="9" t="n">
        <v>1</v>
      </c>
      <c r="K937" s="13" t="s">
        <v>13</v>
      </c>
    </row>
    <row r="938" customFormat="false" ht="15.75" hidden="false" customHeight="false" outlineLevel="0" collapsed="false">
      <c r="A938" s="9" t="n">
        <v>30</v>
      </c>
      <c r="B938" s="10" t="s">
        <v>18</v>
      </c>
      <c r="C938" s="11" t="n">
        <v>980.609</v>
      </c>
      <c r="D938" s="10" t="s">
        <v>20</v>
      </c>
      <c r="E938" s="12" t="n">
        <v>0.5</v>
      </c>
      <c r="F938" s="12" t="n">
        <v>0.5</v>
      </c>
      <c r="G938" s="12" t="n">
        <v>0</v>
      </c>
      <c r="H938" s="9" t="n">
        <v>4</v>
      </c>
      <c r="I938" s="9" t="n">
        <v>30</v>
      </c>
      <c r="J938" s="9" t="n">
        <v>2</v>
      </c>
      <c r="K938" s="13" t="s">
        <v>16</v>
      </c>
    </row>
    <row r="939" customFormat="false" ht="15.75" hidden="false" customHeight="false" outlineLevel="0" collapsed="false">
      <c r="A939" s="9" t="n">
        <v>9</v>
      </c>
      <c r="B939" s="10" t="s">
        <v>14</v>
      </c>
      <c r="C939" s="11" t="n">
        <v>380.695</v>
      </c>
      <c r="D939" s="10" t="s">
        <v>15</v>
      </c>
      <c r="E939" s="12" t="n">
        <v>2.5</v>
      </c>
      <c r="F939" s="12" t="n">
        <v>2.5</v>
      </c>
      <c r="G939" s="12" t="n">
        <v>0</v>
      </c>
      <c r="H939" s="9" t="n">
        <v>3</v>
      </c>
      <c r="I939" s="9" t="n">
        <v>28</v>
      </c>
      <c r="J939" s="9" t="n">
        <v>1</v>
      </c>
      <c r="K939" s="13" t="s">
        <v>16</v>
      </c>
    </row>
    <row r="940" customFormat="false" ht="15.75" hidden="false" customHeight="false" outlineLevel="0" collapsed="false">
      <c r="A940" s="9" t="n">
        <v>6</v>
      </c>
      <c r="B940" s="10" t="s">
        <v>14</v>
      </c>
      <c r="C940" s="11" t="n">
        <v>1054.193</v>
      </c>
      <c r="D940" s="10" t="s">
        <v>20</v>
      </c>
      <c r="E940" s="12" t="n">
        <v>0.5</v>
      </c>
      <c r="F940" s="12" t="n">
        <v>0.5</v>
      </c>
      <c r="G940" s="12" t="n">
        <v>0</v>
      </c>
      <c r="H940" s="9" t="n">
        <v>4</v>
      </c>
      <c r="I940" s="9" t="n">
        <v>30</v>
      </c>
      <c r="J940" s="9" t="n">
        <v>1</v>
      </c>
      <c r="K940" s="13" t="s">
        <v>13</v>
      </c>
    </row>
    <row r="941" customFormat="false" ht="15.75" hidden="false" customHeight="false" outlineLevel="0" collapsed="false">
      <c r="A941" s="9" t="n">
        <v>60</v>
      </c>
      <c r="B941" s="10" t="s">
        <v>14</v>
      </c>
      <c r="C941" s="11" t="n">
        <v>3213.168</v>
      </c>
      <c r="D941" s="10" t="s">
        <v>15</v>
      </c>
      <c r="E941" s="12" t="n">
        <v>2.5</v>
      </c>
      <c r="F941" s="12" t="n">
        <v>2.5</v>
      </c>
      <c r="G941" s="12" t="n">
        <v>0</v>
      </c>
      <c r="H941" s="9" t="n">
        <v>4</v>
      </c>
      <c r="I941" s="9" t="n">
        <v>42</v>
      </c>
      <c r="J941" s="9" t="n">
        <v>1</v>
      </c>
      <c r="K941" s="13" t="s">
        <v>16</v>
      </c>
    </row>
    <row r="942" customFormat="false" ht="15.75" hidden="false" customHeight="false" outlineLevel="0" collapsed="false">
      <c r="A942" s="9" t="n">
        <v>24</v>
      </c>
      <c r="B942" s="10" t="s">
        <v>11</v>
      </c>
      <c r="C942" s="11" t="n">
        <v>3496.262</v>
      </c>
      <c r="D942" s="10" t="s">
        <v>15</v>
      </c>
      <c r="E942" s="12" t="n">
        <v>2.5</v>
      </c>
      <c r="F942" s="12" t="n">
        <v>2.5</v>
      </c>
      <c r="G942" s="12" t="n">
        <v>0</v>
      </c>
      <c r="H942" s="9" t="n">
        <v>2</v>
      </c>
      <c r="I942" s="9" t="n">
        <v>46</v>
      </c>
      <c r="J942" s="9" t="n">
        <v>2</v>
      </c>
      <c r="K942" s="13" t="s">
        <v>13</v>
      </c>
    </row>
    <row r="943" customFormat="false" ht="15.75" hidden="false" customHeight="false" outlineLevel="0" collapsed="false">
      <c r="A943" s="9" t="n">
        <v>12</v>
      </c>
      <c r="B943" s="10" t="s">
        <v>14</v>
      </c>
      <c r="C943" s="11" t="n">
        <v>1802.297</v>
      </c>
      <c r="D943" s="10" t="s">
        <v>20</v>
      </c>
      <c r="E943" s="12" t="n">
        <v>0.5</v>
      </c>
      <c r="F943" s="12" t="n">
        <v>0.5</v>
      </c>
      <c r="G943" s="12" t="n">
        <v>0</v>
      </c>
      <c r="H943" s="9" t="n">
        <v>2</v>
      </c>
      <c r="I943" s="9" t="n">
        <v>45</v>
      </c>
      <c r="J943" s="9" t="n">
        <v>1</v>
      </c>
      <c r="K943" s="13" t="s">
        <v>13</v>
      </c>
    </row>
    <row r="944" customFormat="false" ht="15.75" hidden="false" customHeight="false" outlineLevel="0" collapsed="false">
      <c r="A944" s="9" t="n">
        <v>10</v>
      </c>
      <c r="B944" s="10" t="s">
        <v>14</v>
      </c>
      <c r="C944" s="11" t="n">
        <v>790.006</v>
      </c>
      <c r="D944" s="10" t="s">
        <v>15</v>
      </c>
      <c r="E944" s="12" t="n">
        <v>2.5</v>
      </c>
      <c r="F944" s="12" t="n">
        <v>2.5</v>
      </c>
      <c r="G944" s="12" t="n">
        <v>0</v>
      </c>
      <c r="H944" s="9" t="n">
        <v>3</v>
      </c>
      <c r="I944" s="9" t="n">
        <v>31</v>
      </c>
      <c r="J944" s="9" t="n">
        <v>1</v>
      </c>
      <c r="K944" s="13" t="s">
        <v>13</v>
      </c>
    </row>
    <row r="945" customFormat="false" ht="15.75" hidden="false" customHeight="false" outlineLevel="0" collapsed="false">
      <c r="A945" s="9" t="n">
        <v>24</v>
      </c>
      <c r="B945" s="10" t="s">
        <v>14</v>
      </c>
      <c r="C945" s="11" t="n">
        <v>474.719</v>
      </c>
      <c r="D945" s="10" t="s">
        <v>17</v>
      </c>
      <c r="E945" s="12" t="n">
        <v>5.5</v>
      </c>
      <c r="F945" s="12" t="n">
        <v>5.5</v>
      </c>
      <c r="G945" s="12" t="n">
        <v>0</v>
      </c>
      <c r="H945" s="9" t="n">
        <v>4</v>
      </c>
      <c r="I945" s="9" t="n">
        <v>31</v>
      </c>
      <c r="J945" s="9" t="n">
        <v>1</v>
      </c>
      <c r="K945" s="13" t="s">
        <v>13</v>
      </c>
    </row>
    <row r="946" customFormat="false" ht="15.75" hidden="false" customHeight="false" outlineLevel="0" collapsed="false">
      <c r="A946" s="9" t="n">
        <v>4</v>
      </c>
      <c r="B946" s="10" t="s">
        <v>11</v>
      </c>
      <c r="C946" s="11" t="n">
        <v>743.505</v>
      </c>
      <c r="D946" s="10" t="s">
        <v>17</v>
      </c>
      <c r="E946" s="12" t="n">
        <v>5.5</v>
      </c>
      <c r="F946" s="12" t="n">
        <v>5.5</v>
      </c>
      <c r="G946" s="12" t="n">
        <v>0</v>
      </c>
      <c r="H946" s="9" t="n">
        <v>2</v>
      </c>
      <c r="I946" s="9" t="n">
        <v>42</v>
      </c>
      <c r="J946" s="9" t="n">
        <v>3</v>
      </c>
      <c r="K946" s="13" t="s">
        <v>13</v>
      </c>
    </row>
    <row r="947" customFormat="false" ht="15.75" hidden="false" customHeight="false" outlineLevel="0" collapsed="false">
      <c r="A947" s="9" t="n">
        <v>15</v>
      </c>
      <c r="B947" s="10" t="s">
        <v>14</v>
      </c>
      <c r="C947" s="11" t="n">
        <v>942.795</v>
      </c>
      <c r="D947" s="10" t="s">
        <v>20</v>
      </c>
      <c r="E947" s="12" t="n">
        <v>0.5</v>
      </c>
      <c r="F947" s="12" t="n">
        <v>0.5</v>
      </c>
      <c r="G947" s="12" t="n">
        <v>0</v>
      </c>
      <c r="H947" s="9" t="n">
        <v>4</v>
      </c>
      <c r="I947" s="9" t="n">
        <v>46</v>
      </c>
      <c r="J947" s="9" t="n">
        <v>1</v>
      </c>
      <c r="K947" s="13" t="s">
        <v>13</v>
      </c>
    </row>
    <row r="948" customFormat="false" ht="15.75" hidden="false" customHeight="false" outlineLevel="0" collapsed="false">
      <c r="A948" s="9" t="n">
        <v>48</v>
      </c>
      <c r="B948" s="10" t="s">
        <v>21</v>
      </c>
      <c r="C948" s="11" t="n">
        <v>4270.938</v>
      </c>
      <c r="D948" s="10" t="s">
        <v>20</v>
      </c>
      <c r="E948" s="12" t="n">
        <v>0.5</v>
      </c>
      <c r="F948" s="12" t="n">
        <v>0.5</v>
      </c>
      <c r="G948" s="12" t="n">
        <v>0</v>
      </c>
      <c r="H948" s="9" t="n">
        <v>1</v>
      </c>
      <c r="I948" s="9" t="n">
        <v>30</v>
      </c>
      <c r="J948" s="9" t="n">
        <v>2</v>
      </c>
      <c r="K948" s="13" t="s">
        <v>13</v>
      </c>
    </row>
    <row r="949" customFormat="false" ht="15.75" hidden="false" customHeight="false" outlineLevel="0" collapsed="false">
      <c r="A949" s="9" t="n">
        <v>24</v>
      </c>
      <c r="B949" s="10" t="s">
        <v>22</v>
      </c>
      <c r="C949" s="11" t="n">
        <v>1711.339</v>
      </c>
      <c r="D949" s="10" t="s">
        <v>20</v>
      </c>
      <c r="E949" s="12" t="n">
        <v>0.5</v>
      </c>
      <c r="F949" s="12" t="n">
        <v>0.5</v>
      </c>
      <c r="G949" s="12" t="n">
        <v>0</v>
      </c>
      <c r="H949" s="9" t="n">
        <v>4</v>
      </c>
      <c r="I949" s="9" t="n">
        <v>30</v>
      </c>
      <c r="J949" s="9" t="n">
        <v>1</v>
      </c>
      <c r="K949" s="13" t="s">
        <v>16</v>
      </c>
    </row>
    <row r="950" customFormat="false" ht="15.75" hidden="false" customHeight="false" outlineLevel="0" collapsed="false">
      <c r="A950" s="9" t="n">
        <v>12</v>
      </c>
      <c r="B950" s="10" t="s">
        <v>14</v>
      </c>
      <c r="C950" s="11" t="n">
        <v>1460.949</v>
      </c>
      <c r="D950" s="10" t="s">
        <v>19</v>
      </c>
      <c r="E950" s="12" t="n">
        <v>0</v>
      </c>
      <c r="F950" s="12" t="n">
        <v>0</v>
      </c>
      <c r="G950" s="12" t="n">
        <v>0</v>
      </c>
      <c r="H950" s="9" t="n">
        <v>4</v>
      </c>
      <c r="I950" s="9" t="n">
        <v>38</v>
      </c>
      <c r="J950" s="9" t="n">
        <v>1</v>
      </c>
      <c r="K950" s="13" t="s">
        <v>13</v>
      </c>
    </row>
    <row r="951" customFormat="false" ht="15.75" hidden="false" customHeight="false" outlineLevel="0" collapsed="false">
      <c r="A951" s="9" t="n">
        <v>18</v>
      </c>
      <c r="B951" s="10" t="s">
        <v>14</v>
      </c>
      <c r="C951" s="11" t="n">
        <v>783.363</v>
      </c>
      <c r="D951" s="10" t="s">
        <v>20</v>
      </c>
      <c r="E951" s="12" t="n">
        <v>0.5</v>
      </c>
      <c r="F951" s="12" t="n">
        <v>0.5</v>
      </c>
      <c r="G951" s="12" t="n">
        <v>0</v>
      </c>
      <c r="H951" s="9" t="n">
        <v>4</v>
      </c>
      <c r="I951" s="9" t="n">
        <v>43</v>
      </c>
      <c r="J951" s="9" t="n">
        <v>1</v>
      </c>
      <c r="K951" s="13" t="s">
        <v>16</v>
      </c>
    </row>
    <row r="952" customFormat="false" ht="15.75" hidden="false" customHeight="false" outlineLevel="0" collapsed="false">
      <c r="A952" s="9" t="n">
        <v>24</v>
      </c>
      <c r="B952" s="10" t="s">
        <v>14</v>
      </c>
      <c r="C952" s="11" t="n">
        <v>1850.331</v>
      </c>
      <c r="D952" s="10" t="s">
        <v>12</v>
      </c>
      <c r="E952" s="12" t="n">
        <v>8</v>
      </c>
      <c r="F952" s="12" t="n">
        <v>8</v>
      </c>
      <c r="G952" s="12" t="n">
        <v>0</v>
      </c>
      <c r="H952" s="9" t="n">
        <v>2</v>
      </c>
      <c r="I952" s="9" t="n">
        <v>31</v>
      </c>
      <c r="J952" s="9" t="n">
        <v>2</v>
      </c>
      <c r="K952" s="13" t="s">
        <v>16</v>
      </c>
    </row>
    <row r="953" customFormat="false" ht="15.75" hidden="false" customHeight="false" outlineLevel="0" collapsed="false">
      <c r="A953" s="9" t="n">
        <v>18</v>
      </c>
      <c r="B953" s="10" t="s">
        <v>11</v>
      </c>
      <c r="C953" s="11" t="n">
        <v>1834.49</v>
      </c>
      <c r="D953" s="10" t="s">
        <v>19</v>
      </c>
      <c r="E953" s="12" t="n">
        <v>0</v>
      </c>
      <c r="F953" s="12" t="n">
        <v>0</v>
      </c>
      <c r="G953" s="12" t="n">
        <v>0</v>
      </c>
      <c r="H953" s="9" t="n">
        <v>3</v>
      </c>
      <c r="I953" s="9" t="n">
        <v>40</v>
      </c>
      <c r="J953" s="9" t="n">
        <v>3</v>
      </c>
      <c r="K953" s="13" t="s">
        <v>13</v>
      </c>
    </row>
    <row r="954" customFormat="false" ht="15.75" hidden="false" customHeight="false" outlineLevel="0" collapsed="false">
      <c r="A954" s="9" t="n">
        <v>36</v>
      </c>
      <c r="B954" s="10" t="s">
        <v>18</v>
      </c>
      <c r="C954" s="11" t="n">
        <v>1096.095</v>
      </c>
      <c r="D954" s="10" t="s">
        <v>17</v>
      </c>
      <c r="E954" s="12" t="n">
        <v>5.5</v>
      </c>
      <c r="F954" s="12" t="n">
        <v>5.5</v>
      </c>
      <c r="G954" s="12" t="n">
        <v>0</v>
      </c>
      <c r="H954" s="9" t="n">
        <v>2</v>
      </c>
      <c r="I954" s="9" t="n">
        <v>24</v>
      </c>
      <c r="J954" s="9" t="n">
        <v>2</v>
      </c>
      <c r="K954" s="13" t="s">
        <v>16</v>
      </c>
    </row>
    <row r="955" customFormat="false" ht="15.75" hidden="false" customHeight="false" outlineLevel="0" collapsed="false">
      <c r="A955" s="9" t="n">
        <v>24</v>
      </c>
      <c r="B955" s="10" t="s">
        <v>14</v>
      </c>
      <c r="C955" s="11" t="n">
        <v>2101.743</v>
      </c>
      <c r="D955" s="10" t="s">
        <v>20</v>
      </c>
      <c r="E955" s="12" t="n">
        <v>0.5</v>
      </c>
      <c r="F955" s="12" t="n">
        <v>0.5</v>
      </c>
      <c r="G955" s="12" t="n">
        <v>0</v>
      </c>
      <c r="H955" s="9" t="n">
        <v>3</v>
      </c>
      <c r="I955" s="9" t="n">
        <v>28</v>
      </c>
      <c r="J955" s="9" t="n">
        <v>1</v>
      </c>
      <c r="K955" s="13" t="s">
        <v>16</v>
      </c>
    </row>
    <row r="956" customFormat="false" ht="15.75" hidden="false" customHeight="false" outlineLevel="0" collapsed="false">
      <c r="A956" s="9" t="n">
        <v>36</v>
      </c>
      <c r="B956" s="10" t="s">
        <v>14</v>
      </c>
      <c r="C956" s="11" t="n">
        <v>5607.714</v>
      </c>
      <c r="D956" s="10" t="s">
        <v>19</v>
      </c>
      <c r="E956" s="12" t="n">
        <v>0</v>
      </c>
      <c r="F956" s="12" t="n">
        <v>0</v>
      </c>
      <c r="G956" s="12" t="n">
        <v>0</v>
      </c>
      <c r="H956" s="9" t="n">
        <v>4</v>
      </c>
      <c r="I956" s="9" t="n">
        <v>26</v>
      </c>
      <c r="J956" s="9" t="n">
        <v>2</v>
      </c>
      <c r="K956" s="13" t="s">
        <v>16</v>
      </c>
    </row>
    <row r="957" customFormat="false" ht="15.75" hidden="false" customHeight="false" outlineLevel="0" collapsed="false">
      <c r="A957" s="9" t="n">
        <v>12</v>
      </c>
      <c r="B957" s="10" t="s">
        <v>14</v>
      </c>
      <c r="C957" s="11" t="n">
        <v>967.323</v>
      </c>
      <c r="D957" s="10" t="s">
        <v>15</v>
      </c>
      <c r="E957" s="12" t="n">
        <v>2.5</v>
      </c>
      <c r="F957" s="12" t="n">
        <v>2.5</v>
      </c>
      <c r="G957" s="12" t="n">
        <v>0</v>
      </c>
      <c r="H957" s="9" t="n">
        <v>4</v>
      </c>
      <c r="I957" s="9" t="n">
        <v>29</v>
      </c>
      <c r="J957" s="9" t="n">
        <v>1</v>
      </c>
      <c r="K957" s="13" t="s">
        <v>13</v>
      </c>
    </row>
    <row r="958" customFormat="false" ht="15.75" hidden="false" customHeight="false" outlineLevel="0" collapsed="false">
      <c r="A958" s="9" t="n">
        <v>24</v>
      </c>
      <c r="B958" s="10" t="s">
        <v>11</v>
      </c>
      <c r="C958" s="11" t="n">
        <v>629.041</v>
      </c>
      <c r="D958" s="10" t="s">
        <v>12</v>
      </c>
      <c r="E958" s="12" t="n">
        <v>8</v>
      </c>
      <c r="F958" s="12" t="n">
        <v>8</v>
      </c>
      <c r="G958" s="12" t="n">
        <v>0</v>
      </c>
      <c r="H958" s="9" t="n">
        <v>4</v>
      </c>
      <c r="I958" s="9" t="n">
        <v>57</v>
      </c>
      <c r="J958" s="9" t="n">
        <v>2</v>
      </c>
      <c r="K958" s="13" t="s">
        <v>13</v>
      </c>
    </row>
    <row r="959" customFormat="false" ht="15.75" hidden="false" customHeight="false" outlineLevel="0" collapsed="false">
      <c r="A959" s="9" t="n">
        <v>30</v>
      </c>
      <c r="B959" s="10" t="s">
        <v>11</v>
      </c>
      <c r="C959" s="11" t="n">
        <v>1868.216</v>
      </c>
      <c r="D959" s="10" t="s">
        <v>12</v>
      </c>
      <c r="E959" s="12" t="n">
        <v>8</v>
      </c>
      <c r="F959" s="12" t="n">
        <v>8</v>
      </c>
      <c r="G959" s="12" t="n">
        <v>0</v>
      </c>
      <c r="H959" s="9" t="n">
        <v>4</v>
      </c>
      <c r="I959" s="9" t="n">
        <v>49</v>
      </c>
      <c r="J959" s="9" t="n">
        <v>2</v>
      </c>
      <c r="K959" s="13" t="s">
        <v>13</v>
      </c>
    </row>
    <row r="960" customFormat="false" ht="15.75" hidden="false" customHeight="false" outlineLevel="0" collapsed="false">
      <c r="A960" s="9" t="n">
        <v>9</v>
      </c>
      <c r="B960" s="10" t="s">
        <v>11</v>
      </c>
      <c r="C960" s="11" t="n">
        <v>589.694</v>
      </c>
      <c r="D960" s="10" t="s">
        <v>12</v>
      </c>
      <c r="E960" s="12" t="n">
        <v>8</v>
      </c>
      <c r="F960" s="12" t="n">
        <v>8</v>
      </c>
      <c r="G960" s="12" t="n">
        <v>0</v>
      </c>
      <c r="H960" s="9" t="n">
        <v>2</v>
      </c>
      <c r="I960" s="9" t="n">
        <v>37</v>
      </c>
      <c r="J960" s="9" t="n">
        <v>3</v>
      </c>
      <c r="K960" s="13" t="s">
        <v>13</v>
      </c>
    </row>
    <row r="961" customFormat="false" ht="15.75" hidden="false" customHeight="false" outlineLevel="0" collapsed="false">
      <c r="A961" s="9" t="n">
        <v>28</v>
      </c>
      <c r="B961" s="10" t="s">
        <v>14</v>
      </c>
      <c r="C961" s="11" t="n">
        <v>2047.066</v>
      </c>
      <c r="D961" s="10" t="s">
        <v>15</v>
      </c>
      <c r="E961" s="12" t="n">
        <v>2.5</v>
      </c>
      <c r="F961" s="12" t="n">
        <v>2.5</v>
      </c>
      <c r="G961" s="12" t="n">
        <v>0</v>
      </c>
      <c r="H961" s="9" t="n">
        <v>3</v>
      </c>
      <c r="I961" s="9" t="n">
        <v>45</v>
      </c>
      <c r="J961" s="9" t="n">
        <v>1</v>
      </c>
      <c r="K961" s="13" t="s">
        <v>16</v>
      </c>
    </row>
    <row r="962" customFormat="false" ht="15.75" hidden="false" customHeight="false" outlineLevel="0" collapsed="false">
      <c r="A962" s="9" t="n">
        <v>24</v>
      </c>
      <c r="B962" s="10" t="s">
        <v>14</v>
      </c>
      <c r="C962" s="11" t="n">
        <v>1568.259</v>
      </c>
      <c r="D962" s="10" t="s">
        <v>12</v>
      </c>
      <c r="E962" s="12" t="n">
        <v>8</v>
      </c>
      <c r="F962" s="12" t="n">
        <v>8</v>
      </c>
      <c r="G962" s="12" t="n">
        <v>0</v>
      </c>
      <c r="H962" s="9" t="n">
        <v>4</v>
      </c>
      <c r="I962" s="9" t="n">
        <v>30</v>
      </c>
      <c r="J962" s="9" t="n">
        <v>1</v>
      </c>
      <c r="K962" s="13" t="s">
        <v>13</v>
      </c>
    </row>
    <row r="963" customFormat="false" ht="15.75" hidden="false" customHeight="false" outlineLevel="0" collapsed="false">
      <c r="A963" s="9" t="n">
        <v>6</v>
      </c>
      <c r="B963" s="10" t="s">
        <v>11</v>
      </c>
      <c r="C963" s="11" t="n">
        <v>889.14</v>
      </c>
      <c r="D963" s="10" t="s">
        <v>12</v>
      </c>
      <c r="E963" s="12" t="n">
        <v>8</v>
      </c>
      <c r="F963" s="12" t="n">
        <v>8</v>
      </c>
      <c r="G963" s="12" t="n">
        <v>0</v>
      </c>
      <c r="H963" s="9" t="n">
        <v>2</v>
      </c>
      <c r="I963" s="9" t="n">
        <v>30</v>
      </c>
      <c r="J963" s="9" t="n">
        <v>2</v>
      </c>
      <c r="K963" s="13" t="s">
        <v>13</v>
      </c>
    </row>
    <row r="964" customFormat="false" ht="15.75" hidden="false" customHeight="false" outlineLevel="0" collapsed="false">
      <c r="A964" s="9" t="n">
        <v>21</v>
      </c>
      <c r="B964" s="10" t="s">
        <v>18</v>
      </c>
      <c r="C964" s="11" t="n">
        <v>1202.383</v>
      </c>
      <c r="D964" s="10" t="s">
        <v>15</v>
      </c>
      <c r="E964" s="12" t="n">
        <v>2.5</v>
      </c>
      <c r="F964" s="12" t="n">
        <v>2.5</v>
      </c>
      <c r="G964" s="12" t="n">
        <v>0</v>
      </c>
      <c r="H964" s="9" t="n">
        <v>1</v>
      </c>
      <c r="I964" s="9" t="n">
        <v>47</v>
      </c>
      <c r="J964" s="9" t="n">
        <v>2</v>
      </c>
      <c r="K964" s="13" t="s">
        <v>13</v>
      </c>
    </row>
    <row r="965" customFormat="false" ht="15.75" hidden="false" customHeight="false" outlineLevel="0" collapsed="false">
      <c r="A965" s="9" t="n">
        <v>15</v>
      </c>
      <c r="B965" s="10" t="s">
        <v>14</v>
      </c>
      <c r="C965" s="11" t="n">
        <v>1817.116</v>
      </c>
      <c r="D965" s="10" t="s">
        <v>15</v>
      </c>
      <c r="E965" s="12" t="n">
        <v>2.5</v>
      </c>
      <c r="F965" s="12" t="n">
        <v>2.5</v>
      </c>
      <c r="G965" s="12" t="n">
        <v>0</v>
      </c>
      <c r="H965" s="9" t="n">
        <v>3</v>
      </c>
      <c r="I965" s="9" t="n">
        <v>29</v>
      </c>
      <c r="J965" s="9" t="n">
        <v>1</v>
      </c>
      <c r="K965" s="13" t="s">
        <v>13</v>
      </c>
    </row>
    <row r="966" customFormat="false" ht="15.75" hidden="false" customHeight="false" outlineLevel="0" collapsed="false">
      <c r="A966" s="9" t="n">
        <v>24</v>
      </c>
      <c r="B966" s="10" t="s">
        <v>14</v>
      </c>
      <c r="C966" s="11" t="n">
        <v>1224.867</v>
      </c>
      <c r="D966" s="10" t="s">
        <v>12</v>
      </c>
      <c r="E966" s="12" t="n">
        <v>8</v>
      </c>
      <c r="F966" s="12" t="n">
        <v>8</v>
      </c>
      <c r="G966" s="12" t="n">
        <v>0</v>
      </c>
      <c r="H966" s="9" t="n">
        <v>3</v>
      </c>
      <c r="I966" s="9" t="n">
        <v>35</v>
      </c>
      <c r="J966" s="9" t="n">
        <v>2</v>
      </c>
      <c r="K966" s="13" t="s">
        <v>16</v>
      </c>
    </row>
    <row r="967" customFormat="false" ht="15.75" hidden="false" customHeight="false" outlineLevel="0" collapsed="false">
      <c r="A967" s="9" t="n">
        <v>6</v>
      </c>
      <c r="B967" s="10" t="s">
        <v>14</v>
      </c>
      <c r="C967" s="11" t="n">
        <v>231.994</v>
      </c>
      <c r="D967" s="10" t="s">
        <v>20</v>
      </c>
      <c r="E967" s="12" t="n">
        <v>0.5</v>
      </c>
      <c r="F967" s="12" t="n">
        <v>0.5</v>
      </c>
      <c r="G967" s="12" t="n">
        <v>0</v>
      </c>
      <c r="H967" s="9" t="n">
        <v>3</v>
      </c>
      <c r="I967" s="9" t="n">
        <v>22</v>
      </c>
      <c r="J967" s="9" t="n">
        <v>1</v>
      </c>
      <c r="K967" s="13" t="s">
        <v>13</v>
      </c>
    </row>
    <row r="968" customFormat="false" ht="15.75" hidden="false" customHeight="false" outlineLevel="0" collapsed="false">
      <c r="A968" s="9" t="n">
        <v>30</v>
      </c>
      <c r="B968" s="10" t="s">
        <v>14</v>
      </c>
      <c r="C968" s="11" t="n">
        <v>876.365</v>
      </c>
      <c r="D968" s="10" t="s">
        <v>15</v>
      </c>
      <c r="E968" s="12" t="n">
        <v>2.5</v>
      </c>
      <c r="F968" s="12" t="n">
        <v>2.5</v>
      </c>
      <c r="G968" s="12" t="n">
        <v>0</v>
      </c>
      <c r="H968" s="9" t="n">
        <v>4</v>
      </c>
      <c r="I968" s="9" t="n">
        <v>26</v>
      </c>
      <c r="J968" s="9" t="n">
        <v>1</v>
      </c>
      <c r="K968" s="13" t="s">
        <v>13</v>
      </c>
    </row>
    <row r="969" customFormat="false" ht="15.75" hidden="false" customHeight="false" outlineLevel="0" collapsed="false">
      <c r="A969" s="9" t="n">
        <v>27</v>
      </c>
      <c r="B969" s="10" t="s">
        <v>11</v>
      </c>
      <c r="C969" s="11" t="n">
        <v>1287.72</v>
      </c>
      <c r="D969" s="10" t="s">
        <v>15</v>
      </c>
      <c r="E969" s="12" t="n">
        <v>2.5</v>
      </c>
      <c r="F969" s="12" t="n">
        <v>2.5</v>
      </c>
      <c r="G969" s="12" t="n">
        <v>0</v>
      </c>
      <c r="H969" s="9" t="n">
        <v>4</v>
      </c>
      <c r="I969" s="9" t="n">
        <v>23</v>
      </c>
      <c r="J969" s="9" t="n">
        <v>2</v>
      </c>
      <c r="K969" s="13" t="s">
        <v>16</v>
      </c>
    </row>
    <row r="970" customFormat="false" ht="15.75" hidden="false" customHeight="false" outlineLevel="0" collapsed="false">
      <c r="A970" s="9" t="n">
        <v>15</v>
      </c>
      <c r="B970" s="10" t="s">
        <v>14</v>
      </c>
      <c r="C970" s="11" t="n">
        <v>1823.248</v>
      </c>
      <c r="D970" s="10" t="s">
        <v>12</v>
      </c>
      <c r="E970" s="12" t="n">
        <v>8</v>
      </c>
      <c r="F970" s="12" t="n">
        <v>8</v>
      </c>
      <c r="G970" s="12" t="n">
        <v>0</v>
      </c>
      <c r="H970" s="9" t="n">
        <v>4</v>
      </c>
      <c r="I970" s="9" t="n">
        <v>54</v>
      </c>
      <c r="J970" s="9" t="n">
        <v>1</v>
      </c>
      <c r="K970" s="13" t="s">
        <v>13</v>
      </c>
    </row>
    <row r="971" customFormat="false" ht="15.75" hidden="false" customHeight="false" outlineLevel="0" collapsed="false">
      <c r="A971" s="9" t="n">
        <v>42</v>
      </c>
      <c r="B971" s="10" t="s">
        <v>14</v>
      </c>
      <c r="C971" s="11" t="n">
        <v>3661.826</v>
      </c>
      <c r="D971" s="10" t="s">
        <v>17</v>
      </c>
      <c r="E971" s="12" t="n">
        <v>5.5</v>
      </c>
      <c r="F971" s="12" t="n">
        <v>5.5</v>
      </c>
      <c r="G971" s="12" t="n">
        <v>0</v>
      </c>
      <c r="H971" s="9" t="n">
        <v>2</v>
      </c>
      <c r="I971" s="9" t="n">
        <v>29</v>
      </c>
      <c r="J971" s="9" t="n">
        <v>1</v>
      </c>
      <c r="K971" s="13" t="s">
        <v>13</v>
      </c>
    </row>
    <row r="972" customFormat="false" ht="15.75" hidden="false" customHeight="false" outlineLevel="0" collapsed="false">
      <c r="A972" s="9" t="n">
        <v>11</v>
      </c>
      <c r="B972" s="10" t="s">
        <v>11</v>
      </c>
      <c r="C972" s="11" t="n">
        <v>2012.829</v>
      </c>
      <c r="D972" s="10" t="s">
        <v>15</v>
      </c>
      <c r="E972" s="12" t="n">
        <v>2.5</v>
      </c>
      <c r="F972" s="12" t="n">
        <v>2.5</v>
      </c>
      <c r="G972" s="12" t="n">
        <v>0</v>
      </c>
      <c r="H972" s="9" t="n">
        <v>1</v>
      </c>
      <c r="I972" s="9" t="n">
        <v>40</v>
      </c>
      <c r="J972" s="9" t="n">
        <v>2</v>
      </c>
      <c r="K972" s="13" t="s">
        <v>13</v>
      </c>
    </row>
    <row r="973" customFormat="false" ht="15.75" hidden="false" customHeight="false" outlineLevel="0" collapsed="false">
      <c r="A973" s="9" t="n">
        <v>15</v>
      </c>
      <c r="B973" s="10" t="s">
        <v>14</v>
      </c>
      <c r="C973" s="11" t="n">
        <v>773.654</v>
      </c>
      <c r="D973" s="10" t="s">
        <v>15</v>
      </c>
      <c r="E973" s="12" t="n">
        <v>2.5</v>
      </c>
      <c r="F973" s="12" t="n">
        <v>2.5</v>
      </c>
      <c r="G973" s="12" t="n">
        <v>0</v>
      </c>
      <c r="H973" s="9" t="n">
        <v>4</v>
      </c>
      <c r="I973" s="9" t="n">
        <v>22</v>
      </c>
      <c r="J973" s="9" t="n">
        <v>1</v>
      </c>
      <c r="K973" s="13" t="s">
        <v>13</v>
      </c>
    </row>
    <row r="974" customFormat="false" ht="15.75" hidden="false" customHeight="false" outlineLevel="0" collapsed="false">
      <c r="A974" s="9" t="n">
        <v>24</v>
      </c>
      <c r="B974" s="10" t="s">
        <v>14</v>
      </c>
      <c r="C974" s="11" t="n">
        <v>3777.823</v>
      </c>
      <c r="D974" s="10" t="s">
        <v>15</v>
      </c>
      <c r="E974" s="12" t="n">
        <v>2.5</v>
      </c>
      <c r="F974" s="12" t="n">
        <v>2.5</v>
      </c>
      <c r="G974" s="12" t="n">
        <v>0</v>
      </c>
      <c r="H974" s="9" t="n">
        <v>1</v>
      </c>
      <c r="I974" s="9" t="n">
        <v>43</v>
      </c>
      <c r="J974" s="9" t="n">
        <v>1</v>
      </c>
      <c r="K974" s="13" t="s">
        <v>13</v>
      </c>
    </row>
    <row r="975" customFormat="false" ht="15.75" hidden="false" customHeight="false" outlineLevel="0" collapsed="false">
      <c r="A975" s="9" t="n">
        <v>24</v>
      </c>
      <c r="B975" s="10" t="s">
        <v>22</v>
      </c>
      <c r="C975" s="11" t="n">
        <v>609.623</v>
      </c>
      <c r="D975" s="10" t="s">
        <v>19</v>
      </c>
      <c r="E975" s="12" t="n">
        <v>0</v>
      </c>
      <c r="F975" s="12" t="n">
        <v>0</v>
      </c>
      <c r="G975" s="12" t="n">
        <v>0</v>
      </c>
      <c r="H975" s="9" t="n">
        <v>1</v>
      </c>
      <c r="I975" s="9" t="n">
        <v>29</v>
      </c>
      <c r="J975" s="9" t="n">
        <v>2</v>
      </c>
      <c r="K975" s="13" t="s">
        <v>16</v>
      </c>
    </row>
    <row r="976" customFormat="false" ht="15.75" hidden="false" customHeight="false" outlineLevel="0" collapsed="false">
      <c r="A976" s="9" t="n">
        <v>60</v>
      </c>
      <c r="B976" s="10" t="s">
        <v>14</v>
      </c>
      <c r="C976" s="11" t="n">
        <v>3728.767</v>
      </c>
      <c r="D976" s="10" t="s">
        <v>12</v>
      </c>
      <c r="E976" s="12" t="n">
        <v>8</v>
      </c>
      <c r="F976" s="12" t="n">
        <v>8</v>
      </c>
      <c r="G976" s="12" t="n">
        <v>0</v>
      </c>
      <c r="H976" s="9" t="n">
        <v>4</v>
      </c>
      <c r="I976" s="9" t="n">
        <v>36</v>
      </c>
      <c r="J976" s="9" t="n">
        <v>1</v>
      </c>
      <c r="K976" s="13" t="s">
        <v>16</v>
      </c>
    </row>
    <row r="977" customFormat="false" ht="15.75" hidden="false" customHeight="false" outlineLevel="0" collapsed="false">
      <c r="A977" s="9" t="n">
        <v>30</v>
      </c>
      <c r="B977" s="10" t="s">
        <v>11</v>
      </c>
      <c r="C977" s="11" t="n">
        <v>1446.641</v>
      </c>
      <c r="D977" s="10" t="s">
        <v>15</v>
      </c>
      <c r="E977" s="12" t="n">
        <v>2.5</v>
      </c>
      <c r="F977" s="12" t="n">
        <v>2.5</v>
      </c>
      <c r="G977" s="12" t="n">
        <v>0</v>
      </c>
      <c r="H977" s="9" t="n">
        <v>4</v>
      </c>
      <c r="I977" s="9" t="n">
        <v>33</v>
      </c>
      <c r="J977" s="9" t="n">
        <v>1</v>
      </c>
      <c r="K977" s="13" t="s">
        <v>13</v>
      </c>
    </row>
    <row r="978" customFormat="false" ht="15.75" hidden="false" customHeight="false" outlineLevel="0" collapsed="false">
      <c r="A978" s="9" t="n">
        <v>24</v>
      </c>
      <c r="B978" s="10" t="s">
        <v>14</v>
      </c>
      <c r="C978" s="11" t="n">
        <v>642.838</v>
      </c>
      <c r="D978" s="10" t="s">
        <v>15</v>
      </c>
      <c r="E978" s="12" t="n">
        <v>2.5</v>
      </c>
      <c r="F978" s="12" t="n">
        <v>2.5</v>
      </c>
      <c r="G978" s="12" t="n">
        <v>0</v>
      </c>
      <c r="H978" s="9" t="n">
        <v>3</v>
      </c>
      <c r="I978" s="9" t="n">
        <v>57</v>
      </c>
      <c r="J978" s="9" t="n">
        <v>1</v>
      </c>
      <c r="K978" s="13" t="s">
        <v>13</v>
      </c>
    </row>
    <row r="979" customFormat="false" ht="15.75" hidden="false" customHeight="false" outlineLevel="0" collapsed="false">
      <c r="A979" s="9" t="n">
        <v>6</v>
      </c>
      <c r="B979" s="10" t="s">
        <v>14</v>
      </c>
      <c r="C979" s="11" t="n">
        <v>384.783</v>
      </c>
      <c r="D979" s="10" t="s">
        <v>15</v>
      </c>
      <c r="E979" s="12" t="n">
        <v>2.5</v>
      </c>
      <c r="F979" s="12" t="n">
        <v>2.5</v>
      </c>
      <c r="G979" s="12" t="n">
        <v>0</v>
      </c>
      <c r="H979" s="9" t="n">
        <v>2</v>
      </c>
      <c r="I979" s="9" t="n">
        <v>64</v>
      </c>
      <c r="J979" s="9" t="n">
        <v>1</v>
      </c>
      <c r="K979" s="13" t="s">
        <v>13</v>
      </c>
    </row>
    <row r="980" customFormat="false" ht="15.75" hidden="false" customHeight="false" outlineLevel="0" collapsed="false">
      <c r="A980" s="9" t="n">
        <v>18</v>
      </c>
      <c r="B980" s="10" t="s">
        <v>18</v>
      </c>
      <c r="C980" s="11" t="n">
        <v>1240.197</v>
      </c>
      <c r="D980" s="10" t="s">
        <v>12</v>
      </c>
      <c r="E980" s="12" t="n">
        <v>8</v>
      </c>
      <c r="F980" s="12" t="n">
        <v>8</v>
      </c>
      <c r="G980" s="12" t="n">
        <v>0</v>
      </c>
      <c r="H980" s="9" t="n">
        <v>4</v>
      </c>
      <c r="I980" s="9" t="n">
        <v>42</v>
      </c>
      <c r="J980" s="9" t="n">
        <v>2</v>
      </c>
      <c r="K980" s="13" t="s">
        <v>13</v>
      </c>
    </row>
    <row r="981" customFormat="false" ht="15.75" hidden="false" customHeight="false" outlineLevel="0" collapsed="false">
      <c r="A981" s="9" t="n">
        <v>24</v>
      </c>
      <c r="B981" s="10" t="s">
        <v>18</v>
      </c>
      <c r="C981" s="11" t="n">
        <v>1296.918</v>
      </c>
      <c r="D981" s="10" t="s">
        <v>12</v>
      </c>
      <c r="E981" s="12" t="n">
        <v>8</v>
      </c>
      <c r="F981" s="12" t="n">
        <v>8</v>
      </c>
      <c r="G981" s="12" t="n">
        <v>0</v>
      </c>
      <c r="H981" s="9" t="n">
        <v>4</v>
      </c>
      <c r="I981" s="9" t="n">
        <v>47</v>
      </c>
      <c r="J981" s="9" t="n">
        <v>2</v>
      </c>
      <c r="K981" s="13" t="s">
        <v>16</v>
      </c>
    </row>
    <row r="982" customFormat="false" ht="15.75" hidden="false" customHeight="false" outlineLevel="0" collapsed="false">
      <c r="A982" s="9" t="n">
        <v>15</v>
      </c>
      <c r="B982" s="10" t="s">
        <v>22</v>
      </c>
      <c r="C982" s="11" t="n">
        <v>645.904</v>
      </c>
      <c r="D982" s="10" t="s">
        <v>15</v>
      </c>
      <c r="E982" s="12" t="n">
        <v>2.5</v>
      </c>
      <c r="F982" s="12" t="n">
        <v>2.5</v>
      </c>
      <c r="G982" s="12" t="n">
        <v>0</v>
      </c>
      <c r="H982" s="9" t="n">
        <v>2</v>
      </c>
      <c r="I982" s="9" t="n">
        <v>25</v>
      </c>
      <c r="J982" s="9" t="n">
        <v>1</v>
      </c>
      <c r="K982" s="13" t="s">
        <v>16</v>
      </c>
    </row>
    <row r="983" customFormat="false" ht="15.75" hidden="false" customHeight="false" outlineLevel="0" collapsed="false">
      <c r="A983" s="9" t="n">
        <v>30</v>
      </c>
      <c r="B983" s="10" t="s">
        <v>11</v>
      </c>
      <c r="C983" s="11" t="n">
        <v>4285.246</v>
      </c>
      <c r="D983" s="10" t="s">
        <v>17</v>
      </c>
      <c r="E983" s="12" t="n">
        <v>5.5</v>
      </c>
      <c r="F983" s="12" t="n">
        <v>5.5</v>
      </c>
      <c r="G983" s="12" t="n">
        <v>0</v>
      </c>
      <c r="H983" s="9" t="n">
        <v>2</v>
      </c>
      <c r="I983" s="9" t="n">
        <v>49</v>
      </c>
      <c r="J983" s="9" t="n">
        <v>1</v>
      </c>
      <c r="K983" s="13" t="s">
        <v>16</v>
      </c>
    </row>
    <row r="984" customFormat="false" ht="15.75" hidden="false" customHeight="false" outlineLevel="0" collapsed="false">
      <c r="A984" s="9" t="n">
        <v>48</v>
      </c>
      <c r="B984" s="10" t="s">
        <v>14</v>
      </c>
      <c r="C984" s="11" t="n">
        <v>2475.284</v>
      </c>
      <c r="D984" s="10" t="s">
        <v>19</v>
      </c>
      <c r="E984" s="12" t="n">
        <v>0</v>
      </c>
      <c r="F984" s="12" t="n">
        <v>0</v>
      </c>
      <c r="G984" s="12" t="n">
        <v>0</v>
      </c>
      <c r="H984" s="9" t="n">
        <v>3</v>
      </c>
      <c r="I984" s="9" t="n">
        <v>33</v>
      </c>
      <c r="J984" s="9" t="n">
        <v>1</v>
      </c>
      <c r="K984" s="13" t="s">
        <v>16</v>
      </c>
    </row>
    <row r="985" customFormat="false" ht="15.75" hidden="false" customHeight="false" outlineLevel="0" collapsed="false">
      <c r="A985" s="9" t="n">
        <v>21</v>
      </c>
      <c r="B985" s="10" t="s">
        <v>14</v>
      </c>
      <c r="C985" s="11" t="n">
        <v>1493.653</v>
      </c>
      <c r="D985" s="10" t="s">
        <v>15</v>
      </c>
      <c r="E985" s="12" t="n">
        <v>2.5</v>
      </c>
      <c r="F985" s="12" t="n">
        <v>2.5</v>
      </c>
      <c r="G985" s="12" t="n">
        <v>0</v>
      </c>
      <c r="H985" s="9" t="n">
        <v>1</v>
      </c>
      <c r="I985" s="9" t="n">
        <v>28</v>
      </c>
      <c r="J985" s="9" t="n">
        <v>1</v>
      </c>
      <c r="K985" s="13" t="s">
        <v>13</v>
      </c>
    </row>
    <row r="986" customFormat="false" ht="15.75" hidden="false" customHeight="false" outlineLevel="0" collapsed="false">
      <c r="A986" s="9" t="n">
        <v>36</v>
      </c>
      <c r="B986" s="10" t="s">
        <v>14</v>
      </c>
      <c r="C986" s="11" t="n">
        <v>4205.019</v>
      </c>
      <c r="D986" s="10" t="s">
        <v>15</v>
      </c>
      <c r="E986" s="12" t="n">
        <v>2.5</v>
      </c>
      <c r="F986" s="12" t="n">
        <v>2.5</v>
      </c>
      <c r="G986" s="12" t="n">
        <v>0</v>
      </c>
      <c r="H986" s="9" t="n">
        <v>2</v>
      </c>
      <c r="I986" s="9" t="n">
        <v>26</v>
      </c>
      <c r="J986" s="9" t="n">
        <v>1</v>
      </c>
      <c r="K986" s="13" t="s">
        <v>16</v>
      </c>
    </row>
    <row r="987" customFormat="false" ht="15.75" hidden="false" customHeight="false" outlineLevel="0" collapsed="false">
      <c r="A987" s="9" t="n">
        <v>24</v>
      </c>
      <c r="B987" s="10" t="s">
        <v>11</v>
      </c>
      <c r="C987" s="11" t="n">
        <v>1036.308</v>
      </c>
      <c r="D987" s="10" t="s">
        <v>17</v>
      </c>
      <c r="E987" s="12" t="n">
        <v>5.5</v>
      </c>
      <c r="F987" s="12" t="n">
        <v>5.5</v>
      </c>
      <c r="G987" s="12" t="n">
        <v>0</v>
      </c>
      <c r="H987" s="9" t="n">
        <v>2</v>
      </c>
      <c r="I987" s="9" t="n">
        <v>30</v>
      </c>
      <c r="J987" s="9" t="n">
        <v>2</v>
      </c>
      <c r="K987" s="13" t="s">
        <v>13</v>
      </c>
    </row>
    <row r="988" customFormat="false" ht="15.75" hidden="false" customHeight="false" outlineLevel="0" collapsed="false">
      <c r="A988" s="9" t="n">
        <v>15</v>
      </c>
      <c r="B988" s="10" t="s">
        <v>11</v>
      </c>
      <c r="C988" s="11" t="n">
        <v>732.263</v>
      </c>
      <c r="D988" s="10" t="s">
        <v>15</v>
      </c>
      <c r="E988" s="12" t="n">
        <v>2.5</v>
      </c>
      <c r="F988" s="12" t="n">
        <v>2.5</v>
      </c>
      <c r="G988" s="12" t="n">
        <v>0</v>
      </c>
      <c r="H988" s="9" t="n">
        <v>4</v>
      </c>
      <c r="I988" s="9" t="n">
        <v>25</v>
      </c>
      <c r="J988" s="9" t="n">
        <v>2</v>
      </c>
      <c r="K988" s="13" t="s">
        <v>13</v>
      </c>
    </row>
    <row r="989" customFormat="false" ht="15.75" hidden="false" customHeight="false" outlineLevel="0" collapsed="false">
      <c r="A989" s="9" t="n">
        <v>42</v>
      </c>
      <c r="B989" s="10" t="s">
        <v>21</v>
      </c>
      <c r="C989" s="11" t="n">
        <v>3213.679</v>
      </c>
      <c r="D989" s="10" t="s">
        <v>20</v>
      </c>
      <c r="E989" s="12" t="n">
        <v>0.5</v>
      </c>
      <c r="F989" s="12" t="n">
        <v>0.5</v>
      </c>
      <c r="G989" s="12" t="n">
        <v>0</v>
      </c>
      <c r="H989" s="9" t="n">
        <v>2</v>
      </c>
      <c r="I989" s="9" t="n">
        <v>33</v>
      </c>
      <c r="J989" s="9" t="n">
        <v>2</v>
      </c>
      <c r="K989" s="13" t="s">
        <v>13</v>
      </c>
    </row>
    <row r="990" customFormat="false" ht="15.75" hidden="false" customHeight="false" outlineLevel="0" collapsed="false">
      <c r="A990" s="9" t="n">
        <v>13</v>
      </c>
      <c r="B990" s="10" t="s">
        <v>14</v>
      </c>
      <c r="C990" s="11" t="n">
        <v>719.999</v>
      </c>
      <c r="D990" s="10" t="s">
        <v>19</v>
      </c>
      <c r="E990" s="12" t="n">
        <v>0</v>
      </c>
      <c r="F990" s="12" t="n">
        <v>0</v>
      </c>
      <c r="G990" s="12" t="n">
        <v>0</v>
      </c>
      <c r="H990" s="9" t="n">
        <v>2</v>
      </c>
      <c r="I990" s="9" t="n">
        <v>64</v>
      </c>
      <c r="J990" s="9" t="n">
        <v>1</v>
      </c>
      <c r="K990" s="13" t="s">
        <v>13</v>
      </c>
    </row>
    <row r="991" customFormat="false" ht="15.75" hidden="false" customHeight="false" outlineLevel="0" collapsed="false">
      <c r="A991" s="9" t="n">
        <v>24</v>
      </c>
      <c r="B991" s="10" t="s">
        <v>14</v>
      </c>
      <c r="C991" s="11" t="n">
        <v>3361.869</v>
      </c>
      <c r="D991" s="10" t="s">
        <v>19</v>
      </c>
      <c r="E991" s="12" t="n">
        <v>0</v>
      </c>
      <c r="F991" s="12" t="n">
        <v>0</v>
      </c>
      <c r="G991" s="12" t="n">
        <v>0</v>
      </c>
      <c r="H991" s="9" t="n">
        <v>4</v>
      </c>
      <c r="I991" s="9" t="n">
        <v>29</v>
      </c>
      <c r="J991" s="9" t="n">
        <v>1</v>
      </c>
      <c r="K991" s="13" t="s">
        <v>13</v>
      </c>
    </row>
    <row r="992" customFormat="false" ht="15.75" hidden="false" customHeight="false" outlineLevel="0" collapsed="false">
      <c r="A992" s="9" t="n">
        <v>24</v>
      </c>
      <c r="B992" s="10" t="s">
        <v>11</v>
      </c>
      <c r="C992" s="11" t="n">
        <v>890.673</v>
      </c>
      <c r="D992" s="10" t="s">
        <v>12</v>
      </c>
      <c r="E992" s="12" t="n">
        <v>8</v>
      </c>
      <c r="F992" s="12" t="n">
        <v>8</v>
      </c>
      <c r="G992" s="12" t="n">
        <v>0</v>
      </c>
      <c r="H992" s="9" t="n">
        <v>4</v>
      </c>
      <c r="I992" s="9" t="n">
        <v>48</v>
      </c>
      <c r="J992" s="9" t="n">
        <v>2</v>
      </c>
      <c r="K992" s="13" t="s">
        <v>13</v>
      </c>
    </row>
    <row r="993" customFormat="false" ht="15.75" hidden="false" customHeight="false" outlineLevel="0" collapsed="false">
      <c r="A993" s="9" t="n">
        <v>12</v>
      </c>
      <c r="B993" s="10" t="s">
        <v>11</v>
      </c>
      <c r="C993" s="11" t="n">
        <v>1821.715</v>
      </c>
      <c r="D993" s="10" t="s">
        <v>20</v>
      </c>
      <c r="E993" s="12" t="n">
        <v>0.5</v>
      </c>
      <c r="F993" s="12" t="n">
        <v>0.5</v>
      </c>
      <c r="G993" s="12" t="n">
        <v>0</v>
      </c>
      <c r="H993" s="9" t="n">
        <v>2</v>
      </c>
      <c r="I993" s="9" t="n">
        <v>37</v>
      </c>
      <c r="J993" s="9" t="n">
        <v>2</v>
      </c>
      <c r="K993" s="13" t="s">
        <v>13</v>
      </c>
    </row>
    <row r="994" customFormat="false" ht="15.75" hidden="false" customHeight="false" outlineLevel="0" collapsed="false">
      <c r="A994" s="9" t="n">
        <v>15</v>
      </c>
      <c r="B994" s="10" t="s">
        <v>22</v>
      </c>
      <c r="C994" s="11" t="n">
        <v>801.759</v>
      </c>
      <c r="D994" s="10" t="s">
        <v>12</v>
      </c>
      <c r="E994" s="12" t="n">
        <v>8</v>
      </c>
      <c r="F994" s="12" t="n">
        <v>8</v>
      </c>
      <c r="G994" s="12" t="n">
        <v>0</v>
      </c>
      <c r="H994" s="9" t="n">
        <v>4</v>
      </c>
      <c r="I994" s="9" t="n">
        <v>34</v>
      </c>
      <c r="J994" s="9" t="n">
        <v>1</v>
      </c>
      <c r="K994" s="13" t="s">
        <v>13</v>
      </c>
    </row>
    <row r="995" customFormat="false" ht="15.75" hidden="false" customHeight="false" outlineLevel="0" collapsed="false">
      <c r="A995" s="9" t="n">
        <v>18</v>
      </c>
      <c r="B995" s="10" t="s">
        <v>14</v>
      </c>
      <c r="C995" s="11" t="n">
        <v>989.296</v>
      </c>
      <c r="D995" s="10" t="s">
        <v>17</v>
      </c>
      <c r="E995" s="12" t="n">
        <v>5.5</v>
      </c>
      <c r="F995" s="12" t="n">
        <v>5</v>
      </c>
      <c r="G995" s="12" t="n">
        <v>1</v>
      </c>
      <c r="H995" s="9" t="n">
        <v>2</v>
      </c>
      <c r="I995" s="9" t="n">
        <v>23</v>
      </c>
      <c r="J995" s="9" t="n">
        <v>2</v>
      </c>
      <c r="K995" s="13" t="s">
        <v>13</v>
      </c>
    </row>
    <row r="996" customFormat="false" ht="15.75" hidden="false" customHeight="false" outlineLevel="0" collapsed="false">
      <c r="A996" s="9" t="n">
        <v>36</v>
      </c>
      <c r="B996" s="10" t="s">
        <v>14</v>
      </c>
      <c r="C996" s="11" t="n">
        <v>2023.049</v>
      </c>
      <c r="D996" s="10" t="s">
        <v>19</v>
      </c>
      <c r="E996" s="12" t="n">
        <v>0</v>
      </c>
      <c r="F996" s="12" t="n">
        <v>0</v>
      </c>
      <c r="G996" s="12" t="n">
        <v>0</v>
      </c>
      <c r="H996" s="9" t="n">
        <v>4</v>
      </c>
      <c r="I996" s="9" t="n">
        <v>30</v>
      </c>
      <c r="J996" s="9" t="n">
        <v>1</v>
      </c>
      <c r="K996" s="13" t="s">
        <v>13</v>
      </c>
    </row>
    <row r="997" customFormat="false" ht="15.75" hidden="false" customHeight="false" outlineLevel="0" collapsed="false">
      <c r="A997" s="9" t="n">
        <v>12</v>
      </c>
      <c r="B997" s="10" t="s">
        <v>14</v>
      </c>
      <c r="C997" s="11" t="n">
        <v>1221.29</v>
      </c>
      <c r="D997" s="10" t="s">
        <v>12</v>
      </c>
      <c r="E997" s="12" t="n">
        <v>8</v>
      </c>
      <c r="F997" s="12" t="n">
        <v>8</v>
      </c>
      <c r="G997" s="12" t="n">
        <v>0</v>
      </c>
      <c r="H997" s="9" t="n">
        <v>4</v>
      </c>
      <c r="I997" s="9" t="n">
        <v>50</v>
      </c>
      <c r="J997" s="9" t="n">
        <v>1</v>
      </c>
      <c r="K997" s="13" t="s">
        <v>13</v>
      </c>
    </row>
    <row r="998" customFormat="false" ht="15.75" hidden="false" customHeight="false" outlineLevel="0" collapsed="false">
      <c r="A998" s="9" t="n">
        <v>12</v>
      </c>
      <c r="B998" s="10" t="s">
        <v>14</v>
      </c>
      <c r="C998" s="11" t="n">
        <v>887.096</v>
      </c>
      <c r="D998" s="10" t="s">
        <v>17</v>
      </c>
      <c r="E998" s="12" t="n">
        <v>5.5</v>
      </c>
      <c r="F998" s="12" t="n">
        <v>5.5</v>
      </c>
      <c r="G998" s="12" t="n">
        <v>0</v>
      </c>
      <c r="H998" s="9" t="n">
        <v>3</v>
      </c>
      <c r="I998" s="9" t="n">
        <v>31</v>
      </c>
      <c r="J998" s="9" t="n">
        <v>1</v>
      </c>
      <c r="K998" s="13" t="s">
        <v>13</v>
      </c>
    </row>
    <row r="999" customFormat="false" ht="15.75" hidden="false" customHeight="false" outlineLevel="0" collapsed="false">
      <c r="A999" s="9" t="n">
        <v>30</v>
      </c>
      <c r="B999" s="10" t="s">
        <v>14</v>
      </c>
      <c r="C999" s="11" t="n">
        <v>1970.927</v>
      </c>
      <c r="D999" s="10" t="s">
        <v>15</v>
      </c>
      <c r="E999" s="12" t="n">
        <v>2.5</v>
      </c>
      <c r="F999" s="12" t="n">
        <v>2.5</v>
      </c>
      <c r="G999" s="12" t="n">
        <v>0</v>
      </c>
      <c r="H999" s="9" t="n">
        <v>4</v>
      </c>
      <c r="I999" s="9" t="n">
        <v>40</v>
      </c>
      <c r="J999" s="9" t="n">
        <v>1</v>
      </c>
      <c r="K999" s="13" t="s">
        <v>13</v>
      </c>
    </row>
    <row r="1000" customFormat="false" ht="15.75" hidden="false" customHeight="false" outlineLevel="0" collapsed="false">
      <c r="A1000" s="9" t="n">
        <v>12</v>
      </c>
      <c r="B1000" s="10" t="s">
        <v>14</v>
      </c>
      <c r="C1000" s="11" t="n">
        <v>410.844</v>
      </c>
      <c r="D1000" s="10" t="s">
        <v>12</v>
      </c>
      <c r="E1000" s="12" t="n">
        <v>8</v>
      </c>
      <c r="F1000" s="12" t="n">
        <v>8</v>
      </c>
      <c r="G1000" s="12" t="n">
        <v>0</v>
      </c>
      <c r="H1000" s="9" t="n">
        <v>4</v>
      </c>
      <c r="I1000" s="9" t="n">
        <v>38</v>
      </c>
      <c r="J1000" s="9" t="n">
        <v>1</v>
      </c>
      <c r="K1000" s="13" t="s">
        <v>13</v>
      </c>
    </row>
    <row r="1001" customFormat="false" ht="15.75" hidden="false" customHeight="false" outlineLevel="0" collapsed="false">
      <c r="A1001" s="9" t="n">
        <v>45</v>
      </c>
      <c r="B1001" s="10" t="s">
        <v>14</v>
      </c>
      <c r="C1001" s="11" t="n">
        <v>942.795</v>
      </c>
      <c r="D1001" s="10" t="s">
        <v>15</v>
      </c>
      <c r="E1001" s="12" t="n">
        <v>2.5</v>
      </c>
      <c r="F1001" s="12" t="n">
        <v>2.5</v>
      </c>
      <c r="G1001" s="12" t="n">
        <v>0</v>
      </c>
      <c r="H1001" s="9" t="n">
        <v>4</v>
      </c>
      <c r="I1001" s="9" t="n">
        <v>23</v>
      </c>
      <c r="J1001" s="9" t="n">
        <v>1</v>
      </c>
      <c r="K1001" s="13" t="s">
        <v>16</v>
      </c>
    </row>
    <row r="1002" customFormat="false" ht="15.75" hidden="false" customHeight="false" outlineLevel="0" collapsed="false">
      <c r="A1002" s="9" t="n">
        <v>45</v>
      </c>
      <c r="B1002" s="10" t="s">
        <v>11</v>
      </c>
      <c r="C1002" s="11" t="n">
        <v>2338.336</v>
      </c>
      <c r="D1002" s="10" t="s">
        <v>19</v>
      </c>
      <c r="E1002" s="12" t="n">
        <v>0</v>
      </c>
      <c r="F1002" s="12" t="n">
        <v>0</v>
      </c>
      <c r="G1002" s="12" t="n">
        <v>0</v>
      </c>
      <c r="H1002" s="9" t="n">
        <v>3</v>
      </c>
      <c r="I1002" s="9" t="n">
        <v>27</v>
      </c>
      <c r="J1002" s="9" t="n">
        <v>1</v>
      </c>
      <c r="K1002" s="13" t="s"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5.75"/>
    <col collapsed="false" customWidth="true" hidden="false" outlineLevel="0" max="4" min="3" style="0" width="25.12"/>
    <col collapsed="false" customWidth="true" hidden="false" outlineLevel="0" max="6" min="6" style="0" width="14.88"/>
    <col collapsed="false" customWidth="true" hidden="false" outlineLevel="0" max="7" min="7" style="0" width="14.25"/>
    <col collapsed="false" customWidth="true" hidden="false" outlineLevel="0" max="8" min="8" style="0" width="15.25"/>
    <col collapsed="false" customWidth="true" hidden="false" outlineLevel="0" max="10" min="10" style="0" width="18.38"/>
  </cols>
  <sheetData>
    <row r="1" customFormat="false" ht="15.75" hidden="false" customHeight="false" outlineLevel="0" collapsed="false">
      <c r="A1" s="14"/>
      <c r="B1" s="14"/>
      <c r="C1" s="14"/>
      <c r="D1" s="14"/>
      <c r="E1" s="14"/>
      <c r="F1" s="14"/>
      <c r="G1" s="14"/>
      <c r="J1" s="15"/>
      <c r="K1" s="15"/>
      <c r="L1" s="15"/>
      <c r="M1" s="15"/>
      <c r="N1" s="15"/>
      <c r="O1" s="15"/>
    </row>
    <row r="2" customFormat="false" ht="26.85" hidden="false" customHeight="false" outlineLevel="0" collapsed="false">
      <c r="A2" s="16" t="s">
        <v>2</v>
      </c>
      <c r="B2" s="16" t="s">
        <v>23</v>
      </c>
      <c r="C2" s="17" t="s">
        <v>0</v>
      </c>
      <c r="D2" s="17" t="s">
        <v>24</v>
      </c>
      <c r="E2" s="17" t="s">
        <v>8</v>
      </c>
      <c r="F2" s="17" t="s">
        <v>25</v>
      </c>
      <c r="G2" s="18" t="s">
        <v>10</v>
      </c>
      <c r="J2" s="15"/>
      <c r="K2" s="15"/>
      <c r="L2" s="15"/>
      <c r="M2" s="15"/>
      <c r="N2" s="15"/>
      <c r="O2" s="15"/>
    </row>
    <row r="3" customFormat="false" ht="15.75" hidden="false" customHeight="false" outlineLevel="0" collapsed="false">
      <c r="A3" s="11" t="n">
        <v>597.359</v>
      </c>
      <c r="B3" s="11" t="str">
        <f aca="false">IF(A3&gt;$N$4,"YES","NO")</f>
        <v>NO</v>
      </c>
      <c r="C3" s="9" t="n">
        <v>6</v>
      </c>
      <c r="D3" s="9" t="str">
        <f aca="false">IF(C3&gt;$N$5,"YES","NO")</f>
        <v>NO</v>
      </c>
      <c r="E3" s="9" t="n">
        <v>67</v>
      </c>
      <c r="F3" s="9" t="str">
        <f aca="false">IF(E3&gt;$N$6,"YES","NO")</f>
        <v>YES</v>
      </c>
      <c r="G3" s="13" t="s">
        <v>13</v>
      </c>
      <c r="J3" s="19" t="s">
        <v>26</v>
      </c>
      <c r="K3" s="19" t="s">
        <v>27</v>
      </c>
      <c r="L3" s="19" t="s">
        <v>28</v>
      </c>
      <c r="M3" s="19" t="s">
        <v>29</v>
      </c>
      <c r="N3" s="19" t="s">
        <v>30</v>
      </c>
      <c r="O3" s="19" t="s">
        <v>31</v>
      </c>
    </row>
    <row r="4" customFormat="false" ht="15.75" hidden="false" customHeight="false" outlineLevel="0" collapsed="false">
      <c r="A4" s="11" t="n">
        <v>3040.961</v>
      </c>
      <c r="B4" s="11" t="str">
        <f aca="false">IF(A4&gt;$N$4,"YES","NO")</f>
        <v>NO</v>
      </c>
      <c r="C4" s="9" t="n">
        <v>48</v>
      </c>
      <c r="D4" s="9" t="str">
        <f aca="false">IF(C4&gt;$N$5,"YES","NO")</f>
        <v>YES</v>
      </c>
      <c r="E4" s="9" t="n">
        <v>22</v>
      </c>
      <c r="F4" s="9" t="str">
        <f aca="false">IF(E4&gt;$N$6,"YES","NO")</f>
        <v>NO</v>
      </c>
      <c r="G4" s="13" t="s">
        <v>16</v>
      </c>
      <c r="J4" s="20" t="s">
        <v>2</v>
      </c>
      <c r="K4" s="21" t="n">
        <f aca="false">QUARTILE(A:A,1)</f>
        <v>697.7705</v>
      </c>
      <c r="L4" s="21" t="n">
        <f aca="false">QUARTILE(A:A,3)</f>
        <v>2029.81975</v>
      </c>
      <c r="M4" s="21" t="n">
        <f aca="false">L4-K4</f>
        <v>1332.04925</v>
      </c>
      <c r="N4" s="21" t="n">
        <f aca="false">L4+1.5*M4</f>
        <v>4027.893625</v>
      </c>
      <c r="O4" s="21" t="n">
        <f aca="false">K4-1.5*M4</f>
        <v>-1300.303375</v>
      </c>
    </row>
    <row r="5" customFormat="false" ht="15.75" hidden="false" customHeight="false" outlineLevel="0" collapsed="false">
      <c r="A5" s="11" t="n">
        <v>1071.056</v>
      </c>
      <c r="B5" s="11" t="str">
        <f aca="false">IF(A5&gt;$N$4,"YES","NO")</f>
        <v>NO</v>
      </c>
      <c r="C5" s="9" t="n">
        <v>12</v>
      </c>
      <c r="D5" s="9" t="str">
        <f aca="false">IF(C5&gt;$N$5,"YES","NO")</f>
        <v>NO</v>
      </c>
      <c r="E5" s="9" t="n">
        <v>49</v>
      </c>
      <c r="F5" s="9" t="str">
        <f aca="false">IF(E5&gt;$N$6,"YES","NO")</f>
        <v>NO</v>
      </c>
      <c r="G5" s="13" t="s">
        <v>13</v>
      </c>
      <c r="J5" s="20" t="s">
        <v>0</v>
      </c>
      <c r="K5" s="21" t="n">
        <f aca="false">QUARTILE(C:C,1)</f>
        <v>12</v>
      </c>
      <c r="L5" s="21" t="n">
        <f aca="false">QUARTILE(C:C,3)</f>
        <v>24</v>
      </c>
      <c r="M5" s="21" t="n">
        <f aca="false">L5-K5</f>
        <v>12</v>
      </c>
      <c r="N5" s="21" t="n">
        <f aca="false">L5+1.5*M5</f>
        <v>42</v>
      </c>
      <c r="O5" s="21" t="n">
        <f aca="false">K5-1.5*M5</f>
        <v>-6</v>
      </c>
    </row>
    <row r="6" customFormat="false" ht="15.75" hidden="false" customHeight="false" outlineLevel="0" collapsed="false">
      <c r="A6" s="11" t="n">
        <v>4027.702</v>
      </c>
      <c r="B6" s="11" t="str">
        <f aca="false">IF(A6&gt;$N$4,"YES","NO")</f>
        <v>NO</v>
      </c>
      <c r="C6" s="9" t="n">
        <v>42</v>
      </c>
      <c r="D6" s="9" t="str">
        <f aca="false">IF(C6&gt;$N$5,"YES","NO")</f>
        <v>NO</v>
      </c>
      <c r="E6" s="9" t="n">
        <v>45</v>
      </c>
      <c r="F6" s="9" t="str">
        <f aca="false">IF(E6&gt;$N$6,"YES","NO")</f>
        <v>NO</v>
      </c>
      <c r="G6" s="13" t="s">
        <v>13</v>
      </c>
      <c r="J6" s="20" t="s">
        <v>8</v>
      </c>
      <c r="K6" s="21" t="n">
        <f aca="false">QUARTILE(E:E,1)</f>
        <v>27</v>
      </c>
      <c r="L6" s="21" t="n">
        <f aca="false">QUARTILE(E:E,3)</f>
        <v>42</v>
      </c>
      <c r="M6" s="21" t="n">
        <f aca="false">L6-K6</f>
        <v>15</v>
      </c>
      <c r="N6" s="21" t="n">
        <f aca="false">L6+1.5*M6</f>
        <v>64.5</v>
      </c>
      <c r="O6" s="21" t="n">
        <f aca="false">K6-1.5*M6</f>
        <v>4.5</v>
      </c>
    </row>
    <row r="7" customFormat="false" ht="15.75" hidden="false" customHeight="false" outlineLevel="0" collapsed="false">
      <c r="A7" s="11" t="n">
        <v>2488.57</v>
      </c>
      <c r="B7" s="11" t="str">
        <f aca="false">IF(A7&gt;$N$4,"YES","NO")</f>
        <v>NO</v>
      </c>
      <c r="C7" s="9" t="n">
        <v>24</v>
      </c>
      <c r="D7" s="9" t="str">
        <f aca="false">IF(C7&gt;$N$5,"YES","NO")</f>
        <v>NO</v>
      </c>
      <c r="E7" s="9" t="n">
        <v>53</v>
      </c>
      <c r="F7" s="9" t="str">
        <f aca="false">IF(E7&gt;$N$6,"YES","NO")</f>
        <v>NO</v>
      </c>
      <c r="G7" s="13" t="s">
        <v>16</v>
      </c>
    </row>
    <row r="8" customFormat="false" ht="15.75" hidden="false" customHeight="false" outlineLevel="0" collapsed="false">
      <c r="A8" s="11" t="n">
        <v>4627.105</v>
      </c>
      <c r="B8" s="11" t="str">
        <f aca="false">IF(A8&gt;$N$4,"YES","NO")</f>
        <v>YES</v>
      </c>
      <c r="C8" s="9" t="n">
        <v>36</v>
      </c>
      <c r="D8" s="9" t="str">
        <f aca="false">IF(C8&gt;$N$5,"YES","NO")</f>
        <v>NO</v>
      </c>
      <c r="E8" s="9" t="n">
        <v>35</v>
      </c>
      <c r="F8" s="9" t="str">
        <f aca="false">IF(E8&gt;$N$6,"YES","NO")</f>
        <v>NO</v>
      </c>
      <c r="G8" s="13" t="s">
        <v>13</v>
      </c>
    </row>
    <row r="9" customFormat="false" ht="15.75" hidden="false" customHeight="false" outlineLevel="0" collapsed="false">
      <c r="A9" s="11" t="n">
        <v>1448.685</v>
      </c>
      <c r="B9" s="11" t="str">
        <f aca="false">IF(A9&gt;$N$4,"YES","NO")</f>
        <v>NO</v>
      </c>
      <c r="C9" s="9" t="n">
        <v>24</v>
      </c>
      <c r="D9" s="9" t="str">
        <f aca="false">IF(C9&gt;$N$5,"YES","NO")</f>
        <v>NO</v>
      </c>
      <c r="E9" s="9" t="n">
        <v>53</v>
      </c>
      <c r="F9" s="9" t="str">
        <f aca="false">IF(E9&gt;$N$6,"YES","NO")</f>
        <v>NO</v>
      </c>
      <c r="G9" s="13" t="s">
        <v>13</v>
      </c>
    </row>
    <row r="10" customFormat="false" ht="15.75" hidden="false" customHeight="false" outlineLevel="0" collapsed="false">
      <c r="A10" s="11" t="n">
        <v>3550.428</v>
      </c>
      <c r="B10" s="11" t="str">
        <f aca="false">IF(A10&gt;$N$4,"YES","NO")</f>
        <v>NO</v>
      </c>
      <c r="C10" s="9" t="n">
        <v>36</v>
      </c>
      <c r="D10" s="9" t="str">
        <f aca="false">IF(C10&gt;$N$5,"YES","NO")</f>
        <v>NO</v>
      </c>
      <c r="E10" s="9" t="n">
        <v>35</v>
      </c>
      <c r="F10" s="9" t="str">
        <f aca="false">IF(E10&gt;$N$6,"YES","NO")</f>
        <v>NO</v>
      </c>
      <c r="G10" s="13" t="s">
        <v>13</v>
      </c>
    </row>
    <row r="11" customFormat="false" ht="15.75" hidden="false" customHeight="false" outlineLevel="0" collapsed="false">
      <c r="A11" s="11" t="n">
        <v>1563.149</v>
      </c>
      <c r="B11" s="11" t="str">
        <f aca="false">IF(A11&gt;$N$4,"YES","NO")</f>
        <v>NO</v>
      </c>
      <c r="C11" s="9" t="n">
        <v>12</v>
      </c>
      <c r="D11" s="9" t="str">
        <f aca="false">IF(C11&gt;$N$5,"YES","NO")</f>
        <v>NO</v>
      </c>
      <c r="E11" s="9" t="n">
        <v>61</v>
      </c>
      <c r="F11" s="9" t="str">
        <f aca="false">IF(E11&gt;$N$6,"YES","NO")</f>
        <v>NO</v>
      </c>
      <c r="G11" s="13" t="s">
        <v>13</v>
      </c>
    </row>
    <row r="12" customFormat="false" ht="15.75" hidden="false" customHeight="false" outlineLevel="0" collapsed="false">
      <c r="A12" s="11" t="n">
        <v>2674.574</v>
      </c>
      <c r="B12" s="11" t="str">
        <f aca="false">IF(A12&gt;$N$4,"YES","NO")</f>
        <v>NO</v>
      </c>
      <c r="C12" s="9" t="n">
        <v>30</v>
      </c>
      <c r="D12" s="9" t="str">
        <f aca="false">IF(C12&gt;$N$5,"YES","NO")</f>
        <v>NO</v>
      </c>
      <c r="E12" s="9" t="n">
        <v>28</v>
      </c>
      <c r="F12" s="9" t="str">
        <f aca="false">IF(E12&gt;$N$6,"YES","NO")</f>
        <v>NO</v>
      </c>
      <c r="G12" s="13" t="s">
        <v>16</v>
      </c>
    </row>
    <row r="13" customFormat="false" ht="15.75" hidden="false" customHeight="false" outlineLevel="0" collapsed="false">
      <c r="A13" s="11" t="n">
        <v>661.745</v>
      </c>
      <c r="B13" s="11" t="str">
        <f aca="false">IF(A13&gt;$N$4,"YES","NO")</f>
        <v>NO</v>
      </c>
      <c r="C13" s="9" t="n">
        <v>12</v>
      </c>
      <c r="D13" s="9" t="str">
        <f aca="false">IF(C13&gt;$N$5,"YES","NO")</f>
        <v>NO</v>
      </c>
      <c r="E13" s="9" t="n">
        <v>25</v>
      </c>
      <c r="F13" s="9" t="str">
        <f aca="false">IF(E13&gt;$N$6,"YES","NO")</f>
        <v>NO</v>
      </c>
      <c r="G13" s="13" t="s">
        <v>16</v>
      </c>
    </row>
    <row r="14" customFormat="false" ht="15.75" hidden="false" customHeight="false" outlineLevel="0" collapsed="false">
      <c r="A14" s="11" t="n">
        <v>2201.388</v>
      </c>
      <c r="B14" s="11" t="str">
        <f aca="false">IF(A14&gt;$N$4,"YES","NO")</f>
        <v>NO</v>
      </c>
      <c r="C14" s="9" t="n">
        <v>48</v>
      </c>
      <c r="D14" s="9" t="str">
        <f aca="false">IF(C14&gt;$N$5,"YES","NO")</f>
        <v>YES</v>
      </c>
      <c r="E14" s="9" t="n">
        <v>24</v>
      </c>
      <c r="F14" s="9" t="str">
        <f aca="false">IF(E14&gt;$N$6,"YES","NO")</f>
        <v>NO</v>
      </c>
      <c r="G14" s="13" t="s">
        <v>16</v>
      </c>
    </row>
    <row r="15" customFormat="false" ht="15.75" hidden="false" customHeight="false" outlineLevel="0" collapsed="false">
      <c r="A15" s="11" t="n">
        <v>800.737</v>
      </c>
      <c r="B15" s="11" t="str">
        <f aca="false">IF(A15&gt;$N$4,"YES","NO")</f>
        <v>NO</v>
      </c>
      <c r="C15" s="9" t="n">
        <v>12</v>
      </c>
      <c r="D15" s="9" t="str">
        <f aca="false">IF(C15&gt;$N$5,"YES","NO")</f>
        <v>NO</v>
      </c>
      <c r="E15" s="9" t="n">
        <v>22</v>
      </c>
      <c r="F15" s="9" t="str">
        <f aca="false">IF(E15&gt;$N$6,"YES","NO")</f>
        <v>NO</v>
      </c>
      <c r="G15" s="13" t="s">
        <v>13</v>
      </c>
    </row>
    <row r="16" customFormat="false" ht="15.75" hidden="false" customHeight="false" outlineLevel="0" collapsed="false">
      <c r="A16" s="11" t="n">
        <v>612.689</v>
      </c>
      <c r="B16" s="11" t="str">
        <f aca="false">IF(A16&gt;$N$4,"YES","NO")</f>
        <v>NO</v>
      </c>
      <c r="C16" s="9" t="n">
        <v>24</v>
      </c>
      <c r="D16" s="9" t="str">
        <f aca="false">IF(C16&gt;$N$5,"YES","NO")</f>
        <v>NO</v>
      </c>
      <c r="E16" s="9" t="n">
        <v>60</v>
      </c>
      <c r="F16" s="9" t="str">
        <f aca="false">IF(E16&gt;$N$6,"YES","NO")</f>
        <v>NO</v>
      </c>
      <c r="G16" s="13" t="s">
        <v>16</v>
      </c>
    </row>
    <row r="17" customFormat="false" ht="15.75" hidden="false" customHeight="false" outlineLevel="0" collapsed="false">
      <c r="A17" s="11" t="n">
        <v>716.933</v>
      </c>
      <c r="B17" s="11" t="str">
        <f aca="false">IF(A17&gt;$N$4,"YES","NO")</f>
        <v>NO</v>
      </c>
      <c r="C17" s="9" t="n">
        <v>15</v>
      </c>
      <c r="D17" s="9" t="str">
        <f aca="false">IF(C17&gt;$N$5,"YES","NO")</f>
        <v>NO</v>
      </c>
      <c r="E17" s="9" t="n">
        <v>28</v>
      </c>
      <c r="F17" s="9" t="str">
        <f aca="false">IF(E17&gt;$N$6,"YES","NO")</f>
        <v>NO</v>
      </c>
      <c r="G17" s="13" t="s">
        <v>13</v>
      </c>
    </row>
    <row r="18" customFormat="false" ht="15.75" hidden="false" customHeight="false" outlineLevel="0" collapsed="false">
      <c r="A18" s="11" t="n">
        <v>655.102</v>
      </c>
      <c r="B18" s="11" t="str">
        <f aca="false">IF(A18&gt;$N$4,"YES","NO")</f>
        <v>NO</v>
      </c>
      <c r="C18" s="9" t="n">
        <v>24</v>
      </c>
      <c r="D18" s="9" t="str">
        <f aca="false">IF(C18&gt;$N$5,"YES","NO")</f>
        <v>NO</v>
      </c>
      <c r="E18" s="9" t="n">
        <v>32</v>
      </c>
      <c r="F18" s="9" t="str">
        <f aca="false">IF(E18&gt;$N$6,"YES","NO")</f>
        <v>NO</v>
      </c>
      <c r="G18" s="13" t="s">
        <v>16</v>
      </c>
    </row>
    <row r="19" customFormat="false" ht="15.75" hidden="false" customHeight="false" outlineLevel="0" collapsed="false">
      <c r="A19" s="11" t="n">
        <v>1238.664</v>
      </c>
      <c r="B19" s="11" t="str">
        <f aca="false">IF(A19&gt;$N$4,"YES","NO")</f>
        <v>NO</v>
      </c>
      <c r="C19" s="9" t="n">
        <v>24</v>
      </c>
      <c r="D19" s="9" t="str">
        <f aca="false">IF(C19&gt;$N$5,"YES","NO")</f>
        <v>NO</v>
      </c>
      <c r="E19" s="9" t="n">
        <v>53</v>
      </c>
      <c r="F19" s="9" t="str">
        <f aca="false">IF(E19&gt;$N$6,"YES","NO")</f>
        <v>NO</v>
      </c>
      <c r="G19" s="13" t="s">
        <v>13</v>
      </c>
    </row>
    <row r="20" customFormat="false" ht="15.75" hidden="false" customHeight="false" outlineLevel="0" collapsed="false">
      <c r="A20" s="11" t="n">
        <v>4124.792</v>
      </c>
      <c r="B20" s="11" t="str">
        <f aca="false">IF(A20&gt;$N$4,"YES","NO")</f>
        <v>YES</v>
      </c>
      <c r="C20" s="9" t="n">
        <v>30</v>
      </c>
      <c r="D20" s="9" t="str">
        <f aca="false">IF(C20&gt;$N$5,"YES","NO")</f>
        <v>NO</v>
      </c>
      <c r="E20" s="9" t="n">
        <v>25</v>
      </c>
      <c r="F20" s="9" t="str">
        <f aca="false">IF(E20&gt;$N$6,"YES","NO")</f>
        <v>NO</v>
      </c>
      <c r="G20" s="13" t="s">
        <v>13</v>
      </c>
    </row>
    <row r="21" customFormat="false" ht="15.75" hidden="false" customHeight="false" outlineLevel="0" collapsed="false">
      <c r="A21" s="11" t="n">
        <v>6427.869</v>
      </c>
      <c r="B21" s="11" t="str">
        <f aca="false">IF(A21&gt;$N$4,"YES","NO")</f>
        <v>YES</v>
      </c>
      <c r="C21" s="9" t="n">
        <v>24</v>
      </c>
      <c r="D21" s="9" t="str">
        <f aca="false">IF(C21&gt;$N$5,"YES","NO")</f>
        <v>NO</v>
      </c>
      <c r="E21" s="9" t="n">
        <v>44</v>
      </c>
      <c r="F21" s="9" t="str">
        <f aca="false">IF(E21&gt;$N$6,"YES","NO")</f>
        <v>NO</v>
      </c>
      <c r="G21" s="13" t="s">
        <v>16</v>
      </c>
    </row>
    <row r="22" customFormat="false" ht="15.75" hidden="false" customHeight="false" outlineLevel="0" collapsed="false">
      <c r="A22" s="11" t="n">
        <v>1752.73</v>
      </c>
      <c r="B22" s="11" t="str">
        <f aca="false">IF(A22&gt;$N$4,"YES","NO")</f>
        <v>NO</v>
      </c>
      <c r="C22" s="9" t="n">
        <v>24</v>
      </c>
      <c r="D22" s="9" t="str">
        <f aca="false">IF(C22&gt;$N$5,"YES","NO")</f>
        <v>NO</v>
      </c>
      <c r="E22" s="9" t="n">
        <v>31</v>
      </c>
      <c r="F22" s="9" t="str">
        <f aca="false">IF(E22&gt;$N$6,"YES","NO")</f>
        <v>NO</v>
      </c>
      <c r="G22" s="13" t="s">
        <v>13</v>
      </c>
    </row>
    <row r="23" customFormat="false" ht="15.75" hidden="false" customHeight="false" outlineLevel="0" collapsed="false">
      <c r="A23" s="11" t="n">
        <v>1090.474</v>
      </c>
      <c r="B23" s="11" t="str">
        <f aca="false">IF(A23&gt;$N$4,"YES","NO")</f>
        <v>NO</v>
      </c>
      <c r="C23" s="9" t="n">
        <v>9</v>
      </c>
      <c r="D23" s="9" t="str">
        <f aca="false">IF(C23&gt;$N$5,"YES","NO")</f>
        <v>NO</v>
      </c>
      <c r="E23" s="9" t="n">
        <v>48</v>
      </c>
      <c r="F23" s="9" t="str">
        <f aca="false">IF(E23&gt;$N$6,"YES","NO")</f>
        <v>NO</v>
      </c>
      <c r="G23" s="13" t="s">
        <v>13</v>
      </c>
    </row>
    <row r="24" customFormat="false" ht="15.75" hidden="false" customHeight="false" outlineLevel="0" collapsed="false">
      <c r="A24" s="11" t="n">
        <v>1352.617</v>
      </c>
      <c r="B24" s="11" t="str">
        <f aca="false">IF(A24&gt;$N$4,"YES","NO")</f>
        <v>NO</v>
      </c>
      <c r="C24" s="9" t="n">
        <v>6</v>
      </c>
      <c r="D24" s="9" t="str">
        <f aca="false">IF(C24&gt;$N$5,"YES","NO")</f>
        <v>NO</v>
      </c>
      <c r="E24" s="9" t="n">
        <v>44</v>
      </c>
      <c r="F24" s="9" t="str">
        <f aca="false">IF(E24&gt;$N$6,"YES","NO")</f>
        <v>NO</v>
      </c>
      <c r="G24" s="13" t="s">
        <v>13</v>
      </c>
    </row>
    <row r="25" customFormat="false" ht="15.75" hidden="false" customHeight="false" outlineLevel="0" collapsed="false">
      <c r="A25" s="11" t="n">
        <v>1145.151</v>
      </c>
      <c r="B25" s="11" t="str">
        <f aca="false">IF(A25&gt;$N$4,"YES","NO")</f>
        <v>NO</v>
      </c>
      <c r="C25" s="9" t="n">
        <v>10</v>
      </c>
      <c r="D25" s="9" t="str">
        <f aca="false">IF(C25&gt;$N$5,"YES","NO")</f>
        <v>NO</v>
      </c>
      <c r="E25" s="9" t="n">
        <v>48</v>
      </c>
      <c r="F25" s="9" t="str">
        <f aca="false">IF(E25&gt;$N$6,"YES","NO")</f>
        <v>NO</v>
      </c>
      <c r="G25" s="13" t="s">
        <v>13</v>
      </c>
    </row>
    <row r="26" customFormat="false" ht="15.75" hidden="false" customHeight="false" outlineLevel="0" collapsed="false">
      <c r="A26" s="11" t="n">
        <v>921.844</v>
      </c>
      <c r="B26" s="11" t="str">
        <f aca="false">IF(A26&gt;$N$4,"YES","NO")</f>
        <v>NO</v>
      </c>
      <c r="C26" s="9" t="n">
        <v>12</v>
      </c>
      <c r="D26" s="9" t="str">
        <f aca="false">IF(C26&gt;$N$5,"YES","NO")</f>
        <v>NO</v>
      </c>
      <c r="E26" s="9" t="n">
        <v>44</v>
      </c>
      <c r="F26" s="9" t="str">
        <f aca="false">IF(E26&gt;$N$6,"YES","NO")</f>
        <v>NO</v>
      </c>
      <c r="G26" s="13" t="s">
        <v>13</v>
      </c>
    </row>
    <row r="27" customFormat="false" ht="15.75" hidden="false" customHeight="false" outlineLevel="0" collapsed="false">
      <c r="A27" s="11" t="n">
        <v>1057.259</v>
      </c>
      <c r="B27" s="11" t="str">
        <f aca="false">IF(A27&gt;$N$4,"YES","NO")</f>
        <v>NO</v>
      </c>
      <c r="C27" s="9" t="n">
        <v>10</v>
      </c>
      <c r="D27" s="9" t="str">
        <f aca="false">IF(C27&gt;$N$5,"YES","NO")</f>
        <v>NO</v>
      </c>
      <c r="E27" s="9" t="n">
        <v>26</v>
      </c>
      <c r="F27" s="9" t="str">
        <f aca="false">IF(E27&gt;$N$6,"YES","NO")</f>
        <v>NO</v>
      </c>
      <c r="G27" s="13" t="s">
        <v>13</v>
      </c>
    </row>
    <row r="28" customFormat="false" ht="15.75" hidden="false" customHeight="false" outlineLevel="0" collapsed="false">
      <c r="A28" s="11" t="n">
        <v>702.114</v>
      </c>
      <c r="B28" s="11" t="str">
        <f aca="false">IF(A28&gt;$N$4,"YES","NO")</f>
        <v>NO</v>
      </c>
      <c r="C28" s="9" t="n">
        <v>6</v>
      </c>
      <c r="D28" s="9" t="str">
        <f aca="false">IF(C28&gt;$N$5,"YES","NO")</f>
        <v>NO</v>
      </c>
      <c r="E28" s="9" t="n">
        <v>36</v>
      </c>
      <c r="F28" s="9" t="str">
        <f aca="false">IF(E28&gt;$N$6,"YES","NO")</f>
        <v>NO</v>
      </c>
      <c r="G28" s="13" t="s">
        <v>13</v>
      </c>
    </row>
    <row r="29" customFormat="false" ht="15.75" hidden="false" customHeight="false" outlineLevel="0" collapsed="false">
      <c r="A29" s="11" t="n">
        <v>217.686</v>
      </c>
      <c r="B29" s="11" t="str">
        <f aca="false">IF(A29&gt;$N$4,"YES","NO")</f>
        <v>NO</v>
      </c>
      <c r="C29" s="9" t="n">
        <v>6</v>
      </c>
      <c r="D29" s="9" t="str">
        <f aca="false">IF(C29&gt;$N$5,"YES","NO")</f>
        <v>NO</v>
      </c>
      <c r="E29" s="9" t="n">
        <v>39</v>
      </c>
      <c r="F29" s="9" t="str">
        <f aca="false">IF(E29&gt;$N$6,"YES","NO")</f>
        <v>NO</v>
      </c>
      <c r="G29" s="13" t="s">
        <v>13</v>
      </c>
    </row>
    <row r="30" customFormat="false" ht="15.75" hidden="false" customHeight="false" outlineLevel="0" collapsed="false">
      <c r="A30" s="11" t="n">
        <v>208.999</v>
      </c>
      <c r="B30" s="11" t="str">
        <f aca="false">IF(A30&gt;$N$4,"YES","NO")</f>
        <v>NO</v>
      </c>
      <c r="C30" s="9" t="n">
        <v>12</v>
      </c>
      <c r="D30" s="9" t="str">
        <f aca="false">IF(C30&gt;$N$5,"YES","NO")</f>
        <v>NO</v>
      </c>
      <c r="E30" s="9" t="n">
        <v>42</v>
      </c>
      <c r="F30" s="9" t="str">
        <f aca="false">IF(E30&gt;$N$6,"YES","NO")</f>
        <v>NO</v>
      </c>
      <c r="G30" s="13" t="s">
        <v>13</v>
      </c>
    </row>
    <row r="31" customFormat="false" ht="15.75" hidden="false" customHeight="false" outlineLevel="0" collapsed="false">
      <c r="A31" s="11" t="n">
        <v>1234.065</v>
      </c>
      <c r="B31" s="11" t="str">
        <f aca="false">IF(A31&gt;$N$4,"YES","NO")</f>
        <v>NO</v>
      </c>
      <c r="C31" s="9" t="n">
        <v>7</v>
      </c>
      <c r="D31" s="9" t="str">
        <f aca="false">IF(C31&gt;$N$5,"YES","NO")</f>
        <v>NO</v>
      </c>
      <c r="E31" s="9" t="n">
        <v>34</v>
      </c>
      <c r="F31" s="9" t="str">
        <f aca="false">IF(E31&gt;$N$6,"YES","NO")</f>
        <v>NO</v>
      </c>
      <c r="G31" s="13" t="s">
        <v>13</v>
      </c>
    </row>
    <row r="32" customFormat="false" ht="15.75" hidden="false" customHeight="false" outlineLevel="0" collapsed="false">
      <c r="A32" s="11" t="n">
        <v>3493.196</v>
      </c>
      <c r="B32" s="11" t="str">
        <f aca="false">IF(A32&gt;$N$4,"YES","NO")</f>
        <v>NO</v>
      </c>
      <c r="C32" s="9" t="n">
        <v>60</v>
      </c>
      <c r="D32" s="9" t="str">
        <f aca="false">IF(C32&gt;$N$5,"YES","NO")</f>
        <v>YES</v>
      </c>
      <c r="E32" s="9" t="n">
        <v>63</v>
      </c>
      <c r="F32" s="9" t="str">
        <f aca="false">IF(E32&gt;$N$6,"YES","NO")</f>
        <v>NO</v>
      </c>
      <c r="G32" s="13" t="s">
        <v>16</v>
      </c>
    </row>
    <row r="33" customFormat="false" ht="15.75" hidden="false" customHeight="false" outlineLevel="0" collapsed="false">
      <c r="A33" s="11" t="n">
        <v>977.543</v>
      </c>
      <c r="B33" s="11" t="str">
        <f aca="false">IF(A33&gt;$N$4,"YES","NO")</f>
        <v>NO</v>
      </c>
      <c r="C33" s="9" t="n">
        <v>18</v>
      </c>
      <c r="D33" s="9" t="str">
        <f aca="false">IF(C33&gt;$N$5,"YES","NO")</f>
        <v>NO</v>
      </c>
      <c r="E33" s="9" t="n">
        <v>36</v>
      </c>
      <c r="F33" s="9" t="str">
        <f aca="false">IF(E33&gt;$N$6,"YES","NO")</f>
        <v>NO</v>
      </c>
      <c r="G33" s="13" t="s">
        <v>13</v>
      </c>
    </row>
    <row r="34" customFormat="false" ht="15.75" hidden="false" customHeight="false" outlineLevel="0" collapsed="false">
      <c r="A34" s="11" t="n">
        <v>2054.22</v>
      </c>
      <c r="B34" s="11" t="str">
        <f aca="false">IF(A34&gt;$N$4,"YES","NO")</f>
        <v>NO</v>
      </c>
      <c r="C34" s="9" t="n">
        <v>24</v>
      </c>
      <c r="D34" s="9" t="str">
        <f aca="false">IF(C34&gt;$N$5,"YES","NO")</f>
        <v>NO</v>
      </c>
      <c r="E34" s="9" t="n">
        <v>27</v>
      </c>
      <c r="F34" s="9" t="str">
        <f aca="false">IF(E34&gt;$N$6,"YES","NO")</f>
        <v>NO</v>
      </c>
      <c r="G34" s="13" t="s">
        <v>13</v>
      </c>
    </row>
    <row r="35" customFormat="false" ht="15.75" hidden="false" customHeight="false" outlineLevel="0" collapsed="false">
      <c r="A35" s="11" t="n">
        <v>2997.526</v>
      </c>
      <c r="B35" s="11" t="str">
        <f aca="false">IF(A35&gt;$N$4,"YES","NO")</f>
        <v>NO</v>
      </c>
      <c r="C35" s="9" t="n">
        <v>18</v>
      </c>
      <c r="D35" s="9" t="str">
        <f aca="false">IF(C35&gt;$N$5,"YES","NO")</f>
        <v>NO</v>
      </c>
      <c r="E35" s="9" t="n">
        <v>30</v>
      </c>
      <c r="F35" s="9" t="str">
        <f aca="false">IF(E35&gt;$N$6,"YES","NO")</f>
        <v>NO</v>
      </c>
      <c r="G35" s="13" t="s">
        <v>13</v>
      </c>
    </row>
    <row r="36" customFormat="false" ht="15.75" hidden="false" customHeight="false" outlineLevel="0" collapsed="false">
      <c r="A36" s="11" t="n">
        <v>645.904</v>
      </c>
      <c r="B36" s="11" t="str">
        <f aca="false">IF(A36&gt;$N$4,"YES","NO")</f>
        <v>NO</v>
      </c>
      <c r="C36" s="9" t="n">
        <v>12</v>
      </c>
      <c r="D36" s="9" t="str">
        <f aca="false">IF(C36&gt;$N$5,"YES","NO")</f>
        <v>NO</v>
      </c>
      <c r="E36" s="9" t="n">
        <v>57</v>
      </c>
      <c r="F36" s="9" t="str">
        <f aca="false">IF(E36&gt;$N$6,"YES","NO")</f>
        <v>NO</v>
      </c>
      <c r="G36" s="13" t="s">
        <v>13</v>
      </c>
    </row>
    <row r="37" customFormat="false" ht="15.75" hidden="false" customHeight="false" outlineLevel="0" collapsed="false">
      <c r="A37" s="11" t="n">
        <v>753.214</v>
      </c>
      <c r="B37" s="11" t="str">
        <f aca="false">IF(A37&gt;$N$4,"YES","NO")</f>
        <v>NO</v>
      </c>
      <c r="C37" s="9" t="n">
        <v>12</v>
      </c>
      <c r="D37" s="9" t="str">
        <f aca="false">IF(C37&gt;$N$5,"YES","NO")</f>
        <v>NO</v>
      </c>
      <c r="E37" s="9" t="n">
        <v>33</v>
      </c>
      <c r="F37" s="9" t="str">
        <f aca="false">IF(E37&gt;$N$6,"YES","NO")</f>
        <v>NO</v>
      </c>
      <c r="G37" s="13" t="s">
        <v>13</v>
      </c>
    </row>
    <row r="38" customFormat="false" ht="15.75" hidden="false" customHeight="false" outlineLevel="0" collapsed="false">
      <c r="A38" s="11" t="n">
        <v>2425.206</v>
      </c>
      <c r="B38" s="11" t="str">
        <f aca="false">IF(A38&gt;$N$4,"YES","NO")</f>
        <v>NO</v>
      </c>
      <c r="C38" s="9" t="n">
        <v>45</v>
      </c>
      <c r="D38" s="9" t="str">
        <f aca="false">IF(C38&gt;$N$5,"YES","NO")</f>
        <v>YES</v>
      </c>
      <c r="E38" s="9" t="n">
        <v>25</v>
      </c>
      <c r="F38" s="9" t="str">
        <f aca="false">IF(E38&gt;$N$6,"YES","NO")</f>
        <v>NO</v>
      </c>
      <c r="G38" s="13" t="s">
        <v>16</v>
      </c>
    </row>
    <row r="39" customFormat="false" ht="15.75" hidden="false" customHeight="false" outlineLevel="0" collapsed="false">
      <c r="A39" s="11" t="n">
        <v>3122.21</v>
      </c>
      <c r="B39" s="11" t="str">
        <f aca="false">IF(A39&gt;$N$4,"YES","NO")</f>
        <v>NO</v>
      </c>
      <c r="C39" s="9" t="n">
        <v>48</v>
      </c>
      <c r="D39" s="9" t="str">
        <f aca="false">IF(C39&gt;$N$5,"YES","NO")</f>
        <v>YES</v>
      </c>
      <c r="E39" s="9" t="n">
        <v>31</v>
      </c>
      <c r="F39" s="9" t="str">
        <f aca="false">IF(E39&gt;$N$6,"YES","NO")</f>
        <v>NO</v>
      </c>
      <c r="G39" s="13" t="s">
        <v>13</v>
      </c>
    </row>
    <row r="40" customFormat="false" ht="15.75" hidden="false" customHeight="false" outlineLevel="0" collapsed="false">
      <c r="A40" s="11" t="n">
        <v>1073.1</v>
      </c>
      <c r="B40" s="11" t="str">
        <f aca="false">IF(A40&gt;$N$4,"YES","NO")</f>
        <v>NO</v>
      </c>
      <c r="C40" s="9" t="n">
        <v>18</v>
      </c>
      <c r="D40" s="9" t="str">
        <f aca="false">IF(C40&gt;$N$5,"YES","NO")</f>
        <v>NO</v>
      </c>
      <c r="E40" s="9" t="n">
        <v>37</v>
      </c>
      <c r="F40" s="9" t="str">
        <f aca="false">IF(E40&gt;$N$6,"YES","NO")</f>
        <v>NO</v>
      </c>
      <c r="G40" s="13" t="s">
        <v>16</v>
      </c>
    </row>
    <row r="41" customFormat="false" ht="15.75" hidden="false" customHeight="false" outlineLevel="0" collapsed="false">
      <c r="A41" s="11" t="n">
        <v>625.975</v>
      </c>
      <c r="B41" s="11" t="str">
        <f aca="false">IF(A41&gt;$N$4,"YES","NO")</f>
        <v>NO</v>
      </c>
      <c r="C41" s="9" t="n">
        <v>10</v>
      </c>
      <c r="D41" s="9" t="str">
        <f aca="false">IF(C41&gt;$N$5,"YES","NO")</f>
        <v>NO</v>
      </c>
      <c r="E41" s="9" t="n">
        <v>37</v>
      </c>
      <c r="F41" s="9" t="str">
        <f aca="false">IF(E41&gt;$N$6,"YES","NO")</f>
        <v>NO</v>
      </c>
      <c r="G41" s="13" t="s">
        <v>13</v>
      </c>
    </row>
    <row r="42" customFormat="false" ht="15.75" hidden="false" customHeight="false" outlineLevel="0" collapsed="false">
      <c r="A42" s="11" t="n">
        <v>234.038</v>
      </c>
      <c r="B42" s="11" t="str">
        <f aca="false">IF(A42&gt;$N$4,"YES","NO")</f>
        <v>NO</v>
      </c>
      <c r="C42" s="9" t="n">
        <v>9</v>
      </c>
      <c r="D42" s="9" t="str">
        <f aca="false">IF(C42&gt;$N$5,"YES","NO")</f>
        <v>NO</v>
      </c>
      <c r="E42" s="9" t="n">
        <v>24</v>
      </c>
      <c r="F42" s="9" t="str">
        <f aca="false">IF(E42&gt;$N$6,"YES","NO")</f>
        <v>NO</v>
      </c>
      <c r="G42" s="13" t="s">
        <v>13</v>
      </c>
    </row>
    <row r="43" customFormat="false" ht="15.75" hidden="false" customHeight="false" outlineLevel="0" collapsed="false">
      <c r="A43" s="11" t="n">
        <v>1192.163</v>
      </c>
      <c r="B43" s="11" t="str">
        <f aca="false">IF(A43&gt;$N$4,"YES","NO")</f>
        <v>NO</v>
      </c>
      <c r="C43" s="9" t="n">
        <v>30</v>
      </c>
      <c r="D43" s="9" t="str">
        <f aca="false">IF(C43&gt;$N$5,"YES","NO")</f>
        <v>NO</v>
      </c>
      <c r="E43" s="9" t="n">
        <v>30</v>
      </c>
      <c r="F43" s="9" t="str">
        <f aca="false">IF(E43&gt;$N$6,"YES","NO")</f>
        <v>NO</v>
      </c>
      <c r="G43" s="13" t="s">
        <v>13</v>
      </c>
    </row>
    <row r="44" customFormat="false" ht="15.75" hidden="false" customHeight="false" outlineLevel="0" collapsed="false">
      <c r="A44" s="11" t="n">
        <v>591.738</v>
      </c>
      <c r="B44" s="11" t="str">
        <f aca="false">IF(A44&gt;$N$4,"YES","NO")</f>
        <v>NO</v>
      </c>
      <c r="C44" s="9" t="n">
        <v>12</v>
      </c>
      <c r="D44" s="9" t="str">
        <f aca="false">IF(C44&gt;$N$5,"YES","NO")</f>
        <v>NO</v>
      </c>
      <c r="E44" s="9" t="n">
        <v>26</v>
      </c>
      <c r="F44" s="9" t="str">
        <f aca="false">IF(E44&gt;$N$6,"YES","NO")</f>
        <v>NO</v>
      </c>
      <c r="G44" s="13" t="s">
        <v>13</v>
      </c>
    </row>
    <row r="45" customFormat="false" ht="15.75" hidden="false" customHeight="false" outlineLevel="0" collapsed="false">
      <c r="A45" s="11" t="n">
        <v>3170.244</v>
      </c>
      <c r="B45" s="11" t="str">
        <f aca="false">IF(A45&gt;$N$4,"YES","NO")</f>
        <v>NO</v>
      </c>
      <c r="C45" s="9" t="n">
        <v>18</v>
      </c>
      <c r="D45" s="9" t="str">
        <f aca="false">IF(C45&gt;$N$5,"YES","NO")</f>
        <v>NO</v>
      </c>
      <c r="E45" s="9" t="n">
        <v>44</v>
      </c>
      <c r="F45" s="9" t="str">
        <f aca="false">IF(E45&gt;$N$6,"YES","NO")</f>
        <v>NO</v>
      </c>
      <c r="G45" s="13" t="s">
        <v>13</v>
      </c>
    </row>
    <row r="46" customFormat="false" ht="15.75" hidden="false" customHeight="false" outlineLevel="0" collapsed="false">
      <c r="A46" s="11" t="n">
        <v>3161.557</v>
      </c>
      <c r="B46" s="11" t="str">
        <f aca="false">IF(A46&gt;$N$4,"YES","NO")</f>
        <v>NO</v>
      </c>
      <c r="C46" s="9" t="n">
        <v>30</v>
      </c>
      <c r="D46" s="9" t="str">
        <f aca="false">IF(C46&gt;$N$5,"YES","NO")</f>
        <v>NO</v>
      </c>
      <c r="E46" s="9" t="n">
        <v>24</v>
      </c>
      <c r="F46" s="9" t="str">
        <f aca="false">IF(E46&gt;$N$6,"YES","NO")</f>
        <v>NO</v>
      </c>
      <c r="G46" s="13" t="s">
        <v>13</v>
      </c>
    </row>
    <row r="47" customFormat="false" ht="15.75" hidden="false" customHeight="false" outlineLevel="0" collapsed="false">
      <c r="A47" s="11" t="n">
        <v>3139.073</v>
      </c>
      <c r="B47" s="11" t="str">
        <f aca="false">IF(A47&gt;$N$4,"YES","NO")</f>
        <v>NO</v>
      </c>
      <c r="C47" s="9" t="n">
        <v>48</v>
      </c>
      <c r="D47" s="9" t="str">
        <f aca="false">IF(C47&gt;$N$5,"YES","NO")</f>
        <v>YES</v>
      </c>
      <c r="E47" s="9" t="n">
        <v>58</v>
      </c>
      <c r="F47" s="9" t="str">
        <f aca="false">IF(E47&gt;$N$6,"YES","NO")</f>
        <v>NO</v>
      </c>
      <c r="G47" s="13" t="s">
        <v>16</v>
      </c>
    </row>
    <row r="48" customFormat="false" ht="15.75" hidden="false" customHeight="false" outlineLevel="0" collapsed="false">
      <c r="A48" s="11" t="n">
        <v>711.823</v>
      </c>
      <c r="B48" s="11" t="str">
        <f aca="false">IF(A48&gt;$N$4,"YES","NO")</f>
        <v>NO</v>
      </c>
      <c r="C48" s="9" t="n">
        <v>11</v>
      </c>
      <c r="D48" s="9" t="str">
        <f aca="false">IF(C48&gt;$N$5,"YES","NO")</f>
        <v>NO</v>
      </c>
      <c r="E48" s="9" t="n">
        <v>35</v>
      </c>
      <c r="F48" s="9" t="str">
        <f aca="false">IF(E48&gt;$N$6,"YES","NO")</f>
        <v>NO</v>
      </c>
      <c r="G48" s="13" t="s">
        <v>13</v>
      </c>
    </row>
    <row r="49" customFormat="false" ht="15.75" hidden="false" customHeight="false" outlineLevel="0" collapsed="false">
      <c r="A49" s="11" t="n">
        <v>1174.789</v>
      </c>
      <c r="B49" s="11" t="str">
        <f aca="false">IF(A49&gt;$N$4,"YES","NO")</f>
        <v>NO</v>
      </c>
      <c r="C49" s="9" t="n">
        <v>36</v>
      </c>
      <c r="D49" s="9" t="str">
        <f aca="false">IF(C49&gt;$N$5,"YES","NO")</f>
        <v>NO</v>
      </c>
      <c r="E49" s="9" t="n">
        <v>39</v>
      </c>
      <c r="F49" s="9" t="str">
        <f aca="false">IF(E49&gt;$N$6,"YES","NO")</f>
        <v>NO</v>
      </c>
      <c r="G49" s="13" t="s">
        <v>13</v>
      </c>
    </row>
    <row r="50" customFormat="false" ht="15.75" hidden="false" customHeight="false" outlineLevel="0" collapsed="false">
      <c r="A50" s="11" t="n">
        <v>690.872</v>
      </c>
      <c r="B50" s="11" t="str">
        <f aca="false">IF(A50&gt;$N$4,"YES","NO")</f>
        <v>NO</v>
      </c>
      <c r="C50" s="9" t="n">
        <v>6</v>
      </c>
      <c r="D50" s="9" t="str">
        <f aca="false">IF(C50&gt;$N$5,"YES","NO")</f>
        <v>NO</v>
      </c>
      <c r="E50" s="9" t="n">
        <v>23</v>
      </c>
      <c r="F50" s="9" t="str">
        <f aca="false">IF(E50&gt;$N$6,"YES","NO")</f>
        <v>NO</v>
      </c>
      <c r="G50" s="13" t="s">
        <v>13</v>
      </c>
    </row>
    <row r="51" customFormat="false" ht="15.75" hidden="false" customHeight="false" outlineLevel="0" collapsed="false">
      <c r="A51" s="11" t="n">
        <v>3693.508</v>
      </c>
      <c r="B51" s="11" t="str">
        <f aca="false">IF(A51&gt;$N$4,"YES","NO")</f>
        <v>NO</v>
      </c>
      <c r="C51" s="9" t="n">
        <v>11</v>
      </c>
      <c r="D51" s="9" t="str">
        <f aca="false">IF(C51&gt;$N$5,"YES","NO")</f>
        <v>NO</v>
      </c>
      <c r="E51" s="9" t="n">
        <v>39</v>
      </c>
      <c r="F51" s="9" t="str">
        <f aca="false">IF(E51&gt;$N$6,"YES","NO")</f>
        <v>NO</v>
      </c>
      <c r="G51" s="13" t="s">
        <v>13</v>
      </c>
    </row>
    <row r="52" customFormat="false" ht="15.75" hidden="false" customHeight="false" outlineLevel="0" collapsed="false">
      <c r="A52" s="11" t="n">
        <v>1059.303</v>
      </c>
      <c r="B52" s="11" t="str">
        <f aca="false">IF(A52&gt;$N$4,"YES","NO")</f>
        <v>NO</v>
      </c>
      <c r="C52" s="9" t="n">
        <v>12</v>
      </c>
      <c r="D52" s="9" t="str">
        <f aca="false">IF(C52&gt;$N$5,"YES","NO")</f>
        <v>NO</v>
      </c>
      <c r="E52" s="9" t="n">
        <v>28</v>
      </c>
      <c r="F52" s="9" t="str">
        <f aca="false">IF(E52&gt;$N$6,"YES","NO")</f>
        <v>NO</v>
      </c>
      <c r="G52" s="13" t="s">
        <v>13</v>
      </c>
    </row>
    <row r="53" customFormat="false" ht="15.75" hidden="false" customHeight="false" outlineLevel="0" collapsed="false">
      <c r="A53" s="11" t="n">
        <v>1192.163</v>
      </c>
      <c r="B53" s="11" t="str">
        <f aca="false">IF(A53&gt;$N$4,"YES","NO")</f>
        <v>NO</v>
      </c>
      <c r="C53" s="9" t="n">
        <v>24</v>
      </c>
      <c r="D53" s="9" t="str">
        <f aca="false">IF(C53&gt;$N$5,"YES","NO")</f>
        <v>NO</v>
      </c>
      <c r="E53" s="9" t="n">
        <v>29</v>
      </c>
      <c r="F53" s="9" t="str">
        <f aca="false">IF(E53&gt;$N$6,"YES","NO")</f>
        <v>NO</v>
      </c>
      <c r="G53" s="13" t="s">
        <v>13</v>
      </c>
    </row>
    <row r="54" customFormat="false" ht="15.75" hidden="false" customHeight="false" outlineLevel="0" collapsed="false">
      <c r="A54" s="11" t="n">
        <v>3048.115</v>
      </c>
      <c r="B54" s="11" t="str">
        <f aca="false">IF(A54&gt;$N$4,"YES","NO")</f>
        <v>NO</v>
      </c>
      <c r="C54" s="9" t="n">
        <v>27</v>
      </c>
      <c r="D54" s="9" t="str">
        <f aca="false">IF(C54&gt;$N$5,"YES","NO")</f>
        <v>NO</v>
      </c>
      <c r="E54" s="9" t="n">
        <v>30</v>
      </c>
      <c r="F54" s="9" t="str">
        <f aca="false">IF(E54&gt;$N$6,"YES","NO")</f>
        <v>NO</v>
      </c>
      <c r="G54" s="13" t="s">
        <v>13</v>
      </c>
    </row>
    <row r="55" customFormat="false" ht="15.75" hidden="false" customHeight="false" outlineLevel="0" collapsed="false">
      <c r="A55" s="11" t="n">
        <v>644.882</v>
      </c>
      <c r="B55" s="11" t="str">
        <f aca="false">IF(A55&gt;$N$4,"YES","NO")</f>
        <v>NO</v>
      </c>
      <c r="C55" s="9" t="n">
        <v>12</v>
      </c>
      <c r="D55" s="9" t="str">
        <f aca="false">IF(C55&gt;$N$5,"YES","NO")</f>
        <v>NO</v>
      </c>
      <c r="E55" s="9" t="n">
        <v>25</v>
      </c>
      <c r="F55" s="9" t="str">
        <f aca="false">IF(E55&gt;$N$6,"YES","NO")</f>
        <v>NO</v>
      </c>
      <c r="G55" s="13" t="s">
        <v>13</v>
      </c>
    </row>
    <row r="56" customFormat="false" ht="15.75" hidden="false" customHeight="false" outlineLevel="0" collapsed="false">
      <c r="A56" s="11" t="n">
        <v>1726.158</v>
      </c>
      <c r="B56" s="11" t="str">
        <f aca="false">IF(A56&gt;$N$4,"YES","NO")</f>
        <v>NO</v>
      </c>
      <c r="C56" s="9" t="n">
        <v>18</v>
      </c>
      <c r="D56" s="9" t="str">
        <f aca="false">IF(C56&gt;$N$5,"YES","NO")</f>
        <v>NO</v>
      </c>
      <c r="E56" s="9" t="n">
        <v>31</v>
      </c>
      <c r="F56" s="9" t="str">
        <f aca="false">IF(E56&gt;$N$6,"YES","NO")</f>
        <v>NO</v>
      </c>
      <c r="G56" s="13" t="s">
        <v>13</v>
      </c>
    </row>
    <row r="57" customFormat="false" ht="15.75" hidden="false" customHeight="false" outlineLevel="0" collapsed="false">
      <c r="A57" s="11" t="n">
        <v>1136.975</v>
      </c>
      <c r="B57" s="11" t="str">
        <f aca="false">IF(A57&gt;$N$4,"YES","NO")</f>
        <v>NO</v>
      </c>
      <c r="C57" s="9" t="n">
        <v>36</v>
      </c>
      <c r="D57" s="9" t="str">
        <f aca="false">IF(C57&gt;$N$5,"YES","NO")</f>
        <v>NO</v>
      </c>
      <c r="E57" s="9" t="n">
        <v>57</v>
      </c>
      <c r="F57" s="9" t="str">
        <f aca="false">IF(E57&gt;$N$6,"YES","NO")</f>
        <v>NO</v>
      </c>
      <c r="G57" s="13" t="s">
        <v>16</v>
      </c>
    </row>
    <row r="58" customFormat="false" ht="15.75" hidden="false" customHeight="false" outlineLevel="0" collapsed="false">
      <c r="A58" s="11" t="n">
        <v>400.113</v>
      </c>
      <c r="B58" s="11" t="str">
        <f aca="false">IF(A58&gt;$N$4,"YES","NO")</f>
        <v>NO</v>
      </c>
      <c r="C58" s="9" t="n">
        <v>6</v>
      </c>
      <c r="D58" s="9" t="str">
        <f aca="false">IF(C58&gt;$N$5,"YES","NO")</f>
        <v>NO</v>
      </c>
      <c r="E58" s="9" t="n">
        <v>26</v>
      </c>
      <c r="F58" s="9" t="str">
        <f aca="false">IF(E58&gt;$N$6,"YES","NO")</f>
        <v>NO</v>
      </c>
      <c r="G58" s="13" t="s">
        <v>13</v>
      </c>
    </row>
    <row r="59" customFormat="false" ht="15.75" hidden="false" customHeight="false" outlineLevel="0" collapsed="false">
      <c r="A59" s="11" t="n">
        <v>3305.148</v>
      </c>
      <c r="B59" s="11" t="str">
        <f aca="false">IF(A59&gt;$N$4,"YES","NO")</f>
        <v>NO</v>
      </c>
      <c r="C59" s="9" t="n">
        <v>12</v>
      </c>
      <c r="D59" s="9" t="str">
        <f aca="false">IF(C59&gt;$N$5,"YES","NO")</f>
        <v>NO</v>
      </c>
      <c r="E59" s="9" t="n">
        <v>52</v>
      </c>
      <c r="F59" s="9" t="str">
        <f aca="false">IF(E59&gt;$N$6,"YES","NO")</f>
        <v>NO</v>
      </c>
      <c r="G59" s="13" t="s">
        <v>16</v>
      </c>
    </row>
    <row r="60" customFormat="false" ht="15.75" hidden="false" customHeight="false" outlineLevel="0" collapsed="false">
      <c r="A60" s="11" t="n">
        <v>4888.226</v>
      </c>
      <c r="B60" s="11" t="str">
        <f aca="false">IF(A60&gt;$N$4,"YES","NO")</f>
        <v>YES</v>
      </c>
      <c r="C60" s="9" t="n">
        <v>36</v>
      </c>
      <c r="D60" s="9" t="str">
        <f aca="false">IF(C60&gt;$N$5,"YES","NO")</f>
        <v>NO</v>
      </c>
      <c r="E60" s="9" t="n">
        <v>31</v>
      </c>
      <c r="F60" s="9" t="str">
        <f aca="false">IF(E60&gt;$N$6,"YES","NO")</f>
        <v>NO</v>
      </c>
      <c r="G60" s="13" t="s">
        <v>13</v>
      </c>
    </row>
    <row r="61" customFormat="false" ht="15.75" hidden="false" customHeight="false" outlineLevel="0" collapsed="false">
      <c r="A61" s="11" t="n">
        <v>1002.071</v>
      </c>
      <c r="B61" s="11" t="str">
        <f aca="false">IF(A61&gt;$N$4,"YES","NO")</f>
        <v>NO</v>
      </c>
      <c r="C61" s="9" t="n">
        <v>18</v>
      </c>
      <c r="D61" s="9" t="str">
        <f aca="false">IF(C61&gt;$N$5,"YES","NO")</f>
        <v>NO</v>
      </c>
      <c r="E61" s="9" t="n">
        <v>23</v>
      </c>
      <c r="F61" s="9" t="str">
        <f aca="false">IF(E61&gt;$N$6,"YES","NO")</f>
        <v>NO</v>
      </c>
      <c r="G61" s="13" t="s">
        <v>13</v>
      </c>
    </row>
    <row r="62" customFormat="false" ht="15.75" hidden="false" customHeight="false" outlineLevel="0" collapsed="false">
      <c r="A62" s="11" t="n">
        <v>3183.019</v>
      </c>
      <c r="B62" s="11" t="str">
        <f aca="false">IF(A62&gt;$N$4,"YES","NO")</f>
        <v>NO</v>
      </c>
      <c r="C62" s="9" t="n">
        <v>36</v>
      </c>
      <c r="D62" s="9" t="str">
        <f aca="false">IF(C62&gt;$N$5,"YES","NO")</f>
        <v>NO</v>
      </c>
      <c r="E62" s="9" t="n">
        <v>23</v>
      </c>
      <c r="F62" s="9" t="str">
        <f aca="false">IF(E62&gt;$N$6,"YES","NO")</f>
        <v>NO</v>
      </c>
      <c r="G62" s="13" t="s">
        <v>16</v>
      </c>
    </row>
    <row r="63" customFormat="false" ht="15.75" hidden="false" customHeight="false" outlineLevel="0" collapsed="false">
      <c r="A63" s="11" t="n">
        <v>710.801</v>
      </c>
      <c r="B63" s="11" t="str">
        <f aca="false">IF(A63&gt;$N$4,"YES","NO")</f>
        <v>NO</v>
      </c>
      <c r="C63" s="9" t="n">
        <v>9</v>
      </c>
      <c r="D63" s="9" t="str">
        <f aca="false">IF(C63&gt;$N$5,"YES","NO")</f>
        <v>NO</v>
      </c>
      <c r="E63" s="9" t="n">
        <v>27</v>
      </c>
      <c r="F63" s="9" t="str">
        <f aca="false">IF(E63&gt;$N$6,"YES","NO")</f>
        <v>NO</v>
      </c>
      <c r="G63" s="13" t="s">
        <v>13</v>
      </c>
    </row>
    <row r="64" customFormat="false" ht="15.75" hidden="false" customHeight="false" outlineLevel="0" collapsed="false">
      <c r="A64" s="11" t="n">
        <v>785.407</v>
      </c>
      <c r="B64" s="11" t="str">
        <f aca="false">IF(A64&gt;$N$4,"YES","NO")</f>
        <v>NO</v>
      </c>
      <c r="C64" s="9" t="n">
        <v>15</v>
      </c>
      <c r="D64" s="9" t="str">
        <f aca="false">IF(C64&gt;$N$5,"YES","NO")</f>
        <v>NO</v>
      </c>
      <c r="E64" s="9" t="n">
        <v>50</v>
      </c>
      <c r="F64" s="9" t="str">
        <f aca="false">IF(E64&gt;$N$6,"YES","NO")</f>
        <v>NO</v>
      </c>
      <c r="G64" s="13" t="s">
        <v>13</v>
      </c>
    </row>
    <row r="65" customFormat="false" ht="15.75" hidden="false" customHeight="false" outlineLevel="0" collapsed="false">
      <c r="A65" s="11" t="n">
        <v>997.983</v>
      </c>
      <c r="B65" s="11" t="str">
        <f aca="false">IF(A65&gt;$N$4,"YES","NO")</f>
        <v>NO</v>
      </c>
      <c r="C65" s="9" t="n">
        <v>36</v>
      </c>
      <c r="D65" s="9" t="str">
        <f aca="false">IF(C65&gt;$N$5,"YES","NO")</f>
        <v>NO</v>
      </c>
      <c r="E65" s="9" t="n">
        <v>61</v>
      </c>
      <c r="F65" s="9" t="str">
        <f aca="false">IF(E65&gt;$N$6,"YES","NO")</f>
        <v>NO</v>
      </c>
      <c r="G65" s="13" t="s">
        <v>16</v>
      </c>
    </row>
    <row r="66" customFormat="false" ht="15.75" hidden="false" customHeight="false" outlineLevel="0" collapsed="false">
      <c r="A66" s="11" t="n">
        <v>7369.131</v>
      </c>
      <c r="B66" s="11" t="str">
        <f aca="false">IF(A66&gt;$N$4,"YES","NO")</f>
        <v>YES</v>
      </c>
      <c r="C66" s="9" t="n">
        <v>48</v>
      </c>
      <c r="D66" s="9" t="str">
        <f aca="false">IF(C66&gt;$N$5,"YES","NO")</f>
        <v>YES</v>
      </c>
      <c r="E66" s="9" t="n">
        <v>25</v>
      </c>
      <c r="F66" s="9" t="str">
        <f aca="false">IF(E66&gt;$N$6,"YES","NO")</f>
        <v>NO</v>
      </c>
      <c r="G66" s="13" t="s">
        <v>16</v>
      </c>
    </row>
    <row r="67" customFormat="false" ht="15.75" hidden="false" customHeight="false" outlineLevel="0" collapsed="false">
      <c r="A67" s="11" t="n">
        <v>1625.491</v>
      </c>
      <c r="B67" s="11" t="str">
        <f aca="false">IF(A67&gt;$N$4,"YES","NO")</f>
        <v>NO</v>
      </c>
      <c r="C67" s="9" t="n">
        <v>24</v>
      </c>
      <c r="D67" s="9" t="str">
        <f aca="false">IF(C67&gt;$N$5,"YES","NO")</f>
        <v>NO</v>
      </c>
      <c r="E67" s="9" t="n">
        <v>26</v>
      </c>
      <c r="F67" s="9" t="str">
        <f aca="false">IF(E67&gt;$N$6,"YES","NO")</f>
        <v>NO</v>
      </c>
      <c r="G67" s="13" t="s">
        <v>13</v>
      </c>
    </row>
    <row r="68" customFormat="false" ht="15.75" hidden="false" customHeight="false" outlineLevel="0" collapsed="false">
      <c r="A68" s="11" t="n">
        <v>2652.09</v>
      </c>
      <c r="B68" s="11" t="str">
        <f aca="false">IF(A68&gt;$N$4,"YES","NO")</f>
        <v>NO</v>
      </c>
      <c r="C68" s="9" t="n">
        <v>27</v>
      </c>
      <c r="D68" s="9" t="str">
        <f aca="false">IF(C68&gt;$N$5,"YES","NO")</f>
        <v>NO</v>
      </c>
      <c r="E68" s="9" t="n">
        <v>48</v>
      </c>
      <c r="F68" s="9" t="str">
        <f aca="false">IF(E68&gt;$N$6,"YES","NO")</f>
        <v>NO</v>
      </c>
      <c r="G68" s="13" t="s">
        <v>13</v>
      </c>
    </row>
    <row r="69" customFormat="false" ht="15.75" hidden="false" customHeight="false" outlineLevel="0" collapsed="false">
      <c r="A69" s="11" t="n">
        <v>1109.381</v>
      </c>
      <c r="B69" s="11" t="str">
        <f aca="false">IF(A69&gt;$N$4,"YES","NO")</f>
        <v>NO</v>
      </c>
      <c r="C69" s="9" t="n">
        <v>12</v>
      </c>
      <c r="D69" s="9" t="str">
        <f aca="false">IF(C69&gt;$N$5,"YES","NO")</f>
        <v>NO</v>
      </c>
      <c r="E69" s="9" t="n">
        <v>29</v>
      </c>
      <c r="F69" s="9" t="str">
        <f aca="false">IF(E69&gt;$N$6,"YES","NO")</f>
        <v>NO</v>
      </c>
      <c r="G69" s="13" t="s">
        <v>13</v>
      </c>
    </row>
    <row r="70" customFormat="false" ht="15.75" hidden="false" customHeight="false" outlineLevel="0" collapsed="false">
      <c r="A70" s="11" t="n">
        <v>514.577</v>
      </c>
      <c r="B70" s="11" t="str">
        <f aca="false">IF(A70&gt;$N$4,"YES","NO")</f>
        <v>NO</v>
      </c>
      <c r="C70" s="9" t="n">
        <v>12</v>
      </c>
      <c r="D70" s="9" t="str">
        <f aca="false">IF(C70&gt;$N$5,"YES","NO")</f>
        <v>NO</v>
      </c>
      <c r="E70" s="9" t="n">
        <v>22</v>
      </c>
      <c r="F70" s="9" t="str">
        <f aca="false">IF(E70&gt;$N$6,"YES","NO")</f>
        <v>NO</v>
      </c>
      <c r="G70" s="13" t="s">
        <v>13</v>
      </c>
    </row>
    <row r="71" customFormat="false" ht="15.75" hidden="false" customHeight="false" outlineLevel="0" collapsed="false">
      <c r="A71" s="11" t="n">
        <v>929.509</v>
      </c>
      <c r="B71" s="11" t="str">
        <f aca="false">IF(A71&gt;$N$4,"YES","NO")</f>
        <v>NO</v>
      </c>
      <c r="C71" s="9" t="n">
        <v>36</v>
      </c>
      <c r="D71" s="9" t="str">
        <f aca="false">IF(C71&gt;$N$5,"YES","NO")</f>
        <v>NO</v>
      </c>
      <c r="E71" s="9" t="n">
        <v>37</v>
      </c>
      <c r="F71" s="9" t="str">
        <f aca="false">IF(E71&gt;$N$6,"YES","NO")</f>
        <v>NO</v>
      </c>
      <c r="G71" s="13" t="s">
        <v>16</v>
      </c>
    </row>
    <row r="72" customFormat="false" ht="15.75" hidden="false" customHeight="false" outlineLevel="0" collapsed="false">
      <c r="A72" s="11" t="n">
        <v>1223.334</v>
      </c>
      <c r="B72" s="11" t="str">
        <f aca="false">IF(A72&gt;$N$4,"YES","NO")</f>
        <v>NO</v>
      </c>
      <c r="C72" s="9" t="n">
        <v>36</v>
      </c>
      <c r="D72" s="9" t="str">
        <f aca="false">IF(C72&gt;$N$5,"YES","NO")</f>
        <v>NO</v>
      </c>
      <c r="E72" s="9" t="n">
        <v>25</v>
      </c>
      <c r="F72" s="9" t="str">
        <f aca="false">IF(E72&gt;$N$6,"YES","NO")</f>
        <v>NO</v>
      </c>
      <c r="G72" s="13" t="s">
        <v>13</v>
      </c>
    </row>
    <row r="73" customFormat="false" ht="15.75" hidden="false" customHeight="false" outlineLevel="0" collapsed="false">
      <c r="A73" s="11" t="n">
        <v>4155.963</v>
      </c>
      <c r="B73" s="11" t="str">
        <f aca="false">IF(A73&gt;$N$4,"YES","NO")</f>
        <v>YES</v>
      </c>
      <c r="C73" s="9" t="n">
        <v>36</v>
      </c>
      <c r="D73" s="9" t="str">
        <f aca="false">IF(C73&gt;$N$5,"YES","NO")</f>
        <v>NO</v>
      </c>
      <c r="E73" s="9" t="n">
        <v>30</v>
      </c>
      <c r="F73" s="9" t="str">
        <f aca="false">IF(E73&gt;$N$6,"YES","NO")</f>
        <v>NO</v>
      </c>
      <c r="G73" s="13" t="s">
        <v>13</v>
      </c>
    </row>
    <row r="74" customFormat="false" ht="15.75" hidden="false" customHeight="false" outlineLevel="0" collapsed="false">
      <c r="A74" s="11" t="n">
        <v>373.03</v>
      </c>
      <c r="B74" s="11" t="str">
        <f aca="false">IF(A74&gt;$N$4,"YES","NO")</f>
        <v>NO</v>
      </c>
      <c r="C74" s="9" t="n">
        <v>7</v>
      </c>
      <c r="D74" s="9" t="str">
        <f aca="false">IF(C74&gt;$N$5,"YES","NO")</f>
        <v>NO</v>
      </c>
      <c r="E74" s="9" t="n">
        <v>46</v>
      </c>
      <c r="F74" s="9" t="str">
        <f aca="false">IF(E74&gt;$N$6,"YES","NO")</f>
        <v>NO</v>
      </c>
      <c r="G74" s="13" t="s">
        <v>13</v>
      </c>
    </row>
    <row r="75" customFormat="false" ht="15.75" hidden="false" customHeight="false" outlineLevel="0" collapsed="false">
      <c r="A75" s="11" t="n">
        <v>594.804</v>
      </c>
      <c r="B75" s="11" t="str">
        <f aca="false">IF(A75&gt;$N$4,"YES","NO")</f>
        <v>NO</v>
      </c>
      <c r="C75" s="9" t="n">
        <v>8</v>
      </c>
      <c r="D75" s="9" t="str">
        <f aca="false">IF(C75&gt;$N$5,"YES","NO")</f>
        <v>NO</v>
      </c>
      <c r="E75" s="9" t="n">
        <v>51</v>
      </c>
      <c r="F75" s="9" t="str">
        <f aca="false">IF(E75&gt;$N$6,"YES","NO")</f>
        <v>NO</v>
      </c>
      <c r="G75" s="13" t="s">
        <v>13</v>
      </c>
    </row>
    <row r="76" customFormat="false" ht="15.75" hidden="false" customHeight="false" outlineLevel="0" collapsed="false">
      <c r="A76" s="11" t="n">
        <v>3042.494</v>
      </c>
      <c r="B76" s="11" t="str">
        <f aca="false">IF(A76&gt;$N$4,"YES","NO")</f>
        <v>NO</v>
      </c>
      <c r="C76" s="9" t="n">
        <v>42</v>
      </c>
      <c r="D76" s="9" t="str">
        <f aca="false">IF(C76&gt;$N$5,"YES","NO")</f>
        <v>NO</v>
      </c>
      <c r="E76" s="9" t="n">
        <v>41</v>
      </c>
      <c r="F76" s="9" t="str">
        <f aca="false">IF(E76&gt;$N$6,"YES","NO")</f>
        <v>NO</v>
      </c>
      <c r="G76" s="13" t="s">
        <v>13</v>
      </c>
    </row>
    <row r="77" customFormat="false" ht="15.75" hidden="false" customHeight="false" outlineLevel="0" collapsed="false">
      <c r="A77" s="11" t="n">
        <v>1010.247</v>
      </c>
      <c r="B77" s="11" t="str">
        <f aca="false">IF(A77&gt;$N$4,"YES","NO")</f>
        <v>NO</v>
      </c>
      <c r="C77" s="9" t="n">
        <v>36</v>
      </c>
      <c r="D77" s="9" t="str">
        <f aca="false">IF(C77&gt;$N$5,"YES","NO")</f>
        <v>NO</v>
      </c>
      <c r="E77" s="9" t="n">
        <v>40</v>
      </c>
      <c r="F77" s="9" t="str">
        <f aca="false">IF(E77&gt;$N$6,"YES","NO")</f>
        <v>NO</v>
      </c>
      <c r="G77" s="13" t="s">
        <v>16</v>
      </c>
    </row>
    <row r="78" customFormat="false" ht="15.75" hidden="false" customHeight="false" outlineLevel="0" collapsed="false">
      <c r="A78" s="11" t="n">
        <v>779.786</v>
      </c>
      <c r="B78" s="11" t="str">
        <f aca="false">IF(A78&gt;$N$4,"YES","NO")</f>
        <v>NO</v>
      </c>
      <c r="C78" s="9" t="n">
        <v>12</v>
      </c>
      <c r="D78" s="9" t="str">
        <f aca="false">IF(C78&gt;$N$5,"YES","NO")</f>
        <v>NO</v>
      </c>
      <c r="E78" s="9" t="n">
        <v>66</v>
      </c>
      <c r="F78" s="9" t="str">
        <f aca="false">IF(E78&gt;$N$6,"YES","NO")</f>
        <v>YES</v>
      </c>
      <c r="G78" s="13" t="s">
        <v>13</v>
      </c>
    </row>
    <row r="79" customFormat="false" ht="15.75" hidden="false" customHeight="false" outlineLevel="0" collapsed="false">
      <c r="A79" s="11" t="n">
        <v>2026.115</v>
      </c>
      <c r="B79" s="11" t="str">
        <f aca="false">IF(A79&gt;$N$4,"YES","NO")</f>
        <v>NO</v>
      </c>
      <c r="C79" s="9" t="n">
        <v>42</v>
      </c>
      <c r="D79" s="9" t="str">
        <f aca="false">IF(C79&gt;$N$5,"YES","NO")</f>
        <v>NO</v>
      </c>
      <c r="E79" s="9" t="n">
        <v>34</v>
      </c>
      <c r="F79" s="9" t="str">
        <f aca="false">IF(E79&gt;$N$6,"YES","NO")</f>
        <v>NO</v>
      </c>
      <c r="G79" s="13" t="s">
        <v>16</v>
      </c>
    </row>
    <row r="80" customFormat="false" ht="15.75" hidden="false" customHeight="false" outlineLevel="0" collapsed="false">
      <c r="A80" s="11" t="n">
        <v>2437.981</v>
      </c>
      <c r="B80" s="11" t="str">
        <f aca="false">IF(A80&gt;$N$4,"YES","NO")</f>
        <v>NO</v>
      </c>
      <c r="C80" s="9" t="n">
        <v>11</v>
      </c>
      <c r="D80" s="9" t="str">
        <f aca="false">IF(C80&gt;$N$5,"YES","NO")</f>
        <v>NO</v>
      </c>
      <c r="E80" s="9" t="n">
        <v>51</v>
      </c>
      <c r="F80" s="9" t="str">
        <f aca="false">IF(E80&gt;$N$6,"YES","NO")</f>
        <v>NO</v>
      </c>
      <c r="G80" s="13" t="s">
        <v>13</v>
      </c>
    </row>
    <row r="81" customFormat="false" ht="15.75" hidden="false" customHeight="false" outlineLevel="0" collapsed="false">
      <c r="A81" s="11" t="n">
        <v>4821.796</v>
      </c>
      <c r="B81" s="11" t="str">
        <f aca="false">IF(A81&gt;$N$4,"YES","NO")</f>
        <v>YES</v>
      </c>
      <c r="C81" s="9" t="n">
        <v>54</v>
      </c>
      <c r="D81" s="9" t="str">
        <f aca="false">IF(C81&gt;$N$5,"YES","NO")</f>
        <v>YES</v>
      </c>
      <c r="E81" s="9" t="n">
        <v>39</v>
      </c>
      <c r="F81" s="9" t="str">
        <f aca="false">IF(E81&gt;$N$6,"YES","NO")</f>
        <v>NO</v>
      </c>
      <c r="G81" s="13" t="s">
        <v>13</v>
      </c>
    </row>
    <row r="82" customFormat="false" ht="15.75" hidden="false" customHeight="false" outlineLevel="0" collapsed="false">
      <c r="A82" s="11" t="n">
        <v>1958.152</v>
      </c>
      <c r="B82" s="11" t="str">
        <f aca="false">IF(A82&gt;$N$4,"YES","NO")</f>
        <v>NO</v>
      </c>
      <c r="C82" s="9" t="n">
        <v>30</v>
      </c>
      <c r="D82" s="9" t="str">
        <f aca="false">IF(C82&gt;$N$5,"YES","NO")</f>
        <v>NO</v>
      </c>
      <c r="E82" s="9" t="n">
        <v>22</v>
      </c>
      <c r="F82" s="9" t="str">
        <f aca="false">IF(E82&gt;$N$6,"YES","NO")</f>
        <v>NO</v>
      </c>
      <c r="G82" s="13" t="s">
        <v>13</v>
      </c>
    </row>
    <row r="83" customFormat="false" ht="15.75" hidden="false" customHeight="false" outlineLevel="0" collapsed="false">
      <c r="A83" s="11" t="n">
        <v>3036.873</v>
      </c>
      <c r="B83" s="11" t="str">
        <f aca="false">IF(A83&gt;$N$4,"YES","NO")</f>
        <v>NO</v>
      </c>
      <c r="C83" s="9" t="n">
        <v>24</v>
      </c>
      <c r="D83" s="9" t="str">
        <f aca="false">IF(C83&gt;$N$5,"YES","NO")</f>
        <v>NO</v>
      </c>
      <c r="E83" s="9" t="n">
        <v>44</v>
      </c>
      <c r="F83" s="9" t="str">
        <f aca="false">IF(E83&gt;$N$6,"YES","NO")</f>
        <v>NO</v>
      </c>
      <c r="G83" s="13" t="s">
        <v>16</v>
      </c>
    </row>
    <row r="84" customFormat="false" ht="15.75" hidden="false" customHeight="false" outlineLevel="0" collapsed="false">
      <c r="A84" s="11" t="n">
        <v>619.843</v>
      </c>
      <c r="B84" s="11" t="str">
        <f aca="false">IF(A84&gt;$N$4,"YES","NO")</f>
        <v>NO</v>
      </c>
      <c r="C84" s="9" t="n">
        <v>15</v>
      </c>
      <c r="D84" s="9" t="str">
        <f aca="false">IF(C84&gt;$N$5,"YES","NO")</f>
        <v>NO</v>
      </c>
      <c r="E84" s="9" t="n">
        <v>47</v>
      </c>
      <c r="F84" s="9" t="str">
        <f aca="false">IF(E84&gt;$N$6,"YES","NO")</f>
        <v>NO</v>
      </c>
      <c r="G84" s="13" t="s">
        <v>13</v>
      </c>
    </row>
    <row r="85" customFormat="false" ht="15.75" hidden="false" customHeight="false" outlineLevel="0" collapsed="false">
      <c r="A85" s="11" t="n">
        <v>801.248</v>
      </c>
      <c r="B85" s="11" t="str">
        <f aca="false">IF(A85&gt;$N$4,"YES","NO")</f>
        <v>NO</v>
      </c>
      <c r="C85" s="9" t="n">
        <v>18</v>
      </c>
      <c r="D85" s="9" t="str">
        <f aca="false">IF(C85&gt;$N$5,"YES","NO")</f>
        <v>NO</v>
      </c>
      <c r="E85" s="9" t="n">
        <v>24</v>
      </c>
      <c r="F85" s="9" t="str">
        <f aca="false">IF(E85&gt;$N$6,"YES","NO")</f>
        <v>NO</v>
      </c>
      <c r="G85" s="13" t="s">
        <v>13</v>
      </c>
    </row>
    <row r="86" customFormat="false" ht="15.75" hidden="false" customHeight="false" outlineLevel="0" collapsed="false">
      <c r="A86" s="11" t="n">
        <v>896.805</v>
      </c>
      <c r="B86" s="11" t="str">
        <f aca="false">IF(A86&gt;$N$4,"YES","NO")</f>
        <v>NO</v>
      </c>
      <c r="C86" s="9" t="n">
        <v>24</v>
      </c>
      <c r="D86" s="9" t="str">
        <f aca="false">IF(C86&gt;$N$5,"YES","NO")</f>
        <v>NO</v>
      </c>
      <c r="E86" s="9" t="n">
        <v>58</v>
      </c>
      <c r="F86" s="9" t="str">
        <f aca="false">IF(E86&gt;$N$6,"YES","NO")</f>
        <v>NO</v>
      </c>
      <c r="G86" s="13" t="s">
        <v>13</v>
      </c>
    </row>
    <row r="87" customFormat="false" ht="15.75" hidden="false" customHeight="false" outlineLevel="0" collapsed="false">
      <c r="A87" s="11" t="n">
        <v>1182.965</v>
      </c>
      <c r="B87" s="11" t="str">
        <f aca="false">IF(A87&gt;$N$4,"YES","NO")</f>
        <v>NO</v>
      </c>
      <c r="C87" s="9" t="n">
        <v>10</v>
      </c>
      <c r="D87" s="9" t="str">
        <f aca="false">IF(C87&gt;$N$5,"YES","NO")</f>
        <v>NO</v>
      </c>
      <c r="E87" s="9" t="n">
        <v>52</v>
      </c>
      <c r="F87" s="9" t="str">
        <f aca="false">IF(E87&gt;$N$6,"YES","NO")</f>
        <v>NO</v>
      </c>
      <c r="G87" s="13" t="s">
        <v>13</v>
      </c>
    </row>
    <row r="88" customFormat="false" ht="15.75" hidden="false" customHeight="false" outlineLevel="0" collapsed="false">
      <c r="A88" s="11" t="n">
        <v>721.532</v>
      </c>
      <c r="B88" s="11" t="str">
        <f aca="false">IF(A88&gt;$N$4,"YES","NO")</f>
        <v>NO</v>
      </c>
      <c r="C88" s="9" t="n">
        <v>12</v>
      </c>
      <c r="D88" s="9" t="str">
        <f aca="false">IF(C88&gt;$N$5,"YES","NO")</f>
        <v>NO</v>
      </c>
      <c r="E88" s="9" t="n">
        <v>29</v>
      </c>
      <c r="F88" s="9" t="str">
        <f aca="false">IF(E88&gt;$N$6,"YES","NO")</f>
        <v>NO</v>
      </c>
      <c r="G88" s="13" t="s">
        <v>13</v>
      </c>
    </row>
    <row r="89" customFormat="false" ht="15.75" hidden="false" customHeight="false" outlineLevel="0" collapsed="false">
      <c r="A89" s="11" t="n">
        <v>661.745</v>
      </c>
      <c r="B89" s="11" t="str">
        <f aca="false">IF(A89&gt;$N$4,"YES","NO")</f>
        <v>NO</v>
      </c>
      <c r="C89" s="9" t="n">
        <v>18</v>
      </c>
      <c r="D89" s="9" t="str">
        <f aca="false">IF(C89&gt;$N$5,"YES","NO")</f>
        <v>NO</v>
      </c>
      <c r="E89" s="9" t="n">
        <v>27</v>
      </c>
      <c r="F89" s="9" t="str">
        <f aca="false">IF(E89&gt;$N$6,"YES","NO")</f>
        <v>NO</v>
      </c>
      <c r="G89" s="13" t="s">
        <v>13</v>
      </c>
    </row>
    <row r="90" customFormat="false" ht="15.75" hidden="false" customHeight="false" outlineLevel="0" collapsed="false">
      <c r="A90" s="11" t="n">
        <v>6444.732</v>
      </c>
      <c r="B90" s="11" t="str">
        <f aca="false">IF(A90&gt;$N$4,"YES","NO")</f>
        <v>YES</v>
      </c>
      <c r="C90" s="9" t="n">
        <v>36</v>
      </c>
      <c r="D90" s="9" t="str">
        <f aca="false">IF(C90&gt;$N$5,"YES","NO")</f>
        <v>NO</v>
      </c>
      <c r="E90" s="9" t="n">
        <v>47</v>
      </c>
      <c r="F90" s="9" t="str">
        <f aca="false">IF(E90&gt;$N$6,"YES","NO")</f>
        <v>NO</v>
      </c>
      <c r="G90" s="13" t="s">
        <v>16</v>
      </c>
    </row>
    <row r="91" customFormat="false" ht="15.75" hidden="false" customHeight="false" outlineLevel="0" collapsed="false">
      <c r="A91" s="11" t="n">
        <v>1149.239</v>
      </c>
      <c r="B91" s="11" t="str">
        <f aca="false">IF(A91&gt;$N$4,"YES","NO")</f>
        <v>NO</v>
      </c>
      <c r="C91" s="9" t="n">
        <v>18</v>
      </c>
      <c r="D91" s="9" t="str">
        <f aca="false">IF(C91&gt;$N$5,"YES","NO")</f>
        <v>NO</v>
      </c>
      <c r="E91" s="9" t="n">
        <v>30</v>
      </c>
      <c r="F91" s="9" t="str">
        <f aca="false">IF(E91&gt;$N$6,"YES","NO")</f>
        <v>NO</v>
      </c>
      <c r="G91" s="13" t="s">
        <v>13</v>
      </c>
    </row>
    <row r="92" customFormat="false" ht="15.75" hidden="false" customHeight="false" outlineLevel="0" collapsed="false">
      <c r="A92" s="11" t="n">
        <v>566.188</v>
      </c>
      <c r="B92" s="11" t="str">
        <f aca="false">IF(A92&gt;$N$4,"YES","NO")</f>
        <v>NO</v>
      </c>
      <c r="C92" s="9" t="n">
        <v>12</v>
      </c>
      <c r="D92" s="9" t="str">
        <f aca="false">IF(C92&gt;$N$5,"YES","NO")</f>
        <v>NO</v>
      </c>
      <c r="E92" s="9" t="n">
        <v>28</v>
      </c>
      <c r="F92" s="9" t="str">
        <f aca="false">IF(E92&gt;$N$6,"YES","NO")</f>
        <v>NO</v>
      </c>
      <c r="G92" s="13" t="s">
        <v>16</v>
      </c>
    </row>
    <row r="93" customFormat="false" ht="15.75" hidden="false" customHeight="false" outlineLevel="0" collapsed="false">
      <c r="A93" s="11" t="n">
        <v>315.798</v>
      </c>
      <c r="B93" s="11" t="str">
        <f aca="false">IF(A93&gt;$N$4,"YES","NO")</f>
        <v>NO</v>
      </c>
      <c r="C93" s="9" t="n">
        <v>12</v>
      </c>
      <c r="D93" s="9" t="str">
        <f aca="false">IF(C93&gt;$N$5,"YES","NO")</f>
        <v>NO</v>
      </c>
      <c r="E93" s="9" t="n">
        <v>56</v>
      </c>
      <c r="F93" s="9" t="str">
        <f aca="false">IF(E93&gt;$N$6,"YES","NO")</f>
        <v>NO</v>
      </c>
      <c r="G93" s="13" t="s">
        <v>13</v>
      </c>
    </row>
    <row r="94" customFormat="false" ht="15.75" hidden="false" customHeight="false" outlineLevel="0" collapsed="false">
      <c r="A94" s="11" t="n">
        <v>719.999</v>
      </c>
      <c r="B94" s="11" t="str">
        <f aca="false">IF(A94&gt;$N$4,"YES","NO")</f>
        <v>NO</v>
      </c>
      <c r="C94" s="9" t="n">
        <v>12</v>
      </c>
      <c r="D94" s="9" t="str">
        <f aca="false">IF(C94&gt;$N$5,"YES","NO")</f>
        <v>NO</v>
      </c>
      <c r="E94" s="9" t="n">
        <v>54</v>
      </c>
      <c r="F94" s="9" t="str">
        <f aca="false">IF(E94&gt;$N$6,"YES","NO")</f>
        <v>NO</v>
      </c>
      <c r="G94" s="13" t="s">
        <v>13</v>
      </c>
    </row>
    <row r="95" customFormat="false" ht="15.75" hidden="false" customHeight="false" outlineLevel="0" collapsed="false">
      <c r="A95" s="11" t="n">
        <v>407.267</v>
      </c>
      <c r="B95" s="11" t="str">
        <f aca="false">IF(A95&gt;$N$4,"YES","NO")</f>
        <v>NO</v>
      </c>
      <c r="C95" s="9" t="n">
        <v>12</v>
      </c>
      <c r="D95" s="9" t="str">
        <f aca="false">IF(C95&gt;$N$5,"YES","NO")</f>
        <v>NO</v>
      </c>
      <c r="E95" s="9" t="n">
        <v>33</v>
      </c>
      <c r="F95" s="9" t="str">
        <f aca="false">IF(E95&gt;$N$6,"YES","NO")</f>
        <v>NO</v>
      </c>
      <c r="G95" s="13" t="s">
        <v>16</v>
      </c>
    </row>
    <row r="96" customFormat="false" ht="15.75" hidden="false" customHeight="false" outlineLevel="0" collapsed="false">
      <c r="A96" s="11" t="n">
        <v>1848.287</v>
      </c>
      <c r="B96" s="11" t="str">
        <f aca="false">IF(A96&gt;$N$4,"YES","NO")</f>
        <v>NO</v>
      </c>
      <c r="C96" s="9" t="n">
        <v>24</v>
      </c>
      <c r="D96" s="9" t="str">
        <f aca="false">IF(C96&gt;$N$5,"YES","NO")</f>
        <v>NO</v>
      </c>
      <c r="E96" s="9" t="n">
        <v>20</v>
      </c>
      <c r="F96" s="9" t="str">
        <f aca="false">IF(E96&gt;$N$6,"YES","NO")</f>
        <v>NO</v>
      </c>
      <c r="G96" s="13" t="s">
        <v>13</v>
      </c>
    </row>
    <row r="97" customFormat="false" ht="15.75" hidden="false" customHeight="false" outlineLevel="0" collapsed="false">
      <c r="A97" s="11" t="n">
        <v>673.498</v>
      </c>
      <c r="B97" s="11" t="str">
        <f aca="false">IF(A97&gt;$N$4,"YES","NO")</f>
        <v>NO</v>
      </c>
      <c r="C97" s="9" t="n">
        <v>12</v>
      </c>
      <c r="D97" s="9" t="str">
        <f aca="false">IF(C97&gt;$N$5,"YES","NO")</f>
        <v>NO</v>
      </c>
      <c r="E97" s="9" t="n">
        <v>54</v>
      </c>
      <c r="F97" s="9" t="str">
        <f aca="false">IF(E97&gt;$N$6,"YES","NO")</f>
        <v>NO</v>
      </c>
      <c r="G97" s="13" t="s">
        <v>13</v>
      </c>
    </row>
    <row r="98" customFormat="false" ht="15.75" hidden="false" customHeight="false" outlineLevel="0" collapsed="false">
      <c r="A98" s="11" t="n">
        <v>8147.895</v>
      </c>
      <c r="B98" s="11" t="str">
        <f aca="false">IF(A98&gt;$N$4,"YES","NO")</f>
        <v>YES</v>
      </c>
      <c r="C98" s="9" t="n">
        <v>54</v>
      </c>
      <c r="D98" s="9" t="str">
        <f aca="false">IF(C98&gt;$N$5,"YES","NO")</f>
        <v>YES</v>
      </c>
      <c r="E98" s="9" t="n">
        <v>58</v>
      </c>
      <c r="F98" s="9" t="str">
        <f aca="false">IF(E98&gt;$N$6,"YES","NO")</f>
        <v>NO</v>
      </c>
      <c r="G98" s="13" t="s">
        <v>16</v>
      </c>
    </row>
    <row r="99" customFormat="false" ht="15.75" hidden="false" customHeight="false" outlineLevel="0" collapsed="false">
      <c r="A99" s="11" t="n">
        <v>1028.132</v>
      </c>
      <c r="B99" s="11" t="str">
        <f aca="false">IF(A99&gt;$N$4,"YES","NO")</f>
        <v>NO</v>
      </c>
      <c r="C99" s="9" t="n">
        <v>12</v>
      </c>
      <c r="D99" s="9" t="str">
        <f aca="false">IF(C99&gt;$N$5,"YES","NO")</f>
        <v>NO</v>
      </c>
      <c r="E99" s="9" t="n">
        <v>61</v>
      </c>
      <c r="F99" s="9" t="str">
        <f aca="false">IF(E99&gt;$N$6,"YES","NO")</f>
        <v>NO</v>
      </c>
      <c r="G99" s="13" t="s">
        <v>13</v>
      </c>
    </row>
    <row r="100" customFormat="false" ht="15.75" hidden="false" customHeight="false" outlineLevel="0" collapsed="false">
      <c r="A100" s="11" t="n">
        <v>1339.842</v>
      </c>
      <c r="B100" s="11" t="str">
        <f aca="false">IF(A100&gt;$N$4,"YES","NO")</f>
        <v>NO</v>
      </c>
      <c r="C100" s="9" t="n">
        <v>18</v>
      </c>
      <c r="D100" s="9" t="str">
        <f aca="false">IF(C100&gt;$N$5,"YES","NO")</f>
        <v>NO</v>
      </c>
      <c r="E100" s="9" t="n">
        <v>34</v>
      </c>
      <c r="F100" s="9" t="str">
        <f aca="false">IF(E100&gt;$N$6,"YES","NO")</f>
        <v>NO</v>
      </c>
      <c r="G100" s="13" t="s">
        <v>13</v>
      </c>
    </row>
    <row r="101" customFormat="false" ht="15.75" hidden="false" customHeight="false" outlineLevel="0" collapsed="false">
      <c r="A101" s="11" t="n">
        <v>1194.207</v>
      </c>
      <c r="B101" s="11" t="str">
        <f aca="false">IF(A101&gt;$N$4,"YES","NO")</f>
        <v>NO</v>
      </c>
      <c r="C101" s="9" t="n">
        <v>36</v>
      </c>
      <c r="D101" s="9" t="str">
        <f aca="false">IF(C101&gt;$N$5,"YES","NO")</f>
        <v>NO</v>
      </c>
      <c r="E101" s="9" t="n">
        <v>36</v>
      </c>
      <c r="F101" s="9" t="str">
        <f aca="false">IF(E101&gt;$N$6,"YES","NO")</f>
        <v>NO</v>
      </c>
      <c r="G101" s="13" t="s">
        <v>13</v>
      </c>
    </row>
    <row r="102" customFormat="false" ht="15.75" hidden="false" customHeight="false" outlineLevel="0" collapsed="false">
      <c r="A102" s="11" t="n">
        <v>3606.127</v>
      </c>
      <c r="B102" s="11" t="str">
        <f aca="false">IF(A102&gt;$N$4,"YES","NO")</f>
        <v>NO</v>
      </c>
      <c r="C102" s="9" t="n">
        <v>20</v>
      </c>
      <c r="D102" s="9" t="str">
        <f aca="false">IF(C102&gt;$N$5,"YES","NO")</f>
        <v>NO</v>
      </c>
      <c r="E102" s="9" t="n">
        <v>36</v>
      </c>
      <c r="F102" s="9" t="str">
        <f aca="false">IF(E102&gt;$N$6,"YES","NO")</f>
        <v>NO</v>
      </c>
      <c r="G102" s="13" t="s">
        <v>13</v>
      </c>
    </row>
    <row r="103" customFormat="false" ht="15.75" hidden="false" customHeight="false" outlineLevel="0" collapsed="false">
      <c r="A103" s="11" t="n">
        <v>750.659</v>
      </c>
      <c r="B103" s="11" t="str">
        <f aca="false">IF(A103&gt;$N$4,"YES","NO")</f>
        <v>NO</v>
      </c>
      <c r="C103" s="9" t="n">
        <v>24</v>
      </c>
      <c r="D103" s="9" t="str">
        <f aca="false">IF(C103&gt;$N$5,"YES","NO")</f>
        <v>NO</v>
      </c>
      <c r="E103" s="9" t="n">
        <v>41</v>
      </c>
      <c r="F103" s="9" t="str">
        <f aca="false">IF(E103&gt;$N$6,"YES","NO")</f>
        <v>NO</v>
      </c>
      <c r="G103" s="13" t="s">
        <v>13</v>
      </c>
    </row>
    <row r="104" customFormat="false" ht="15.75" hidden="false" customHeight="false" outlineLevel="0" collapsed="false">
      <c r="A104" s="11" t="n">
        <v>1187.053</v>
      </c>
      <c r="B104" s="11" t="str">
        <f aca="false">IF(A104&gt;$N$4,"YES","NO")</f>
        <v>NO</v>
      </c>
      <c r="C104" s="9" t="n">
        <v>36</v>
      </c>
      <c r="D104" s="9" t="str">
        <f aca="false">IF(C104&gt;$N$5,"YES","NO")</f>
        <v>NO</v>
      </c>
      <c r="E104" s="9" t="n">
        <v>24</v>
      </c>
      <c r="F104" s="9" t="str">
        <f aca="false">IF(E104&gt;$N$6,"YES","NO")</f>
        <v>NO</v>
      </c>
      <c r="G104" s="13" t="s">
        <v>13</v>
      </c>
    </row>
    <row r="105" customFormat="false" ht="15.75" hidden="false" customHeight="false" outlineLevel="0" collapsed="false">
      <c r="A105" s="11" t="n">
        <v>476.252</v>
      </c>
      <c r="B105" s="11" t="str">
        <f aca="false">IF(A105&gt;$N$4,"YES","NO")</f>
        <v>NO</v>
      </c>
      <c r="C105" s="9" t="n">
        <v>6</v>
      </c>
      <c r="D105" s="9" t="str">
        <f aca="false">IF(C105&gt;$N$5,"YES","NO")</f>
        <v>NO</v>
      </c>
      <c r="E105" s="9" t="n">
        <v>24</v>
      </c>
      <c r="F105" s="9" t="str">
        <f aca="false">IF(E105&gt;$N$6,"YES","NO")</f>
        <v>NO</v>
      </c>
      <c r="G105" s="13" t="s">
        <v>13</v>
      </c>
    </row>
    <row r="106" customFormat="false" ht="15.75" hidden="false" customHeight="false" outlineLevel="0" collapsed="false">
      <c r="A106" s="11" t="n">
        <v>980.609</v>
      </c>
      <c r="B106" s="11" t="str">
        <f aca="false">IF(A106&gt;$N$4,"YES","NO")</f>
        <v>NO</v>
      </c>
      <c r="C106" s="9" t="n">
        <v>9</v>
      </c>
      <c r="D106" s="9" t="str">
        <f aca="false">IF(C106&gt;$N$5,"YES","NO")</f>
        <v>NO</v>
      </c>
      <c r="E106" s="9" t="n">
        <v>35</v>
      </c>
      <c r="F106" s="9" t="str">
        <f aca="false">IF(E106&gt;$N$6,"YES","NO")</f>
        <v>NO</v>
      </c>
      <c r="G106" s="13" t="s">
        <v>13</v>
      </c>
    </row>
    <row r="107" customFormat="false" ht="15.75" hidden="false" customHeight="false" outlineLevel="0" collapsed="false">
      <c r="A107" s="11" t="n">
        <v>1249.395</v>
      </c>
      <c r="B107" s="11" t="str">
        <f aca="false">IF(A107&gt;$N$4,"YES","NO")</f>
        <v>NO</v>
      </c>
      <c r="C107" s="9" t="n">
        <v>12</v>
      </c>
      <c r="D107" s="9" t="str">
        <f aca="false">IF(C107&gt;$N$5,"YES","NO")</f>
        <v>NO</v>
      </c>
      <c r="E107" s="9" t="n">
        <v>26</v>
      </c>
      <c r="F107" s="9" t="str">
        <f aca="false">IF(E107&gt;$N$6,"YES","NO")</f>
        <v>NO</v>
      </c>
      <c r="G107" s="13" t="s">
        <v>13</v>
      </c>
    </row>
    <row r="108" customFormat="false" ht="15.75" hidden="false" customHeight="false" outlineLevel="0" collapsed="false">
      <c r="A108" s="11" t="n">
        <v>6100.318</v>
      </c>
      <c r="B108" s="11" t="str">
        <f aca="false">IF(A108&gt;$N$4,"YES","NO")</f>
        <v>YES</v>
      </c>
      <c r="C108" s="9" t="n">
        <v>24</v>
      </c>
      <c r="D108" s="9" t="str">
        <f aca="false">IF(C108&gt;$N$5,"YES","NO")</f>
        <v>NO</v>
      </c>
      <c r="E108" s="9" t="n">
        <v>39</v>
      </c>
      <c r="F108" s="9" t="str">
        <f aca="false">IF(E108&gt;$N$6,"YES","NO")</f>
        <v>NO</v>
      </c>
      <c r="G108" s="13" t="s">
        <v>16</v>
      </c>
    </row>
    <row r="109" customFormat="false" ht="15.75" hidden="false" customHeight="false" outlineLevel="0" collapsed="false">
      <c r="A109" s="11" t="n">
        <v>3300.038</v>
      </c>
      <c r="B109" s="11" t="str">
        <f aca="false">IF(A109&gt;$N$4,"YES","NO")</f>
        <v>NO</v>
      </c>
      <c r="C109" s="9" t="n">
        <v>18</v>
      </c>
      <c r="D109" s="9" t="str">
        <f aca="false">IF(C109&gt;$N$5,"YES","NO")</f>
        <v>NO</v>
      </c>
      <c r="E109" s="9" t="n">
        <v>39</v>
      </c>
      <c r="F109" s="9" t="str">
        <f aca="false">IF(E109&gt;$N$6,"YES","NO")</f>
        <v>NO</v>
      </c>
      <c r="G109" s="13" t="s">
        <v>16</v>
      </c>
    </row>
    <row r="110" customFormat="false" ht="15.75" hidden="false" customHeight="false" outlineLevel="0" collapsed="false">
      <c r="A110" s="11" t="n">
        <v>3105.858</v>
      </c>
      <c r="B110" s="11" t="str">
        <f aca="false">IF(A110&gt;$N$4,"YES","NO")</f>
        <v>NO</v>
      </c>
      <c r="C110" s="9" t="n">
        <v>12</v>
      </c>
      <c r="D110" s="9" t="str">
        <f aca="false">IF(C110&gt;$N$5,"YES","NO")</f>
        <v>NO</v>
      </c>
      <c r="E110" s="9" t="n">
        <v>32</v>
      </c>
      <c r="F110" s="9" t="str">
        <f aca="false">IF(E110&gt;$N$6,"YES","NO")</f>
        <v>NO</v>
      </c>
      <c r="G110" s="13" t="s">
        <v>13</v>
      </c>
    </row>
    <row r="111" customFormat="false" ht="15.75" hidden="false" customHeight="false" outlineLevel="0" collapsed="false">
      <c r="A111" s="11" t="n">
        <v>3945.431</v>
      </c>
      <c r="B111" s="11" t="str">
        <f aca="false">IF(A111&gt;$N$4,"YES","NO")</f>
        <v>NO</v>
      </c>
      <c r="C111" s="9" t="n">
        <v>24</v>
      </c>
      <c r="D111" s="9" t="str">
        <f aca="false">IF(C111&gt;$N$5,"YES","NO")</f>
        <v>NO</v>
      </c>
      <c r="E111" s="9" t="n">
        <v>30</v>
      </c>
      <c r="F111" s="9" t="str">
        <f aca="false">IF(E111&gt;$N$6,"YES","NO")</f>
        <v>NO</v>
      </c>
      <c r="G111" s="13" t="s">
        <v>13</v>
      </c>
    </row>
    <row r="112" customFormat="false" ht="15.75" hidden="false" customHeight="false" outlineLevel="0" collapsed="false">
      <c r="A112" s="11" t="n">
        <v>720.51</v>
      </c>
      <c r="B112" s="11" t="str">
        <f aca="false">IF(A112&gt;$N$4,"YES","NO")</f>
        <v>NO</v>
      </c>
      <c r="C112" s="9" t="n">
        <v>14</v>
      </c>
      <c r="D112" s="9" t="str">
        <f aca="false">IF(C112&gt;$N$5,"YES","NO")</f>
        <v>NO</v>
      </c>
      <c r="E112" s="9" t="n">
        <v>35</v>
      </c>
      <c r="F112" s="9" t="str">
        <f aca="false">IF(E112&gt;$N$6,"YES","NO")</f>
        <v>NO</v>
      </c>
      <c r="G112" s="13" t="s">
        <v>13</v>
      </c>
    </row>
    <row r="113" customFormat="false" ht="15.75" hidden="false" customHeight="false" outlineLevel="0" collapsed="false">
      <c r="A113" s="11" t="n">
        <v>740.439</v>
      </c>
      <c r="B113" s="11" t="str">
        <f aca="false">IF(A113&gt;$N$4,"YES","NO")</f>
        <v>NO</v>
      </c>
      <c r="C113" s="9" t="n">
        <v>6</v>
      </c>
      <c r="D113" s="9" t="str">
        <f aca="false">IF(C113&gt;$N$5,"YES","NO")</f>
        <v>NO</v>
      </c>
      <c r="E113" s="9" t="n">
        <v>31</v>
      </c>
      <c r="F113" s="9" t="str">
        <f aca="false">IF(E113&gt;$N$6,"YES","NO")</f>
        <v>NO</v>
      </c>
      <c r="G113" s="13" t="s">
        <v>13</v>
      </c>
    </row>
    <row r="114" customFormat="false" ht="15.75" hidden="false" customHeight="false" outlineLevel="0" collapsed="false">
      <c r="A114" s="11" t="n">
        <v>200.312</v>
      </c>
      <c r="B114" s="11" t="str">
        <f aca="false">IF(A114&gt;$N$4,"YES","NO")</f>
        <v>NO</v>
      </c>
      <c r="C114" s="9" t="n">
        <v>15</v>
      </c>
      <c r="D114" s="9" t="str">
        <f aca="false">IF(C114&gt;$N$5,"YES","NO")</f>
        <v>NO</v>
      </c>
      <c r="E114" s="9" t="n">
        <v>23</v>
      </c>
      <c r="F114" s="9" t="str">
        <f aca="false">IF(E114&gt;$N$6,"YES","NO")</f>
        <v>NO</v>
      </c>
      <c r="G114" s="13" t="s">
        <v>13</v>
      </c>
    </row>
    <row r="115" customFormat="false" ht="15.75" hidden="false" customHeight="false" outlineLevel="0" collapsed="false">
      <c r="A115" s="11" t="n">
        <v>3198.86</v>
      </c>
      <c r="B115" s="11" t="str">
        <f aca="false">IF(A115&gt;$N$4,"YES","NO")</f>
        <v>NO</v>
      </c>
      <c r="C115" s="9" t="n">
        <v>18</v>
      </c>
      <c r="D115" s="9" t="str">
        <f aca="false">IF(C115&gt;$N$5,"YES","NO")</f>
        <v>NO</v>
      </c>
      <c r="E115" s="9" t="n">
        <v>28</v>
      </c>
      <c r="F115" s="9" t="str">
        <f aca="false">IF(E115&gt;$N$6,"YES","NO")</f>
        <v>NO</v>
      </c>
      <c r="G115" s="13" t="s">
        <v>13</v>
      </c>
    </row>
    <row r="116" customFormat="false" ht="15.75" hidden="false" customHeight="false" outlineLevel="0" collapsed="false">
      <c r="A116" s="11" t="n">
        <v>4013.905</v>
      </c>
      <c r="B116" s="11" t="str">
        <f aca="false">IF(A116&gt;$N$4,"YES","NO")</f>
        <v>NO</v>
      </c>
      <c r="C116" s="9" t="n">
        <v>36</v>
      </c>
      <c r="D116" s="9" t="str">
        <f aca="false">IF(C116&gt;$N$5,"YES","NO")</f>
        <v>NO</v>
      </c>
      <c r="E116" s="9" t="n">
        <v>25</v>
      </c>
      <c r="F116" s="9" t="str">
        <f aca="false">IF(E116&gt;$N$6,"YES","NO")</f>
        <v>NO</v>
      </c>
      <c r="G116" s="13" t="s">
        <v>16</v>
      </c>
    </row>
    <row r="117" customFormat="false" ht="15.75" hidden="false" customHeight="false" outlineLevel="0" collapsed="false">
      <c r="A117" s="11" t="n">
        <v>858.48</v>
      </c>
      <c r="B117" s="11" t="str">
        <f aca="false">IF(A117&gt;$N$4,"YES","NO")</f>
        <v>NO</v>
      </c>
      <c r="C117" s="9" t="n">
        <v>12</v>
      </c>
      <c r="D117" s="9" t="str">
        <f aca="false">IF(C117&gt;$N$5,"YES","NO")</f>
        <v>NO</v>
      </c>
      <c r="E117" s="9" t="n">
        <v>35</v>
      </c>
      <c r="F117" s="9" t="str">
        <f aca="false">IF(E117&gt;$N$6,"YES","NO")</f>
        <v>NO</v>
      </c>
      <c r="G117" s="13" t="s">
        <v>13</v>
      </c>
    </row>
    <row r="118" customFormat="false" ht="15.75" hidden="false" customHeight="false" outlineLevel="0" collapsed="false">
      <c r="A118" s="11" t="n">
        <v>1828.358</v>
      </c>
      <c r="B118" s="11" t="str">
        <f aca="false">IF(A118&gt;$N$4,"YES","NO")</f>
        <v>NO</v>
      </c>
      <c r="C118" s="9" t="n">
        <v>48</v>
      </c>
      <c r="D118" s="9" t="str">
        <f aca="false">IF(C118&gt;$N$5,"YES","NO")</f>
        <v>YES</v>
      </c>
      <c r="E118" s="9" t="n">
        <v>47</v>
      </c>
      <c r="F118" s="9" t="str">
        <f aca="false">IF(E118&gt;$N$6,"YES","NO")</f>
        <v>NO</v>
      </c>
      <c r="G118" s="13" t="s">
        <v>13</v>
      </c>
    </row>
    <row r="119" customFormat="false" ht="15.75" hidden="false" customHeight="false" outlineLevel="0" collapsed="false">
      <c r="A119" s="11" t="n">
        <v>3665.914</v>
      </c>
      <c r="B119" s="11" t="str">
        <f aca="false">IF(A119&gt;$N$4,"YES","NO")</f>
        <v>NO</v>
      </c>
      <c r="C119" s="9" t="n">
        <v>42</v>
      </c>
      <c r="D119" s="9" t="str">
        <f aca="false">IF(C119&gt;$N$5,"YES","NO")</f>
        <v>NO</v>
      </c>
      <c r="E119" s="9" t="n">
        <v>30</v>
      </c>
      <c r="F119" s="9" t="str">
        <f aca="false">IF(E119&gt;$N$6,"YES","NO")</f>
        <v>NO</v>
      </c>
      <c r="G119" s="13" t="s">
        <v>16</v>
      </c>
    </row>
    <row r="120" customFormat="false" ht="15.75" hidden="false" customHeight="false" outlineLevel="0" collapsed="false">
      <c r="A120" s="11" t="n">
        <v>1089.452</v>
      </c>
      <c r="B120" s="11" t="str">
        <f aca="false">IF(A120&gt;$N$4,"YES","NO")</f>
        <v>NO</v>
      </c>
      <c r="C120" s="9" t="n">
        <v>10</v>
      </c>
      <c r="D120" s="9" t="str">
        <f aca="false">IF(C120&gt;$N$5,"YES","NO")</f>
        <v>NO</v>
      </c>
      <c r="E120" s="9" t="n">
        <v>27</v>
      </c>
      <c r="F120" s="9" t="str">
        <f aca="false">IF(E120&gt;$N$6,"YES","NO")</f>
        <v>NO</v>
      </c>
      <c r="G120" s="13" t="s">
        <v>13</v>
      </c>
    </row>
    <row r="121" customFormat="false" ht="15.75" hidden="false" customHeight="false" outlineLevel="0" collapsed="false">
      <c r="A121" s="11" t="n">
        <v>2187.591</v>
      </c>
      <c r="B121" s="11" t="str">
        <f aca="false">IF(A121&gt;$N$4,"YES","NO")</f>
        <v>NO</v>
      </c>
      <c r="C121" s="9" t="n">
        <v>33</v>
      </c>
      <c r="D121" s="9" t="str">
        <f aca="false">IF(C121&gt;$N$5,"YES","NO")</f>
        <v>NO</v>
      </c>
      <c r="E121" s="9" t="n">
        <v>23</v>
      </c>
      <c r="F121" s="9" t="str">
        <f aca="false">IF(E121&gt;$N$6,"YES","NO")</f>
        <v>NO</v>
      </c>
      <c r="G121" s="13" t="s">
        <v>16</v>
      </c>
    </row>
    <row r="122" customFormat="false" ht="15.75" hidden="false" customHeight="false" outlineLevel="0" collapsed="false">
      <c r="A122" s="11" t="n">
        <v>1209.026</v>
      </c>
      <c r="B122" s="11" t="str">
        <f aca="false">IF(A122&gt;$N$4,"YES","NO")</f>
        <v>NO</v>
      </c>
      <c r="C122" s="9" t="n">
        <v>12</v>
      </c>
      <c r="D122" s="9" t="str">
        <f aca="false">IF(C122&gt;$N$5,"YES","NO")</f>
        <v>NO</v>
      </c>
      <c r="E122" s="9" t="n">
        <v>36</v>
      </c>
      <c r="F122" s="9" t="str">
        <f aca="false">IF(E122&gt;$N$6,"YES","NO")</f>
        <v>NO</v>
      </c>
      <c r="G122" s="13" t="s">
        <v>13</v>
      </c>
    </row>
    <row r="123" customFormat="false" ht="15.75" hidden="false" customHeight="false" outlineLevel="0" collapsed="false">
      <c r="A123" s="11" t="n">
        <v>937.685</v>
      </c>
      <c r="B123" s="11" t="str">
        <f aca="false">IF(A123&gt;$N$4,"YES","NO")</f>
        <v>NO</v>
      </c>
      <c r="C123" s="9" t="n">
        <v>21</v>
      </c>
      <c r="D123" s="9" t="str">
        <f aca="false">IF(C123&gt;$N$5,"YES","NO")</f>
        <v>NO</v>
      </c>
      <c r="E123" s="9" t="n">
        <v>25</v>
      </c>
      <c r="F123" s="9" t="str">
        <f aca="false">IF(E123&gt;$N$6,"YES","NO")</f>
        <v>NO</v>
      </c>
      <c r="G123" s="13" t="s">
        <v>16</v>
      </c>
    </row>
    <row r="124" customFormat="false" ht="15.75" hidden="false" customHeight="false" outlineLevel="0" collapsed="false">
      <c r="A124" s="11" t="n">
        <v>1976.548</v>
      </c>
      <c r="B124" s="11" t="str">
        <f aca="false">IF(A124&gt;$N$4,"YES","NO")</f>
        <v>NO</v>
      </c>
      <c r="C124" s="9" t="n">
        <v>24</v>
      </c>
      <c r="D124" s="9" t="str">
        <f aca="false">IF(C124&gt;$N$5,"YES","NO")</f>
        <v>NO</v>
      </c>
      <c r="E124" s="9" t="n">
        <v>41</v>
      </c>
      <c r="F124" s="9" t="str">
        <f aca="false">IF(E124&gt;$N$6,"YES","NO")</f>
        <v>NO</v>
      </c>
      <c r="G124" s="13" t="s">
        <v>13</v>
      </c>
    </row>
    <row r="125" customFormat="false" ht="15.75" hidden="false" customHeight="false" outlineLevel="0" collapsed="false">
      <c r="A125" s="11" t="n">
        <v>903.448</v>
      </c>
      <c r="B125" s="11" t="str">
        <f aca="false">IF(A125&gt;$N$4,"YES","NO")</f>
        <v>NO</v>
      </c>
      <c r="C125" s="9" t="n">
        <v>12</v>
      </c>
      <c r="D125" s="9" t="str">
        <f aca="false">IF(C125&gt;$N$5,"YES","NO")</f>
        <v>NO</v>
      </c>
      <c r="E125" s="9" t="n">
        <v>24</v>
      </c>
      <c r="F125" s="9" t="str">
        <f aca="false">IF(E125&gt;$N$6,"YES","NO")</f>
        <v>NO</v>
      </c>
      <c r="G125" s="13" t="s">
        <v>13</v>
      </c>
    </row>
    <row r="126" customFormat="false" ht="15.75" hidden="false" customHeight="false" outlineLevel="0" collapsed="false">
      <c r="A126" s="11" t="n">
        <v>399.091</v>
      </c>
      <c r="B126" s="11" t="str">
        <f aca="false">IF(A126&gt;$N$4,"YES","NO")</f>
        <v>NO</v>
      </c>
      <c r="C126" s="9" t="n">
        <v>10</v>
      </c>
      <c r="D126" s="9" t="str">
        <f aca="false">IF(C126&gt;$N$5,"YES","NO")</f>
        <v>NO</v>
      </c>
      <c r="E126" s="9" t="n">
        <v>63</v>
      </c>
      <c r="F126" s="9" t="str">
        <f aca="false">IF(E126&gt;$N$6,"YES","NO")</f>
        <v>NO</v>
      </c>
      <c r="G126" s="13" t="s">
        <v>13</v>
      </c>
    </row>
    <row r="127" customFormat="false" ht="15.75" hidden="false" customHeight="false" outlineLevel="0" collapsed="false">
      <c r="A127" s="11" t="n">
        <v>983.164</v>
      </c>
      <c r="B127" s="11" t="str">
        <f aca="false">IF(A127&gt;$N$4,"YES","NO")</f>
        <v>NO</v>
      </c>
      <c r="C127" s="9" t="n">
        <v>18</v>
      </c>
      <c r="D127" s="9" t="str">
        <f aca="false">IF(C127&gt;$N$5,"YES","NO")</f>
        <v>NO</v>
      </c>
      <c r="E127" s="9" t="n">
        <v>27</v>
      </c>
      <c r="F127" s="9" t="str">
        <f aca="false">IF(E127&gt;$N$6,"YES","NO")</f>
        <v>NO</v>
      </c>
      <c r="G127" s="13" t="s">
        <v>16</v>
      </c>
    </row>
    <row r="128" customFormat="false" ht="15.75" hidden="false" customHeight="false" outlineLevel="0" collapsed="false">
      <c r="A128" s="11" t="n">
        <v>1083.831</v>
      </c>
      <c r="B128" s="11" t="str">
        <f aca="false">IF(A128&gt;$N$4,"YES","NO")</f>
        <v>NO</v>
      </c>
      <c r="C128" s="9" t="n">
        <v>12</v>
      </c>
      <c r="D128" s="9" t="str">
        <f aca="false">IF(C128&gt;$N$5,"YES","NO")</f>
        <v>NO</v>
      </c>
      <c r="E128" s="9" t="n">
        <v>30</v>
      </c>
      <c r="F128" s="9" t="str">
        <f aca="false">IF(E128&gt;$N$6,"YES","NO")</f>
        <v>NO</v>
      </c>
      <c r="G128" s="13" t="s">
        <v>13</v>
      </c>
    </row>
    <row r="129" customFormat="false" ht="15.75" hidden="false" customHeight="false" outlineLevel="0" collapsed="false">
      <c r="A129" s="11" t="n">
        <v>358.211</v>
      </c>
      <c r="B129" s="11" t="str">
        <f aca="false">IF(A129&gt;$N$4,"YES","NO")</f>
        <v>NO</v>
      </c>
      <c r="C129" s="9" t="n">
        <v>12</v>
      </c>
      <c r="D129" s="9" t="str">
        <f aca="false">IF(C129&gt;$N$5,"YES","NO")</f>
        <v>NO</v>
      </c>
      <c r="E129" s="9" t="n">
        <v>40</v>
      </c>
      <c r="F129" s="9" t="str">
        <f aca="false">IF(E129&gt;$N$6,"YES","NO")</f>
        <v>NO</v>
      </c>
      <c r="G129" s="13" t="s">
        <v>13</v>
      </c>
    </row>
    <row r="130" customFormat="false" ht="15.75" hidden="false" customHeight="false" outlineLevel="0" collapsed="false">
      <c r="A130" s="11" t="n">
        <v>326.529</v>
      </c>
      <c r="B130" s="11" t="str">
        <f aca="false">IF(A130&gt;$N$4,"YES","NO")</f>
        <v>NO</v>
      </c>
      <c r="C130" s="9" t="n">
        <v>12</v>
      </c>
      <c r="D130" s="9" t="str">
        <f aca="false">IF(C130&gt;$N$5,"YES","NO")</f>
        <v>NO</v>
      </c>
      <c r="E130" s="9" t="n">
        <v>30</v>
      </c>
      <c r="F130" s="9" t="str">
        <f aca="false">IF(E130&gt;$N$6,"YES","NO")</f>
        <v>NO</v>
      </c>
      <c r="G130" s="13" t="s">
        <v>16</v>
      </c>
    </row>
    <row r="131" customFormat="false" ht="15.75" hidden="false" customHeight="false" outlineLevel="0" collapsed="false">
      <c r="A131" s="11" t="n">
        <v>950.46</v>
      </c>
      <c r="B131" s="11" t="str">
        <f aca="false">IF(A131&gt;$N$4,"YES","NO")</f>
        <v>NO</v>
      </c>
      <c r="C131" s="9" t="n">
        <v>12</v>
      </c>
      <c r="D131" s="9" t="str">
        <f aca="false">IF(C131&gt;$N$5,"YES","NO")</f>
        <v>NO</v>
      </c>
      <c r="E131" s="9" t="n">
        <v>34</v>
      </c>
      <c r="F131" s="9" t="str">
        <f aca="false">IF(E131&gt;$N$6,"YES","NO")</f>
        <v>NO</v>
      </c>
      <c r="G131" s="13" t="s">
        <v>13</v>
      </c>
    </row>
    <row r="132" customFormat="false" ht="15.75" hidden="false" customHeight="false" outlineLevel="0" collapsed="false">
      <c r="A132" s="11" t="n">
        <v>1787.989</v>
      </c>
      <c r="B132" s="11" t="str">
        <f aca="false">IF(A132&gt;$N$4,"YES","NO")</f>
        <v>NO</v>
      </c>
      <c r="C132" s="9" t="n">
        <v>12</v>
      </c>
      <c r="D132" s="9" t="str">
        <f aca="false">IF(C132&gt;$N$5,"YES","NO")</f>
        <v>NO</v>
      </c>
      <c r="E132" s="9" t="n">
        <v>29</v>
      </c>
      <c r="F132" s="9" t="str">
        <f aca="false">IF(E132&gt;$N$6,"YES","NO")</f>
        <v>NO</v>
      </c>
      <c r="G132" s="13" t="s">
        <v>16</v>
      </c>
    </row>
    <row r="133" customFormat="false" ht="15.75" hidden="false" customHeight="false" outlineLevel="0" collapsed="false">
      <c r="A133" s="11" t="n">
        <v>4336.857</v>
      </c>
      <c r="B133" s="11" t="str">
        <f aca="false">IF(A133&gt;$N$4,"YES","NO")</f>
        <v>YES</v>
      </c>
      <c r="C133" s="9" t="n">
        <v>48</v>
      </c>
      <c r="D133" s="9" t="str">
        <f aca="false">IF(C133&gt;$N$5,"YES","NO")</f>
        <v>YES</v>
      </c>
      <c r="E133" s="9" t="n">
        <v>24</v>
      </c>
      <c r="F133" s="9" t="str">
        <f aca="false">IF(E133&gt;$N$6,"YES","NO")</f>
        <v>NO</v>
      </c>
      <c r="G133" s="13" t="s">
        <v>13</v>
      </c>
    </row>
    <row r="134" customFormat="false" ht="15.75" hidden="false" customHeight="false" outlineLevel="0" collapsed="false">
      <c r="A134" s="11" t="n">
        <v>3519.257</v>
      </c>
      <c r="B134" s="11" t="str">
        <f aca="false">IF(A134&gt;$N$4,"YES","NO")</f>
        <v>NO</v>
      </c>
      <c r="C134" s="9" t="n">
        <v>36</v>
      </c>
      <c r="D134" s="9" t="str">
        <f aca="false">IF(C134&gt;$N$5,"YES","NO")</f>
        <v>NO</v>
      </c>
      <c r="E134" s="9" t="n">
        <v>29</v>
      </c>
      <c r="F134" s="9" t="str">
        <f aca="false">IF(E134&gt;$N$6,"YES","NO")</f>
        <v>NO</v>
      </c>
      <c r="G134" s="13" t="s">
        <v>16</v>
      </c>
    </row>
    <row r="135" customFormat="false" ht="15.75" hidden="false" customHeight="false" outlineLevel="0" collapsed="false">
      <c r="A135" s="11" t="n">
        <v>1383.788</v>
      </c>
      <c r="B135" s="11" t="str">
        <f aca="false">IF(A135&gt;$N$4,"YES","NO")</f>
        <v>NO</v>
      </c>
      <c r="C135" s="9" t="n">
        <v>15</v>
      </c>
      <c r="D135" s="9" t="str">
        <f aca="false">IF(C135&gt;$N$5,"YES","NO")</f>
        <v>NO</v>
      </c>
      <c r="E135" s="9" t="n">
        <v>27</v>
      </c>
      <c r="F135" s="9" t="str">
        <f aca="false">IF(E135&gt;$N$6,"YES","NO")</f>
        <v>NO</v>
      </c>
      <c r="G135" s="13" t="s">
        <v>13</v>
      </c>
    </row>
    <row r="136" customFormat="false" ht="15.75" hidden="false" customHeight="false" outlineLevel="0" collapsed="false">
      <c r="A136" s="11" t="n">
        <v>1013.824</v>
      </c>
      <c r="B136" s="11" t="str">
        <f aca="false">IF(A136&gt;$N$4,"YES","NO")</f>
        <v>NO</v>
      </c>
      <c r="C136" s="9" t="n">
        <v>18</v>
      </c>
      <c r="D136" s="9" t="str">
        <f aca="false">IF(C136&gt;$N$5,"YES","NO")</f>
        <v>NO</v>
      </c>
      <c r="E136" s="9" t="n">
        <v>47</v>
      </c>
      <c r="F136" s="9" t="str">
        <f aca="false">IF(E136&gt;$N$6,"YES","NO")</f>
        <v>NO</v>
      </c>
      <c r="G136" s="13" t="s">
        <v>13</v>
      </c>
    </row>
    <row r="137" customFormat="false" ht="15.75" hidden="false" customHeight="false" outlineLevel="0" collapsed="false">
      <c r="A137" s="11" t="n">
        <v>5183.584</v>
      </c>
      <c r="B137" s="11" t="str">
        <f aca="false">IF(A137&gt;$N$4,"YES","NO")</f>
        <v>YES</v>
      </c>
      <c r="C137" s="9" t="n">
        <v>60</v>
      </c>
      <c r="D137" s="9" t="str">
        <f aca="false">IF(C137&gt;$N$5,"YES","NO")</f>
        <v>YES</v>
      </c>
      <c r="E137" s="9" t="n">
        <v>21</v>
      </c>
      <c r="F137" s="9" t="str">
        <f aca="false">IF(E137&gt;$N$6,"YES","NO")</f>
        <v>NO</v>
      </c>
      <c r="G137" s="13" t="s">
        <v>13</v>
      </c>
    </row>
    <row r="138" customFormat="false" ht="15.75" hidden="false" customHeight="false" outlineLevel="0" collapsed="false">
      <c r="A138" s="11" t="n">
        <v>633.64</v>
      </c>
      <c r="B138" s="11" t="str">
        <f aca="false">IF(A138&gt;$N$4,"YES","NO")</f>
        <v>NO</v>
      </c>
      <c r="C138" s="9" t="n">
        <v>12</v>
      </c>
      <c r="D138" s="9" t="str">
        <f aca="false">IF(C138&gt;$N$5,"YES","NO")</f>
        <v>NO</v>
      </c>
      <c r="E138" s="9" t="n">
        <v>38</v>
      </c>
      <c r="F138" s="9" t="str">
        <f aca="false">IF(E138&gt;$N$6,"YES","NO")</f>
        <v>NO</v>
      </c>
      <c r="G138" s="13" t="s">
        <v>13</v>
      </c>
    </row>
    <row r="139" customFormat="false" ht="15.75" hidden="false" customHeight="false" outlineLevel="0" collapsed="false">
      <c r="A139" s="11" t="n">
        <v>4401.243</v>
      </c>
      <c r="B139" s="11" t="str">
        <f aca="false">IF(A139&gt;$N$4,"YES","NO")</f>
        <v>YES</v>
      </c>
      <c r="C139" s="9" t="n">
        <v>27</v>
      </c>
      <c r="D139" s="9" t="str">
        <f aca="false">IF(C139&gt;$N$5,"YES","NO")</f>
        <v>NO</v>
      </c>
      <c r="E139" s="9" t="n">
        <v>27</v>
      </c>
      <c r="F139" s="9" t="str">
        <f aca="false">IF(E139&gt;$N$6,"YES","NO")</f>
        <v>NO</v>
      </c>
      <c r="G139" s="13" t="s">
        <v>13</v>
      </c>
    </row>
    <row r="140" customFormat="false" ht="15.75" hidden="false" customHeight="false" outlineLevel="0" collapsed="false">
      <c r="A140" s="11" t="n">
        <v>391.426</v>
      </c>
      <c r="B140" s="11" t="str">
        <f aca="false">IF(A140&gt;$N$4,"YES","NO")</f>
        <v>NO</v>
      </c>
      <c r="C140" s="9" t="n">
        <v>12</v>
      </c>
      <c r="D140" s="9" t="str">
        <f aca="false">IF(C140&gt;$N$5,"YES","NO")</f>
        <v>NO</v>
      </c>
      <c r="E140" s="9" t="n">
        <v>66</v>
      </c>
      <c r="F140" s="9" t="str">
        <f aca="false">IF(E140&gt;$N$6,"YES","NO")</f>
        <v>YES</v>
      </c>
      <c r="G140" s="13" t="s">
        <v>16</v>
      </c>
    </row>
    <row r="141" customFormat="false" ht="15.75" hidden="false" customHeight="false" outlineLevel="0" collapsed="false">
      <c r="A141" s="11" t="n">
        <v>1394.008</v>
      </c>
      <c r="B141" s="11" t="str">
        <f aca="false">IF(A141&gt;$N$4,"YES","NO")</f>
        <v>NO</v>
      </c>
      <c r="C141" s="9" t="n">
        <v>15</v>
      </c>
      <c r="D141" s="9" t="str">
        <f aca="false">IF(C141&gt;$N$5,"YES","NO")</f>
        <v>NO</v>
      </c>
      <c r="E141" s="9" t="n">
        <v>35</v>
      </c>
      <c r="F141" s="9" t="str">
        <f aca="false">IF(E141&gt;$N$6,"YES","NO")</f>
        <v>NO</v>
      </c>
      <c r="G141" s="13" t="s">
        <v>13</v>
      </c>
    </row>
    <row r="142" customFormat="false" ht="15.75" hidden="false" customHeight="false" outlineLevel="0" collapsed="false">
      <c r="A142" s="11" t="n">
        <v>961.191</v>
      </c>
      <c r="B142" s="11" t="str">
        <f aca="false">IF(A142&gt;$N$4,"YES","NO")</f>
        <v>NO</v>
      </c>
      <c r="C142" s="9" t="n">
        <v>12</v>
      </c>
      <c r="D142" s="9" t="str">
        <f aca="false">IF(C142&gt;$N$5,"YES","NO")</f>
        <v>NO</v>
      </c>
      <c r="E142" s="9" t="n">
        <v>44</v>
      </c>
      <c r="F142" s="9" t="str">
        <f aca="false">IF(E142&gt;$N$6,"YES","NO")</f>
        <v>NO</v>
      </c>
      <c r="G142" s="13" t="s">
        <v>13</v>
      </c>
    </row>
    <row r="143" customFormat="false" ht="15.75" hidden="false" customHeight="false" outlineLevel="0" collapsed="false">
      <c r="A143" s="11" t="n">
        <v>362.299</v>
      </c>
      <c r="B143" s="11" t="str">
        <f aca="false">IF(A143&gt;$N$4,"YES","NO")</f>
        <v>NO</v>
      </c>
      <c r="C143" s="9" t="n">
        <v>6</v>
      </c>
      <c r="D143" s="9" t="str">
        <f aca="false">IF(C143&gt;$N$5,"YES","NO")</f>
        <v>NO</v>
      </c>
      <c r="E143" s="9" t="n">
        <v>27</v>
      </c>
      <c r="F143" s="9" t="str">
        <f aca="false">IF(E143&gt;$N$6,"YES","NO")</f>
        <v>NO</v>
      </c>
      <c r="G143" s="13" t="s">
        <v>13</v>
      </c>
    </row>
    <row r="144" customFormat="false" ht="15.75" hidden="false" customHeight="false" outlineLevel="0" collapsed="false">
      <c r="A144" s="11" t="n">
        <v>2450.245</v>
      </c>
      <c r="B144" s="11" t="str">
        <f aca="false">IF(A144&gt;$N$4,"YES","NO")</f>
        <v>NO</v>
      </c>
      <c r="C144" s="9" t="n">
        <v>36</v>
      </c>
      <c r="D144" s="9" t="str">
        <f aca="false">IF(C144&gt;$N$5,"YES","NO")</f>
        <v>NO</v>
      </c>
      <c r="E144" s="9" t="n">
        <v>30</v>
      </c>
      <c r="F144" s="9" t="str">
        <f aca="false">IF(E144&gt;$N$6,"YES","NO")</f>
        <v>NO</v>
      </c>
      <c r="G144" s="13" t="s">
        <v>13</v>
      </c>
    </row>
    <row r="145" customFormat="false" ht="15.75" hidden="false" customHeight="false" outlineLevel="0" collapsed="false">
      <c r="A145" s="11" t="n">
        <v>1745.576</v>
      </c>
      <c r="B145" s="11" t="str">
        <f aca="false">IF(A145&gt;$N$4,"YES","NO")</f>
        <v>NO</v>
      </c>
      <c r="C145" s="9" t="n">
        <v>27</v>
      </c>
      <c r="D145" s="9" t="str">
        <f aca="false">IF(C145&gt;$N$5,"YES","NO")</f>
        <v>NO</v>
      </c>
      <c r="E145" s="9" t="n">
        <v>27</v>
      </c>
      <c r="F145" s="9" t="str">
        <f aca="false">IF(E145&gt;$N$6,"YES","NO")</f>
        <v>NO</v>
      </c>
      <c r="G145" s="13" t="s">
        <v>13</v>
      </c>
    </row>
    <row r="146" customFormat="false" ht="15.75" hidden="false" customHeight="false" outlineLevel="0" collapsed="false">
      <c r="A146" s="11" t="n">
        <v>1258.082</v>
      </c>
      <c r="B146" s="11" t="str">
        <f aca="false">IF(A146&gt;$N$4,"YES","NO")</f>
        <v>NO</v>
      </c>
      <c r="C146" s="9" t="n">
        <v>18</v>
      </c>
      <c r="D146" s="9" t="str">
        <f aca="false">IF(C146&gt;$N$5,"YES","NO")</f>
        <v>NO</v>
      </c>
      <c r="E146" s="9" t="n">
        <v>22</v>
      </c>
      <c r="F146" s="9" t="str">
        <f aca="false">IF(E146&gt;$N$6,"YES","NO")</f>
        <v>NO</v>
      </c>
      <c r="G146" s="13" t="s">
        <v>16</v>
      </c>
    </row>
    <row r="147" customFormat="false" ht="15.75" hidden="false" customHeight="false" outlineLevel="0" collapsed="false">
      <c r="A147" s="11" t="n">
        <v>1169.168</v>
      </c>
      <c r="B147" s="11" t="str">
        <f aca="false">IF(A147&gt;$N$4,"YES","NO")</f>
        <v>NO</v>
      </c>
      <c r="C147" s="9" t="n">
        <v>21</v>
      </c>
      <c r="D147" s="9" t="str">
        <f aca="false">IF(C147&gt;$N$5,"YES","NO")</f>
        <v>NO</v>
      </c>
      <c r="E147" s="9" t="n">
        <v>23</v>
      </c>
      <c r="F147" s="9" t="str">
        <f aca="false">IF(E147&gt;$N$6,"YES","NO")</f>
        <v>NO</v>
      </c>
      <c r="G147" s="13" t="s">
        <v>13</v>
      </c>
    </row>
    <row r="148" customFormat="false" ht="15.75" hidden="false" customHeight="false" outlineLevel="0" collapsed="false">
      <c r="A148" s="11" t="n">
        <v>1822.226</v>
      </c>
      <c r="B148" s="11" t="str">
        <f aca="false">IF(A148&gt;$N$4,"YES","NO")</f>
        <v>NO</v>
      </c>
      <c r="C148" s="9" t="n">
        <v>48</v>
      </c>
      <c r="D148" s="9" t="str">
        <f aca="false">IF(C148&gt;$N$5,"YES","NO")</f>
        <v>YES</v>
      </c>
      <c r="E148" s="9" t="n">
        <v>30</v>
      </c>
      <c r="F148" s="9" t="str">
        <f aca="false">IF(E148&gt;$N$6,"YES","NO")</f>
        <v>NO</v>
      </c>
      <c r="G148" s="13" t="s">
        <v>13</v>
      </c>
    </row>
    <row r="149" customFormat="false" ht="15.75" hidden="false" customHeight="false" outlineLevel="0" collapsed="false">
      <c r="A149" s="11" t="n">
        <v>439.46</v>
      </c>
      <c r="B149" s="11" t="str">
        <f aca="false">IF(A149&gt;$N$4,"YES","NO")</f>
        <v>NO</v>
      </c>
      <c r="C149" s="9" t="n">
        <v>6</v>
      </c>
      <c r="D149" s="9" t="str">
        <f aca="false">IF(C149&gt;$N$5,"YES","NO")</f>
        <v>NO</v>
      </c>
      <c r="E149" s="9" t="n">
        <v>39</v>
      </c>
      <c r="F149" s="9" t="str">
        <f aca="false">IF(E149&gt;$N$6,"YES","NO")</f>
        <v>NO</v>
      </c>
      <c r="G149" s="13" t="s">
        <v>13</v>
      </c>
    </row>
    <row r="150" customFormat="false" ht="15.75" hidden="false" customHeight="false" outlineLevel="0" collapsed="false">
      <c r="A150" s="11" t="n">
        <v>348.502</v>
      </c>
      <c r="B150" s="11" t="str">
        <f aca="false">IF(A150&gt;$N$4,"YES","NO")</f>
        <v>NO</v>
      </c>
      <c r="C150" s="9" t="n">
        <v>12</v>
      </c>
      <c r="D150" s="9" t="str">
        <f aca="false">IF(C150&gt;$N$5,"YES","NO")</f>
        <v>NO</v>
      </c>
      <c r="E150" s="9" t="n">
        <v>51</v>
      </c>
      <c r="F150" s="9" t="str">
        <f aca="false">IF(E150&gt;$N$6,"YES","NO")</f>
        <v>NO</v>
      </c>
      <c r="G150" s="13" t="s">
        <v>13</v>
      </c>
    </row>
    <row r="151" customFormat="false" ht="15.75" hidden="false" customHeight="false" outlineLevel="0" collapsed="false">
      <c r="A151" s="11" t="n">
        <v>2744.581</v>
      </c>
      <c r="B151" s="11" t="str">
        <f aca="false">IF(A151&gt;$N$4,"YES","NO")</f>
        <v>NO</v>
      </c>
      <c r="C151" s="9" t="n">
        <v>36</v>
      </c>
      <c r="D151" s="9" t="str">
        <f aca="false">IF(C151&gt;$N$5,"YES","NO")</f>
        <v>NO</v>
      </c>
      <c r="E151" s="9" t="n">
        <v>28</v>
      </c>
      <c r="F151" s="9" t="str">
        <f aca="false">IF(E151&gt;$N$6,"YES","NO")</f>
        <v>NO</v>
      </c>
      <c r="G151" s="13" t="s">
        <v>13</v>
      </c>
    </row>
    <row r="152" customFormat="false" ht="15.75" hidden="false" customHeight="false" outlineLevel="0" collapsed="false">
      <c r="A152" s="11" t="n">
        <v>808.402</v>
      </c>
      <c r="B152" s="11" t="str">
        <f aca="false">IF(A152&gt;$N$4,"YES","NO")</f>
        <v>NO</v>
      </c>
      <c r="C152" s="9" t="n">
        <v>18</v>
      </c>
      <c r="D152" s="9" t="str">
        <f aca="false">IF(C152&gt;$N$5,"YES","NO")</f>
        <v>NO</v>
      </c>
      <c r="E152" s="9" t="n">
        <v>46</v>
      </c>
      <c r="F152" s="9" t="str">
        <f aca="false">IF(E152&gt;$N$6,"YES","NO")</f>
        <v>NO</v>
      </c>
      <c r="G152" s="13" t="s">
        <v>13</v>
      </c>
    </row>
    <row r="153" customFormat="false" ht="15.75" hidden="false" customHeight="false" outlineLevel="0" collapsed="false">
      <c r="A153" s="11" t="n">
        <v>687.806</v>
      </c>
      <c r="B153" s="11" t="str">
        <f aca="false">IF(A153&gt;$N$4,"YES","NO")</f>
        <v>NO</v>
      </c>
      <c r="C153" s="9" t="n">
        <v>6</v>
      </c>
      <c r="D153" s="9" t="str">
        <f aca="false">IF(C153&gt;$N$5,"YES","NO")</f>
        <v>NO</v>
      </c>
      <c r="E153" s="9" t="n">
        <v>42</v>
      </c>
      <c r="F153" s="9" t="str">
        <f aca="false">IF(E153&gt;$N$6,"YES","NO")</f>
        <v>NO</v>
      </c>
      <c r="G153" s="13" t="s">
        <v>13</v>
      </c>
    </row>
    <row r="154" customFormat="false" ht="15.75" hidden="false" customHeight="false" outlineLevel="0" collapsed="false">
      <c r="A154" s="11" t="n">
        <v>983.164</v>
      </c>
      <c r="B154" s="11" t="str">
        <f aca="false">IF(A154&gt;$N$4,"YES","NO")</f>
        <v>NO</v>
      </c>
      <c r="C154" s="9" t="n">
        <v>10</v>
      </c>
      <c r="D154" s="9" t="str">
        <f aca="false">IF(C154&gt;$N$5,"YES","NO")</f>
        <v>NO</v>
      </c>
      <c r="E154" s="9" t="n">
        <v>38</v>
      </c>
      <c r="F154" s="9" t="str">
        <f aca="false">IF(E154&gt;$N$6,"YES","NO")</f>
        <v>NO</v>
      </c>
      <c r="G154" s="13" t="s">
        <v>13</v>
      </c>
    </row>
    <row r="155" customFormat="false" ht="15.75" hidden="false" customHeight="false" outlineLevel="0" collapsed="false">
      <c r="A155" s="11" t="n">
        <v>2988.328</v>
      </c>
      <c r="B155" s="11" t="str">
        <f aca="false">IF(A155&gt;$N$4,"YES","NO")</f>
        <v>NO</v>
      </c>
      <c r="C155" s="9" t="n">
        <v>36</v>
      </c>
      <c r="D155" s="9" t="str">
        <f aca="false">IF(C155&gt;$N$5,"YES","NO")</f>
        <v>NO</v>
      </c>
      <c r="E155" s="9" t="n">
        <v>24</v>
      </c>
      <c r="F155" s="9" t="str">
        <f aca="false">IF(E155&gt;$N$6,"YES","NO")</f>
        <v>NO</v>
      </c>
      <c r="G155" s="13" t="s">
        <v>13</v>
      </c>
    </row>
    <row r="156" customFormat="false" ht="15.75" hidden="false" customHeight="false" outlineLevel="0" collapsed="false">
      <c r="A156" s="11" t="n">
        <v>3964.338</v>
      </c>
      <c r="B156" s="11" t="str">
        <f aca="false">IF(A156&gt;$N$4,"YES","NO")</f>
        <v>NO</v>
      </c>
      <c r="C156" s="9" t="n">
        <v>24</v>
      </c>
      <c r="D156" s="9" t="str">
        <f aca="false">IF(C156&gt;$N$5,"YES","NO")</f>
        <v>NO</v>
      </c>
      <c r="E156" s="9" t="n">
        <v>29</v>
      </c>
      <c r="F156" s="9" t="str">
        <f aca="false">IF(E156&gt;$N$6,"YES","NO")</f>
        <v>NO</v>
      </c>
      <c r="G156" s="13" t="s">
        <v>13</v>
      </c>
    </row>
    <row r="157" customFormat="false" ht="15.75" hidden="false" customHeight="false" outlineLevel="0" collapsed="false">
      <c r="A157" s="11" t="n">
        <v>3560.137</v>
      </c>
      <c r="B157" s="11" t="str">
        <f aca="false">IF(A157&gt;$N$4,"YES","NO")</f>
        <v>NO</v>
      </c>
      <c r="C157" s="9" t="n">
        <v>24</v>
      </c>
      <c r="D157" s="9" t="str">
        <f aca="false">IF(C157&gt;$N$5,"YES","NO")</f>
        <v>NO</v>
      </c>
      <c r="E157" s="9" t="n">
        <v>36</v>
      </c>
      <c r="F157" s="9" t="str">
        <f aca="false">IF(E157&gt;$N$6,"YES","NO")</f>
        <v>NO</v>
      </c>
      <c r="G157" s="13" t="s">
        <v>13</v>
      </c>
    </row>
    <row r="158" customFormat="false" ht="15.75" hidden="false" customHeight="false" outlineLevel="0" collapsed="false">
      <c r="A158" s="11" t="n">
        <v>655.102</v>
      </c>
      <c r="B158" s="11" t="str">
        <f aca="false">IF(A158&gt;$N$4,"YES","NO")</f>
        <v>NO</v>
      </c>
      <c r="C158" s="9" t="n">
        <v>12</v>
      </c>
      <c r="D158" s="9" t="str">
        <f aca="false">IF(C158&gt;$N$5,"YES","NO")</f>
        <v>NO</v>
      </c>
      <c r="E158" s="9" t="n">
        <v>20</v>
      </c>
      <c r="F158" s="9" t="str">
        <f aca="false">IF(E158&gt;$N$6,"YES","NO")</f>
        <v>NO</v>
      </c>
      <c r="G158" s="13" t="s">
        <v>16</v>
      </c>
    </row>
    <row r="159" customFormat="false" ht="15.75" hidden="false" customHeight="false" outlineLevel="0" collapsed="false">
      <c r="A159" s="11" t="n">
        <v>658.168</v>
      </c>
      <c r="B159" s="11" t="str">
        <f aca="false">IF(A159&gt;$N$4,"YES","NO")</f>
        <v>NO</v>
      </c>
      <c r="C159" s="9" t="n">
        <v>9</v>
      </c>
      <c r="D159" s="9" t="str">
        <f aca="false">IF(C159&gt;$N$5,"YES","NO")</f>
        <v>NO</v>
      </c>
      <c r="E159" s="9" t="n">
        <v>48</v>
      </c>
      <c r="F159" s="9" t="str">
        <f aca="false">IF(E159&gt;$N$6,"YES","NO")</f>
        <v>NO</v>
      </c>
      <c r="G159" s="13" t="s">
        <v>13</v>
      </c>
    </row>
    <row r="160" customFormat="false" ht="15.75" hidden="false" customHeight="false" outlineLevel="0" collapsed="false">
      <c r="A160" s="11" t="n">
        <v>173.229</v>
      </c>
      <c r="B160" s="11" t="str">
        <f aca="false">IF(A160&gt;$N$4,"YES","NO")</f>
        <v>NO</v>
      </c>
      <c r="C160" s="9" t="n">
        <v>12</v>
      </c>
      <c r="D160" s="9" t="str">
        <f aca="false">IF(C160&gt;$N$5,"YES","NO")</f>
        <v>NO</v>
      </c>
      <c r="E160" s="9" t="n">
        <v>45</v>
      </c>
      <c r="F160" s="9" t="str">
        <f aca="false">IF(E160&gt;$N$6,"YES","NO")</f>
        <v>NO</v>
      </c>
      <c r="G160" s="13" t="s">
        <v>13</v>
      </c>
    </row>
    <row r="161" customFormat="false" ht="15.75" hidden="false" customHeight="false" outlineLevel="0" collapsed="false">
      <c r="A161" s="11" t="n">
        <v>1794.632</v>
      </c>
      <c r="B161" s="11" t="str">
        <f aca="false">IF(A161&gt;$N$4,"YES","NO")</f>
        <v>NO</v>
      </c>
      <c r="C161" s="9" t="n">
        <v>24</v>
      </c>
      <c r="D161" s="9" t="str">
        <f aca="false">IF(C161&gt;$N$5,"YES","NO")</f>
        <v>NO</v>
      </c>
      <c r="E161" s="9" t="n">
        <v>38</v>
      </c>
      <c r="F161" s="9" t="str">
        <f aca="false">IF(E161&gt;$N$6,"YES","NO")</f>
        <v>NO</v>
      </c>
      <c r="G161" s="13" t="s">
        <v>13</v>
      </c>
    </row>
    <row r="162" customFormat="false" ht="15.75" hidden="false" customHeight="false" outlineLevel="0" collapsed="false">
      <c r="A162" s="11" t="n">
        <v>969.878</v>
      </c>
      <c r="B162" s="11" t="str">
        <f aca="false">IF(A162&gt;$N$4,"YES","NO")</f>
        <v>NO</v>
      </c>
      <c r="C162" s="9" t="n">
        <v>6</v>
      </c>
      <c r="D162" s="9" t="str">
        <f aca="false">IF(C162&gt;$N$5,"YES","NO")</f>
        <v>NO</v>
      </c>
      <c r="E162" s="9" t="n">
        <v>34</v>
      </c>
      <c r="F162" s="9" t="str">
        <f aca="false">IF(E162&gt;$N$6,"YES","NO")</f>
        <v>NO</v>
      </c>
      <c r="G162" s="13" t="s">
        <v>13</v>
      </c>
    </row>
    <row r="163" customFormat="false" ht="15.75" hidden="false" customHeight="false" outlineLevel="0" collapsed="false">
      <c r="A163" s="11" t="n">
        <v>1467.592</v>
      </c>
      <c r="B163" s="11" t="str">
        <f aca="false">IF(A163&gt;$N$4,"YES","NO")</f>
        <v>NO</v>
      </c>
      <c r="C163" s="9" t="n">
        <v>24</v>
      </c>
      <c r="D163" s="9" t="str">
        <f aca="false">IF(C163&gt;$N$5,"YES","NO")</f>
        <v>NO</v>
      </c>
      <c r="E163" s="9" t="n">
        <v>36</v>
      </c>
      <c r="F163" s="9" t="str">
        <f aca="false">IF(E163&gt;$N$6,"YES","NO")</f>
        <v>NO</v>
      </c>
      <c r="G163" s="13" t="s">
        <v>13</v>
      </c>
    </row>
    <row r="164" customFormat="false" ht="15.75" hidden="false" customHeight="false" outlineLevel="0" collapsed="false">
      <c r="A164" s="11" t="n">
        <v>539.105</v>
      </c>
      <c r="B164" s="11" t="str">
        <f aca="false">IF(A164&gt;$N$4,"YES","NO")</f>
        <v>NO</v>
      </c>
      <c r="C164" s="9" t="n">
        <v>18</v>
      </c>
      <c r="D164" s="9" t="str">
        <f aca="false">IF(C164&gt;$N$5,"YES","NO")</f>
        <v>NO</v>
      </c>
      <c r="E164" s="9" t="n">
        <v>30</v>
      </c>
      <c r="F164" s="9" t="str">
        <f aca="false">IF(E164&gt;$N$6,"YES","NO")</f>
        <v>NO</v>
      </c>
      <c r="G164" s="13" t="s">
        <v>13</v>
      </c>
    </row>
    <row r="165" customFormat="false" ht="15.75" hidden="false" customHeight="false" outlineLevel="0" collapsed="false">
      <c r="A165" s="11" t="n">
        <v>644.882</v>
      </c>
      <c r="B165" s="11" t="str">
        <f aca="false">IF(A165&gt;$N$4,"YES","NO")</f>
        <v>NO</v>
      </c>
      <c r="C165" s="9" t="n">
        <v>15</v>
      </c>
      <c r="D165" s="9" t="str">
        <f aca="false">IF(C165&gt;$N$5,"YES","NO")</f>
        <v>NO</v>
      </c>
      <c r="E165" s="9" t="n">
        <v>36</v>
      </c>
      <c r="F165" s="9" t="str">
        <f aca="false">IF(E165&gt;$N$6,"YES","NO")</f>
        <v>NO</v>
      </c>
      <c r="G165" s="13" t="s">
        <v>13</v>
      </c>
    </row>
    <row r="166" customFormat="false" ht="15.75" hidden="false" customHeight="false" outlineLevel="0" collapsed="false">
      <c r="A166" s="11" t="n">
        <v>3734.388</v>
      </c>
      <c r="B166" s="11" t="str">
        <f aca="false">IF(A166&gt;$N$4,"YES","NO")</f>
        <v>NO</v>
      </c>
      <c r="C166" s="9" t="n">
        <v>10</v>
      </c>
      <c r="D166" s="9" t="str">
        <f aca="false">IF(C166&gt;$N$5,"YES","NO")</f>
        <v>NO</v>
      </c>
      <c r="E166" s="9" t="n">
        <v>70</v>
      </c>
      <c r="F166" s="9" t="str">
        <f aca="false">IF(E166&gt;$N$6,"YES","NO")</f>
        <v>YES</v>
      </c>
      <c r="G166" s="13" t="s">
        <v>13</v>
      </c>
    </row>
    <row r="167" customFormat="false" ht="15.75" hidden="false" customHeight="false" outlineLevel="0" collapsed="false">
      <c r="A167" s="11" t="n">
        <v>464.499</v>
      </c>
      <c r="B167" s="11" t="str">
        <f aca="false">IF(A167&gt;$N$4,"YES","NO")</f>
        <v>NO</v>
      </c>
      <c r="C167" s="9" t="n">
        <v>36</v>
      </c>
      <c r="D167" s="9" t="str">
        <f aca="false">IF(C167&gt;$N$5,"YES","NO")</f>
        <v>NO</v>
      </c>
      <c r="E167" s="9" t="n">
        <v>36</v>
      </c>
      <c r="F167" s="9" t="str">
        <f aca="false">IF(E167&gt;$N$6,"YES","NO")</f>
        <v>NO</v>
      </c>
      <c r="G167" s="13" t="s">
        <v>13</v>
      </c>
    </row>
    <row r="168" customFormat="false" ht="15.75" hidden="false" customHeight="false" outlineLevel="0" collapsed="false">
      <c r="A168" s="11" t="n">
        <v>1521.758</v>
      </c>
      <c r="B168" s="11" t="str">
        <f aca="false">IF(A168&gt;$N$4,"YES","NO")</f>
        <v>NO</v>
      </c>
      <c r="C168" s="9" t="n">
        <v>6</v>
      </c>
      <c r="D168" s="9" t="str">
        <f aca="false">IF(C168&gt;$N$5,"YES","NO")</f>
        <v>NO</v>
      </c>
      <c r="E168" s="9" t="n">
        <v>32</v>
      </c>
      <c r="F168" s="9" t="str">
        <f aca="false">IF(E168&gt;$N$6,"YES","NO")</f>
        <v>NO</v>
      </c>
      <c r="G168" s="13" t="s">
        <v>13</v>
      </c>
    </row>
    <row r="169" customFormat="false" ht="15.75" hidden="false" customHeight="false" outlineLevel="0" collapsed="false">
      <c r="A169" s="11" t="n">
        <v>577.941</v>
      </c>
      <c r="B169" s="11" t="str">
        <f aca="false">IF(A169&gt;$N$4,"YES","NO")</f>
        <v>NO</v>
      </c>
      <c r="C169" s="9" t="n">
        <v>18</v>
      </c>
      <c r="D169" s="9" t="str">
        <f aca="false">IF(C169&gt;$N$5,"YES","NO")</f>
        <v>NO</v>
      </c>
      <c r="E169" s="9" t="n">
        <v>33</v>
      </c>
      <c r="F169" s="9" t="str">
        <f aca="false">IF(E169&gt;$N$6,"YES","NO")</f>
        <v>NO</v>
      </c>
      <c r="G169" s="13" t="s">
        <v>16</v>
      </c>
    </row>
    <row r="170" customFormat="false" ht="15.75" hidden="false" customHeight="false" outlineLevel="0" collapsed="false">
      <c r="A170" s="11" t="n">
        <v>805.847</v>
      </c>
      <c r="B170" s="11" t="str">
        <f aca="false">IF(A170&gt;$N$4,"YES","NO")</f>
        <v>NO</v>
      </c>
      <c r="C170" s="9" t="n">
        <v>11</v>
      </c>
      <c r="D170" s="9" t="str">
        <f aca="false">IF(C170&gt;$N$5,"YES","NO")</f>
        <v>NO</v>
      </c>
      <c r="E170" s="9" t="n">
        <v>20</v>
      </c>
      <c r="F170" s="9" t="str">
        <f aca="false">IF(E170&gt;$N$6,"YES","NO")</f>
        <v>NO</v>
      </c>
      <c r="G170" s="13" t="s">
        <v>13</v>
      </c>
    </row>
    <row r="171" customFormat="false" ht="15.75" hidden="false" customHeight="false" outlineLevel="0" collapsed="false">
      <c r="A171" s="11" t="n">
        <v>2029.692</v>
      </c>
      <c r="B171" s="11" t="str">
        <f aca="false">IF(A171&gt;$N$4,"YES","NO")</f>
        <v>NO</v>
      </c>
      <c r="C171" s="9" t="n">
        <v>24</v>
      </c>
      <c r="D171" s="9" t="str">
        <f aca="false">IF(C171&gt;$N$5,"YES","NO")</f>
        <v>NO</v>
      </c>
      <c r="E171" s="9" t="n">
        <v>25</v>
      </c>
      <c r="F171" s="9" t="str">
        <f aca="false">IF(E171&gt;$N$6,"YES","NO")</f>
        <v>NO</v>
      </c>
      <c r="G171" s="13" t="s">
        <v>13</v>
      </c>
    </row>
    <row r="172" customFormat="false" ht="15.75" hidden="false" customHeight="false" outlineLevel="0" collapsed="false">
      <c r="A172" s="11" t="n">
        <v>988.785</v>
      </c>
      <c r="B172" s="11" t="str">
        <f aca="false">IF(A172&gt;$N$4,"YES","NO")</f>
        <v>NO</v>
      </c>
      <c r="C172" s="9" t="n">
        <v>24</v>
      </c>
      <c r="D172" s="9" t="str">
        <f aca="false">IF(C172&gt;$N$5,"YES","NO")</f>
        <v>NO</v>
      </c>
      <c r="E172" s="9" t="n">
        <v>31</v>
      </c>
      <c r="F172" s="9" t="str">
        <f aca="false">IF(E172&gt;$N$6,"YES","NO")</f>
        <v>NO</v>
      </c>
      <c r="G172" s="13" t="s">
        <v>16</v>
      </c>
    </row>
    <row r="173" customFormat="false" ht="15.75" hidden="false" customHeight="false" outlineLevel="0" collapsed="false">
      <c r="A173" s="11" t="n">
        <v>485.45</v>
      </c>
      <c r="B173" s="11" t="str">
        <f aca="false">IF(A173&gt;$N$4,"YES","NO")</f>
        <v>NO</v>
      </c>
      <c r="C173" s="9" t="n">
        <v>15</v>
      </c>
      <c r="D173" s="9" t="str">
        <f aca="false">IF(C173&gt;$N$5,"YES","NO")</f>
        <v>NO</v>
      </c>
      <c r="E173" s="9" t="n">
        <v>33</v>
      </c>
      <c r="F173" s="9" t="str">
        <f aca="false">IF(E173&gt;$N$6,"YES","NO")</f>
        <v>NO</v>
      </c>
      <c r="G173" s="13" t="s">
        <v>16</v>
      </c>
    </row>
    <row r="174" customFormat="false" ht="15.75" hidden="false" customHeight="false" outlineLevel="0" collapsed="false">
      <c r="A174" s="11" t="n">
        <v>389.893</v>
      </c>
      <c r="B174" s="11" t="str">
        <f aca="false">IF(A174&gt;$N$4,"YES","NO")</f>
        <v>NO</v>
      </c>
      <c r="C174" s="9" t="n">
        <v>12</v>
      </c>
      <c r="D174" s="9" t="str">
        <f aca="false">IF(C174&gt;$N$5,"YES","NO")</f>
        <v>NO</v>
      </c>
      <c r="E174" s="9" t="n">
        <v>26</v>
      </c>
      <c r="F174" s="9" t="str">
        <f aca="false">IF(E174&gt;$N$6,"YES","NO")</f>
        <v>NO</v>
      </c>
      <c r="G174" s="13" t="s">
        <v>13</v>
      </c>
    </row>
    <row r="175" customFormat="false" ht="15.75" hidden="false" customHeight="false" outlineLevel="0" collapsed="false">
      <c r="A175" s="11" t="n">
        <v>1054.704</v>
      </c>
      <c r="B175" s="11" t="str">
        <f aca="false">IF(A175&gt;$N$4,"YES","NO")</f>
        <v>NO</v>
      </c>
      <c r="C175" s="9" t="n">
        <v>24</v>
      </c>
      <c r="D175" s="9" t="str">
        <f aca="false">IF(C175&gt;$N$5,"YES","NO")</f>
        <v>NO</v>
      </c>
      <c r="E175" s="9" t="n">
        <v>34</v>
      </c>
      <c r="F175" s="9" t="str">
        <f aca="false">IF(E175&gt;$N$6,"YES","NO")</f>
        <v>NO</v>
      </c>
      <c r="G175" s="13" t="s">
        <v>16</v>
      </c>
    </row>
    <row r="176" customFormat="false" ht="15.75" hidden="false" customHeight="false" outlineLevel="0" collapsed="false">
      <c r="A176" s="11" t="n">
        <v>722.554</v>
      </c>
      <c r="B176" s="11" t="str">
        <f aca="false">IF(A176&gt;$N$4,"YES","NO")</f>
        <v>NO</v>
      </c>
      <c r="C176" s="9" t="n">
        <v>8</v>
      </c>
      <c r="D176" s="9" t="str">
        <f aca="false">IF(C176&gt;$N$5,"YES","NO")</f>
        <v>NO</v>
      </c>
      <c r="E176" s="9" t="n">
        <v>33</v>
      </c>
      <c r="F176" s="9" t="str">
        <f aca="false">IF(E176&gt;$N$6,"YES","NO")</f>
        <v>NO</v>
      </c>
      <c r="G176" s="13" t="s">
        <v>13</v>
      </c>
    </row>
    <row r="177" customFormat="false" ht="15.75" hidden="false" customHeight="false" outlineLevel="0" collapsed="false">
      <c r="A177" s="11" t="n">
        <v>1744.554</v>
      </c>
      <c r="B177" s="11" t="str">
        <f aca="false">IF(A177&gt;$N$4,"YES","NO")</f>
        <v>NO</v>
      </c>
      <c r="C177" s="9" t="n">
        <v>21</v>
      </c>
      <c r="D177" s="9" t="str">
        <f aca="false">IF(C177&gt;$N$5,"YES","NO")</f>
        <v>NO</v>
      </c>
      <c r="E177" s="9" t="n">
        <v>26</v>
      </c>
      <c r="F177" s="9" t="str">
        <f aca="false">IF(E177&gt;$N$6,"YES","NO")</f>
        <v>NO</v>
      </c>
      <c r="G177" s="13" t="s">
        <v>16</v>
      </c>
    </row>
    <row r="178" customFormat="false" ht="15.75" hidden="false" customHeight="false" outlineLevel="0" collapsed="false">
      <c r="A178" s="11" t="n">
        <v>3824.835</v>
      </c>
      <c r="B178" s="11" t="str">
        <f aca="false">IF(A178&gt;$N$4,"YES","NO")</f>
        <v>NO</v>
      </c>
      <c r="C178" s="9" t="n">
        <v>30</v>
      </c>
      <c r="D178" s="9" t="str">
        <f aca="false">IF(C178&gt;$N$5,"YES","NO")</f>
        <v>NO</v>
      </c>
      <c r="E178" s="9" t="n">
        <v>53</v>
      </c>
      <c r="F178" s="9" t="str">
        <f aca="false">IF(E178&gt;$N$6,"YES","NO")</f>
        <v>NO</v>
      </c>
      <c r="G178" s="13" t="s">
        <v>16</v>
      </c>
    </row>
    <row r="179" customFormat="false" ht="15.75" hidden="false" customHeight="false" outlineLevel="0" collapsed="false">
      <c r="A179" s="11" t="n">
        <v>1316.847</v>
      </c>
      <c r="B179" s="11" t="str">
        <f aca="false">IF(A179&gt;$N$4,"YES","NO")</f>
        <v>NO</v>
      </c>
      <c r="C179" s="9" t="n">
        <v>12</v>
      </c>
      <c r="D179" s="9" t="str">
        <f aca="false">IF(C179&gt;$N$5,"YES","NO")</f>
        <v>NO</v>
      </c>
      <c r="E179" s="9" t="n">
        <v>42</v>
      </c>
      <c r="F179" s="9" t="str">
        <f aca="false">IF(E179&gt;$N$6,"YES","NO")</f>
        <v>NO</v>
      </c>
      <c r="G179" s="13" t="s">
        <v>13</v>
      </c>
    </row>
    <row r="180" customFormat="false" ht="15.75" hidden="false" customHeight="false" outlineLevel="0" collapsed="false">
      <c r="A180" s="11" t="n">
        <v>172.718</v>
      </c>
      <c r="B180" s="11" t="str">
        <f aca="false">IF(A180&gt;$N$4,"YES","NO")</f>
        <v>NO</v>
      </c>
      <c r="C180" s="9" t="n">
        <v>6</v>
      </c>
      <c r="D180" s="9" t="str">
        <f aca="false">IF(C180&gt;$N$5,"YES","NO")</f>
        <v>NO</v>
      </c>
      <c r="E180" s="9" t="n">
        <v>52</v>
      </c>
      <c r="F180" s="9" t="str">
        <f aca="false">IF(E180&gt;$N$6,"YES","NO")</f>
        <v>NO</v>
      </c>
      <c r="G180" s="13" t="s">
        <v>13</v>
      </c>
    </row>
    <row r="181" customFormat="false" ht="15.75" hidden="false" customHeight="false" outlineLevel="0" collapsed="false">
      <c r="A181" s="11" t="n">
        <v>1003.093</v>
      </c>
      <c r="B181" s="11" t="str">
        <f aca="false">IF(A181&gt;$N$4,"YES","NO")</f>
        <v>NO</v>
      </c>
      <c r="C181" s="9" t="n">
        <v>12</v>
      </c>
      <c r="D181" s="9" t="str">
        <f aca="false">IF(C181&gt;$N$5,"YES","NO")</f>
        <v>NO</v>
      </c>
      <c r="E181" s="9" t="n">
        <v>31</v>
      </c>
      <c r="F181" s="9" t="str">
        <f aca="false">IF(E181&gt;$N$6,"YES","NO")</f>
        <v>NO</v>
      </c>
      <c r="G181" s="13" t="s">
        <v>13</v>
      </c>
    </row>
    <row r="182" customFormat="false" ht="15.75" hidden="false" customHeight="false" outlineLevel="0" collapsed="false">
      <c r="A182" s="11" t="n">
        <v>291.781</v>
      </c>
      <c r="B182" s="11" t="str">
        <f aca="false">IF(A182&gt;$N$4,"YES","NO")</f>
        <v>NO</v>
      </c>
      <c r="C182" s="9" t="n">
        <v>21</v>
      </c>
      <c r="D182" s="9" t="str">
        <f aca="false">IF(C182&gt;$N$5,"YES","NO")</f>
        <v>NO</v>
      </c>
      <c r="E182" s="9" t="n">
        <v>65</v>
      </c>
      <c r="F182" s="9" t="str">
        <f aca="false">IF(E182&gt;$N$6,"YES","NO")</f>
        <v>YES</v>
      </c>
      <c r="G182" s="13" t="s">
        <v>13</v>
      </c>
    </row>
    <row r="183" customFormat="false" ht="15.75" hidden="false" customHeight="false" outlineLevel="0" collapsed="false">
      <c r="A183" s="11" t="n">
        <v>4891.292</v>
      </c>
      <c r="B183" s="11" t="str">
        <f aca="false">IF(A183&gt;$N$4,"YES","NO")</f>
        <v>YES</v>
      </c>
      <c r="C183" s="9" t="n">
        <v>36</v>
      </c>
      <c r="D183" s="9" t="str">
        <f aca="false">IF(C183&gt;$N$5,"YES","NO")</f>
        <v>NO</v>
      </c>
      <c r="E183" s="9" t="n">
        <v>28</v>
      </c>
      <c r="F183" s="9" t="str">
        <f aca="false">IF(E183&gt;$N$6,"YES","NO")</f>
        <v>NO</v>
      </c>
      <c r="G183" s="13" t="s">
        <v>16</v>
      </c>
    </row>
    <row r="184" customFormat="false" ht="15.75" hidden="false" customHeight="false" outlineLevel="0" collapsed="false">
      <c r="A184" s="11" t="n">
        <v>2276.505</v>
      </c>
      <c r="B184" s="11" t="str">
        <f aca="false">IF(A184&gt;$N$4,"YES","NO")</f>
        <v>NO</v>
      </c>
      <c r="C184" s="9" t="n">
        <v>36</v>
      </c>
      <c r="D184" s="9" t="str">
        <f aca="false">IF(C184&gt;$N$5,"YES","NO")</f>
        <v>NO</v>
      </c>
      <c r="E184" s="9" t="n">
        <v>30</v>
      </c>
      <c r="F184" s="9" t="str">
        <f aca="false">IF(E184&gt;$N$6,"YES","NO")</f>
        <v>NO</v>
      </c>
      <c r="G184" s="13" t="s">
        <v>16</v>
      </c>
    </row>
    <row r="185" customFormat="false" ht="15.75" hidden="false" customHeight="false" outlineLevel="0" collapsed="false">
      <c r="A185" s="11" t="n">
        <v>841.617</v>
      </c>
      <c r="B185" s="11" t="str">
        <f aca="false">IF(A185&gt;$N$4,"YES","NO")</f>
        <v>NO</v>
      </c>
      <c r="C185" s="9" t="n">
        <v>21</v>
      </c>
      <c r="D185" s="9" t="str">
        <f aca="false">IF(C185&gt;$N$5,"YES","NO")</f>
        <v>NO</v>
      </c>
      <c r="E185" s="9" t="n">
        <v>40</v>
      </c>
      <c r="F185" s="9" t="str">
        <f aca="false">IF(E185&gt;$N$6,"YES","NO")</f>
        <v>NO</v>
      </c>
      <c r="G185" s="13" t="s">
        <v>16</v>
      </c>
    </row>
    <row r="186" customFormat="false" ht="15.75" hidden="false" customHeight="false" outlineLevel="0" collapsed="false">
      <c r="A186" s="11" t="n">
        <v>1930.047</v>
      </c>
      <c r="B186" s="11" t="str">
        <f aca="false">IF(A186&gt;$N$4,"YES","NO")</f>
        <v>NO</v>
      </c>
      <c r="C186" s="9" t="n">
        <v>24</v>
      </c>
      <c r="D186" s="9" t="str">
        <f aca="false">IF(C186&gt;$N$5,"YES","NO")</f>
        <v>NO</v>
      </c>
      <c r="E186" s="9" t="n">
        <v>50</v>
      </c>
      <c r="F186" s="9" t="str">
        <f aca="false">IF(E186&gt;$N$6,"YES","NO")</f>
        <v>NO</v>
      </c>
      <c r="G186" s="13" t="s">
        <v>13</v>
      </c>
    </row>
    <row r="187" customFormat="false" ht="15.75" hidden="false" customHeight="false" outlineLevel="0" collapsed="false">
      <c r="A187" s="11" t="n">
        <v>451.724</v>
      </c>
      <c r="B187" s="11" t="str">
        <f aca="false">IF(A187&gt;$N$4,"YES","NO")</f>
        <v>NO</v>
      </c>
      <c r="C187" s="9" t="n">
        <v>18</v>
      </c>
      <c r="D187" s="9" t="str">
        <f aca="false">IF(C187&gt;$N$5,"YES","NO")</f>
        <v>NO</v>
      </c>
      <c r="E187" s="9" t="n">
        <v>36</v>
      </c>
      <c r="F187" s="9" t="str">
        <f aca="false">IF(E187&gt;$N$6,"YES","NO")</f>
        <v>NO</v>
      </c>
      <c r="G187" s="13" t="s">
        <v>16</v>
      </c>
    </row>
    <row r="188" customFormat="false" ht="15.75" hidden="false" customHeight="false" outlineLevel="0" collapsed="false">
      <c r="A188" s="11" t="n">
        <v>694.96</v>
      </c>
      <c r="B188" s="11" t="str">
        <f aca="false">IF(A188&gt;$N$4,"YES","NO")</f>
        <v>NO</v>
      </c>
      <c r="C188" s="9" t="n">
        <v>15</v>
      </c>
      <c r="D188" s="9" t="str">
        <f aca="false">IF(C188&gt;$N$5,"YES","NO")</f>
        <v>NO</v>
      </c>
      <c r="E188" s="9" t="n">
        <v>31</v>
      </c>
      <c r="F188" s="9" t="str">
        <f aca="false">IF(E188&gt;$N$6,"YES","NO")</f>
        <v>NO</v>
      </c>
      <c r="G188" s="13" t="s">
        <v>13</v>
      </c>
    </row>
    <row r="189" customFormat="false" ht="15.75" hidden="false" customHeight="false" outlineLevel="0" collapsed="false">
      <c r="A189" s="11" t="n">
        <v>2620.919</v>
      </c>
      <c r="B189" s="11" t="str">
        <f aca="false">IF(A189&gt;$N$4,"YES","NO")</f>
        <v>NO</v>
      </c>
      <c r="C189" s="9" t="n">
        <v>9</v>
      </c>
      <c r="D189" s="9" t="str">
        <f aca="false">IF(C189&gt;$N$5,"YES","NO")</f>
        <v>NO</v>
      </c>
      <c r="E189" s="9" t="n">
        <v>74</v>
      </c>
      <c r="F189" s="9" t="str">
        <f aca="false">IF(E189&gt;$N$6,"YES","NO")</f>
        <v>YES</v>
      </c>
      <c r="G189" s="13" t="s">
        <v>16</v>
      </c>
    </row>
    <row r="190" customFormat="false" ht="15.75" hidden="false" customHeight="false" outlineLevel="0" collapsed="false">
      <c r="A190" s="11" t="n">
        <v>600.425</v>
      </c>
      <c r="B190" s="11" t="str">
        <f aca="false">IF(A190&gt;$N$4,"YES","NO")</f>
        <v>NO</v>
      </c>
      <c r="C190" s="9" t="n">
        <v>16</v>
      </c>
      <c r="D190" s="9" t="str">
        <f aca="false">IF(C190&gt;$N$5,"YES","NO")</f>
        <v>NO</v>
      </c>
      <c r="E190" s="9" t="n">
        <v>68</v>
      </c>
      <c r="F190" s="9" t="str">
        <f aca="false">IF(E190&gt;$N$6,"YES","NO")</f>
        <v>YES</v>
      </c>
      <c r="G190" s="13" t="s">
        <v>13</v>
      </c>
    </row>
    <row r="191" customFormat="false" ht="15.75" hidden="false" customHeight="false" outlineLevel="0" collapsed="false">
      <c r="A191" s="11" t="n">
        <v>344.414</v>
      </c>
      <c r="B191" s="11" t="str">
        <f aca="false">IF(A191&gt;$N$4,"YES","NO")</f>
        <v>NO</v>
      </c>
      <c r="C191" s="9" t="n">
        <v>12</v>
      </c>
      <c r="D191" s="9" t="str">
        <f aca="false">IF(C191&gt;$N$5,"YES","NO")</f>
        <v>NO</v>
      </c>
      <c r="E191" s="9" t="n">
        <v>20</v>
      </c>
      <c r="F191" s="9" t="str">
        <f aca="false">IF(E191&gt;$N$6,"YES","NO")</f>
        <v>NO</v>
      </c>
      <c r="G191" s="13" t="s">
        <v>16</v>
      </c>
    </row>
    <row r="192" customFormat="false" ht="15.75" hidden="false" customHeight="false" outlineLevel="0" collapsed="false">
      <c r="A192" s="11" t="n">
        <v>1657.684</v>
      </c>
      <c r="B192" s="11" t="str">
        <f aca="false">IF(A192&gt;$N$4,"YES","NO")</f>
        <v>NO</v>
      </c>
      <c r="C192" s="9" t="n">
        <v>18</v>
      </c>
      <c r="D192" s="9" t="str">
        <f aca="false">IF(C192&gt;$N$5,"YES","NO")</f>
        <v>NO</v>
      </c>
      <c r="E192" s="9" t="n">
        <v>33</v>
      </c>
      <c r="F192" s="9" t="str">
        <f aca="false">IF(E192&gt;$N$6,"YES","NO")</f>
        <v>NO</v>
      </c>
      <c r="G192" s="13" t="s">
        <v>13</v>
      </c>
    </row>
    <row r="193" customFormat="false" ht="15.75" hidden="false" customHeight="false" outlineLevel="0" collapsed="false">
      <c r="A193" s="11" t="n">
        <v>2346.001</v>
      </c>
      <c r="B193" s="11" t="str">
        <f aca="false">IF(A193&gt;$N$4,"YES","NO")</f>
        <v>NO</v>
      </c>
      <c r="C193" s="9" t="n">
        <v>24</v>
      </c>
      <c r="D193" s="9" t="str">
        <f aca="false">IF(C193&gt;$N$5,"YES","NO")</f>
        <v>NO</v>
      </c>
      <c r="E193" s="9" t="n">
        <v>54</v>
      </c>
      <c r="F193" s="9" t="str">
        <f aca="false">IF(E193&gt;$N$6,"YES","NO")</f>
        <v>NO</v>
      </c>
      <c r="G193" s="13" t="s">
        <v>16</v>
      </c>
    </row>
    <row r="194" customFormat="false" ht="15.75" hidden="false" customHeight="false" outlineLevel="0" collapsed="false">
      <c r="A194" s="11" t="n">
        <v>1964.284</v>
      </c>
      <c r="B194" s="11" t="str">
        <f aca="false">IF(A194&gt;$N$4,"YES","NO")</f>
        <v>NO</v>
      </c>
      <c r="C194" s="9" t="n">
        <v>48</v>
      </c>
      <c r="D194" s="9" t="str">
        <f aca="false">IF(C194&gt;$N$5,"YES","NO")</f>
        <v>YES</v>
      </c>
      <c r="E194" s="9" t="n">
        <v>34</v>
      </c>
      <c r="F194" s="9" t="str">
        <f aca="false">IF(E194&gt;$N$6,"YES","NO")</f>
        <v>NO</v>
      </c>
      <c r="G194" s="13" t="s">
        <v>16</v>
      </c>
    </row>
    <row r="195" customFormat="false" ht="15.75" hidden="false" customHeight="false" outlineLevel="0" collapsed="false">
      <c r="A195" s="11" t="n">
        <v>2000.565</v>
      </c>
      <c r="B195" s="11" t="str">
        <f aca="false">IF(A195&gt;$N$4,"YES","NO")</f>
        <v>NO</v>
      </c>
      <c r="C195" s="9" t="n">
        <v>27</v>
      </c>
      <c r="D195" s="9" t="str">
        <f aca="false">IF(C195&gt;$N$5,"YES","NO")</f>
        <v>NO</v>
      </c>
      <c r="E195" s="9" t="n">
        <v>36</v>
      </c>
      <c r="F195" s="9" t="str">
        <f aca="false">IF(E195&gt;$N$6,"YES","NO")</f>
        <v>NO</v>
      </c>
      <c r="G195" s="13" t="s">
        <v>16</v>
      </c>
    </row>
    <row r="196" customFormat="false" ht="15.75" hidden="false" customHeight="false" outlineLevel="0" collapsed="false">
      <c r="A196" s="11" t="n">
        <v>1077.188</v>
      </c>
      <c r="B196" s="11" t="str">
        <f aca="false">IF(A196&gt;$N$4,"YES","NO")</f>
        <v>NO</v>
      </c>
      <c r="C196" s="9" t="n">
        <v>6</v>
      </c>
      <c r="D196" s="9" t="str">
        <f aca="false">IF(C196&gt;$N$5,"YES","NO")</f>
        <v>NO</v>
      </c>
      <c r="E196" s="9" t="n">
        <v>29</v>
      </c>
      <c r="F196" s="9" t="str">
        <f aca="false">IF(E196&gt;$N$6,"YES","NO")</f>
        <v>NO</v>
      </c>
      <c r="G196" s="13" t="s">
        <v>13</v>
      </c>
    </row>
    <row r="197" customFormat="false" ht="15.75" hidden="false" customHeight="false" outlineLevel="0" collapsed="false">
      <c r="A197" s="11" t="n">
        <v>1548.841</v>
      </c>
      <c r="B197" s="11" t="str">
        <f aca="false">IF(A197&gt;$N$4,"YES","NO")</f>
        <v>NO</v>
      </c>
      <c r="C197" s="9" t="n">
        <v>45</v>
      </c>
      <c r="D197" s="9" t="str">
        <f aca="false">IF(C197&gt;$N$5,"YES","NO")</f>
        <v>YES</v>
      </c>
      <c r="E197" s="9" t="n">
        <v>21</v>
      </c>
      <c r="F197" s="9" t="str">
        <f aca="false">IF(E197&gt;$N$6,"YES","NO")</f>
        <v>NO</v>
      </c>
      <c r="G197" s="13" t="s">
        <v>16</v>
      </c>
    </row>
    <row r="198" customFormat="false" ht="15.75" hidden="false" customHeight="false" outlineLevel="0" collapsed="false">
      <c r="A198" s="11" t="n">
        <v>767.011</v>
      </c>
      <c r="B198" s="11" t="str">
        <f aca="false">IF(A198&gt;$N$4,"YES","NO")</f>
        <v>NO</v>
      </c>
      <c r="C198" s="9" t="n">
        <v>9</v>
      </c>
      <c r="D198" s="9" t="str">
        <f aca="false">IF(C198&gt;$N$5,"YES","NO")</f>
        <v>NO</v>
      </c>
      <c r="E198" s="9" t="n">
        <v>34</v>
      </c>
      <c r="F198" s="9" t="str">
        <f aca="false">IF(E198&gt;$N$6,"YES","NO")</f>
        <v>NO</v>
      </c>
      <c r="G198" s="13" t="s">
        <v>16</v>
      </c>
    </row>
    <row r="199" customFormat="false" ht="15.75" hidden="false" customHeight="false" outlineLevel="0" collapsed="false">
      <c r="A199" s="11" t="n">
        <v>706.202</v>
      </c>
      <c r="B199" s="11" t="str">
        <f aca="false">IF(A199&gt;$N$4,"YES","NO")</f>
        <v>NO</v>
      </c>
      <c r="C199" s="9" t="n">
        <v>6</v>
      </c>
      <c r="D199" s="9" t="str">
        <f aca="false">IF(C199&gt;$N$5,"YES","NO")</f>
        <v>NO</v>
      </c>
      <c r="E199" s="9" t="n">
        <v>28</v>
      </c>
      <c r="F199" s="9" t="str">
        <f aca="false">IF(E199&gt;$N$6,"YES","NO")</f>
        <v>NO</v>
      </c>
      <c r="G199" s="13" t="s">
        <v>13</v>
      </c>
    </row>
    <row r="200" customFormat="false" ht="15.75" hidden="false" customHeight="false" outlineLevel="0" collapsed="false">
      <c r="A200" s="11" t="n">
        <v>485.961</v>
      </c>
      <c r="B200" s="11" t="str">
        <f aca="false">IF(A200&gt;$N$4,"YES","NO")</f>
        <v>NO</v>
      </c>
      <c r="C200" s="9" t="n">
        <v>12</v>
      </c>
      <c r="D200" s="9" t="str">
        <f aca="false">IF(C200&gt;$N$5,"YES","NO")</f>
        <v>NO</v>
      </c>
      <c r="E200" s="9" t="n">
        <v>27</v>
      </c>
      <c r="F200" s="9" t="str">
        <f aca="false">IF(E200&gt;$N$6,"YES","NO")</f>
        <v>NO</v>
      </c>
      <c r="G200" s="13" t="s">
        <v>16</v>
      </c>
    </row>
    <row r="201" customFormat="false" ht="15.75" hidden="false" customHeight="false" outlineLevel="0" collapsed="false">
      <c r="A201" s="11" t="n">
        <v>1410.36</v>
      </c>
      <c r="B201" s="11" t="str">
        <f aca="false">IF(A201&gt;$N$4,"YES","NO")</f>
        <v>NO</v>
      </c>
      <c r="C201" s="9" t="n">
        <v>24</v>
      </c>
      <c r="D201" s="9" t="str">
        <f aca="false">IF(C201&gt;$N$5,"YES","NO")</f>
        <v>NO</v>
      </c>
      <c r="E201" s="9" t="n">
        <v>36</v>
      </c>
      <c r="F201" s="9" t="str">
        <f aca="false">IF(E201&gt;$N$6,"YES","NO")</f>
        <v>NO</v>
      </c>
      <c r="G201" s="13" t="s">
        <v>13</v>
      </c>
    </row>
    <row r="202" customFormat="false" ht="15.75" hidden="false" customHeight="false" outlineLevel="0" collapsed="false">
      <c r="A202" s="11" t="n">
        <v>2195.767</v>
      </c>
      <c r="B202" s="11" t="str">
        <f aca="false">IF(A202&gt;$N$4,"YES","NO")</f>
        <v>NO</v>
      </c>
      <c r="C202" s="9" t="n">
        <v>18</v>
      </c>
      <c r="D202" s="9" t="str">
        <f aca="false">IF(C202&gt;$N$5,"YES","NO")</f>
        <v>NO</v>
      </c>
      <c r="E202" s="9" t="n">
        <v>40</v>
      </c>
      <c r="F202" s="9" t="str">
        <f aca="false">IF(E202&gt;$N$6,"YES","NO")</f>
        <v>NO</v>
      </c>
      <c r="G202" s="13" t="s">
        <v>16</v>
      </c>
    </row>
    <row r="203" customFormat="false" ht="15.75" hidden="false" customHeight="false" outlineLevel="0" collapsed="false">
      <c r="A203" s="11" t="n">
        <v>478.296</v>
      </c>
      <c r="B203" s="11" t="str">
        <f aca="false">IF(A203&gt;$N$4,"YES","NO")</f>
        <v>NO</v>
      </c>
      <c r="C203" s="9" t="n">
        <v>9</v>
      </c>
      <c r="D203" s="9" t="str">
        <f aca="false">IF(C203&gt;$N$5,"YES","NO")</f>
        <v>NO</v>
      </c>
      <c r="E203" s="9" t="n">
        <v>52</v>
      </c>
      <c r="F203" s="9" t="str">
        <f aca="false">IF(E203&gt;$N$6,"YES","NO")</f>
        <v>NO</v>
      </c>
      <c r="G203" s="13" t="s">
        <v>13</v>
      </c>
    </row>
    <row r="204" customFormat="false" ht="15.75" hidden="false" customHeight="false" outlineLevel="0" collapsed="false">
      <c r="A204" s="11" t="n">
        <v>596.848</v>
      </c>
      <c r="B204" s="11" t="str">
        <f aca="false">IF(A204&gt;$N$4,"YES","NO")</f>
        <v>NO</v>
      </c>
      <c r="C204" s="9" t="n">
        <v>12</v>
      </c>
      <c r="D204" s="9" t="str">
        <f aca="false">IF(C204&gt;$N$5,"YES","NO")</f>
        <v>NO</v>
      </c>
      <c r="E204" s="9" t="n">
        <v>27</v>
      </c>
      <c r="F204" s="9" t="str">
        <f aca="false">IF(E204&gt;$N$6,"YES","NO")</f>
        <v>NO</v>
      </c>
      <c r="G204" s="13" t="s">
        <v>13</v>
      </c>
    </row>
    <row r="205" customFormat="false" ht="15.75" hidden="false" customHeight="false" outlineLevel="0" collapsed="false">
      <c r="A205" s="11" t="n">
        <v>2614.787</v>
      </c>
      <c r="B205" s="11" t="str">
        <f aca="false">IF(A205&gt;$N$4,"YES","NO")</f>
        <v>NO</v>
      </c>
      <c r="C205" s="9" t="n">
        <v>27</v>
      </c>
      <c r="D205" s="9" t="str">
        <f aca="false">IF(C205&gt;$N$5,"YES","NO")</f>
        <v>NO</v>
      </c>
      <c r="E205" s="9" t="n">
        <v>26</v>
      </c>
      <c r="F205" s="9" t="str">
        <f aca="false">IF(E205&gt;$N$6,"YES","NO")</f>
        <v>NO</v>
      </c>
      <c r="G205" s="13" t="s">
        <v>13</v>
      </c>
    </row>
    <row r="206" customFormat="false" ht="15.75" hidden="false" customHeight="false" outlineLevel="0" collapsed="false">
      <c r="A206" s="11" t="n">
        <v>460.922</v>
      </c>
      <c r="B206" s="11" t="str">
        <f aca="false">IF(A206&gt;$N$4,"YES","NO")</f>
        <v>NO</v>
      </c>
      <c r="C206" s="9" t="n">
        <v>12</v>
      </c>
      <c r="D206" s="9" t="str">
        <f aca="false">IF(C206&gt;$N$5,"YES","NO")</f>
        <v>NO</v>
      </c>
      <c r="E206" s="9" t="n">
        <v>21</v>
      </c>
      <c r="F206" s="9" t="str">
        <f aca="false">IF(E206&gt;$N$6,"YES","NO")</f>
        <v>NO</v>
      </c>
      <c r="G206" s="13" t="s">
        <v>16</v>
      </c>
    </row>
    <row r="207" customFormat="false" ht="15.75" hidden="false" customHeight="false" outlineLevel="0" collapsed="false">
      <c r="A207" s="11" t="n">
        <v>763.945</v>
      </c>
      <c r="B207" s="11" t="str">
        <f aca="false">IF(A207&gt;$N$4,"YES","NO")</f>
        <v>NO</v>
      </c>
      <c r="C207" s="9" t="n">
        <v>12</v>
      </c>
      <c r="D207" s="9" t="str">
        <f aca="false">IF(C207&gt;$N$5,"YES","NO")</f>
        <v>NO</v>
      </c>
      <c r="E207" s="9" t="n">
        <v>38</v>
      </c>
      <c r="F207" s="9" t="str">
        <f aca="false">IF(E207&gt;$N$6,"YES","NO")</f>
        <v>NO</v>
      </c>
      <c r="G207" s="13" t="s">
        <v>13</v>
      </c>
    </row>
    <row r="208" customFormat="false" ht="15.75" hidden="false" customHeight="false" outlineLevel="0" collapsed="false">
      <c r="A208" s="11" t="n">
        <v>5428.353</v>
      </c>
      <c r="B208" s="11" t="str">
        <f aca="false">IF(A208&gt;$N$4,"YES","NO")</f>
        <v>YES</v>
      </c>
      <c r="C208" s="9" t="n">
        <v>30</v>
      </c>
      <c r="D208" s="9" t="str">
        <f aca="false">IF(C208&gt;$N$5,"YES","NO")</f>
        <v>NO</v>
      </c>
      <c r="E208" s="9" t="n">
        <v>38</v>
      </c>
      <c r="F208" s="9" t="str">
        <f aca="false">IF(E208&gt;$N$6,"YES","NO")</f>
        <v>NO</v>
      </c>
      <c r="G208" s="13" t="s">
        <v>13</v>
      </c>
    </row>
    <row r="209" customFormat="false" ht="15.75" hidden="false" customHeight="false" outlineLevel="0" collapsed="false">
      <c r="A209" s="11" t="n">
        <v>988.785</v>
      </c>
      <c r="B209" s="11" t="str">
        <f aca="false">IF(A209&gt;$N$4,"YES","NO")</f>
        <v>NO</v>
      </c>
      <c r="C209" s="9" t="n">
        <v>12</v>
      </c>
      <c r="D209" s="9" t="str">
        <f aca="false">IF(C209&gt;$N$5,"YES","NO")</f>
        <v>NO</v>
      </c>
      <c r="E209" s="9" t="n">
        <v>43</v>
      </c>
      <c r="F209" s="9" t="str">
        <f aca="false">IF(E209&gt;$N$6,"YES","NO")</f>
        <v>NO</v>
      </c>
      <c r="G209" s="13" t="s">
        <v>13</v>
      </c>
    </row>
    <row r="210" customFormat="false" ht="15.75" hidden="false" customHeight="false" outlineLevel="0" collapsed="false">
      <c r="A210" s="11" t="n">
        <v>727.664</v>
      </c>
      <c r="B210" s="11" t="str">
        <f aca="false">IF(A210&gt;$N$4,"YES","NO")</f>
        <v>NO</v>
      </c>
      <c r="C210" s="9" t="n">
        <v>12</v>
      </c>
      <c r="D210" s="9" t="str">
        <f aca="false">IF(C210&gt;$N$5,"YES","NO")</f>
        <v>NO</v>
      </c>
      <c r="E210" s="9" t="n">
        <v>26</v>
      </c>
      <c r="F210" s="9" t="str">
        <f aca="false">IF(E210&gt;$N$6,"YES","NO")</f>
        <v>NO</v>
      </c>
      <c r="G210" s="13" t="s">
        <v>13</v>
      </c>
    </row>
    <row r="211" customFormat="false" ht="15.75" hidden="false" customHeight="false" outlineLevel="0" collapsed="false">
      <c r="A211" s="11" t="n">
        <v>3356.248</v>
      </c>
      <c r="B211" s="11" t="str">
        <f aca="false">IF(A211&gt;$N$4,"YES","NO")</f>
        <v>NO</v>
      </c>
      <c r="C211" s="9" t="n">
        <v>24</v>
      </c>
      <c r="D211" s="9" t="str">
        <f aca="false">IF(C211&gt;$N$5,"YES","NO")</f>
        <v>NO</v>
      </c>
      <c r="E211" s="9" t="n">
        <v>21</v>
      </c>
      <c r="F211" s="9" t="str">
        <f aca="false">IF(E211&gt;$N$6,"YES","NO")</f>
        <v>NO</v>
      </c>
      <c r="G211" s="13" t="s">
        <v>13</v>
      </c>
    </row>
    <row r="212" customFormat="false" ht="15.75" hidden="false" customHeight="false" outlineLevel="0" collapsed="false">
      <c r="A212" s="11" t="n">
        <v>722.043</v>
      </c>
      <c r="B212" s="11" t="str">
        <f aca="false">IF(A212&gt;$N$4,"YES","NO")</f>
        <v>NO</v>
      </c>
      <c r="C212" s="9" t="n">
        <v>12</v>
      </c>
      <c r="D212" s="9" t="str">
        <f aca="false">IF(C212&gt;$N$5,"YES","NO")</f>
        <v>NO</v>
      </c>
      <c r="E212" s="9" t="n">
        <v>55</v>
      </c>
      <c r="F212" s="9" t="str">
        <f aca="false">IF(E212&gt;$N$6,"YES","NO")</f>
        <v>NO</v>
      </c>
      <c r="G212" s="13" t="s">
        <v>13</v>
      </c>
    </row>
    <row r="213" customFormat="false" ht="15.75" hidden="false" customHeight="false" outlineLevel="0" collapsed="false">
      <c r="A213" s="11" t="n">
        <v>1570.814</v>
      </c>
      <c r="B213" s="11" t="str">
        <f aca="false">IF(A213&gt;$N$4,"YES","NO")</f>
        <v>NO</v>
      </c>
      <c r="C213" s="9" t="n">
        <v>9</v>
      </c>
      <c r="D213" s="9" t="str">
        <f aca="false">IF(C213&gt;$N$5,"YES","NO")</f>
        <v>NO</v>
      </c>
      <c r="E213" s="9" t="n">
        <v>33</v>
      </c>
      <c r="F213" s="9" t="str">
        <f aca="false">IF(E213&gt;$N$6,"YES","NO")</f>
        <v>NO</v>
      </c>
      <c r="G213" s="13" t="s">
        <v>13</v>
      </c>
    </row>
    <row r="214" customFormat="false" ht="15.75" hidden="false" customHeight="false" outlineLevel="0" collapsed="false">
      <c r="A214" s="11" t="n">
        <v>1959.685</v>
      </c>
      <c r="B214" s="11" t="str">
        <f aca="false">IF(A214&gt;$N$4,"YES","NO")</f>
        <v>NO</v>
      </c>
      <c r="C214" s="9" t="n">
        <v>36</v>
      </c>
      <c r="D214" s="9" t="str">
        <f aca="false">IF(C214&gt;$N$5,"YES","NO")</f>
        <v>NO</v>
      </c>
      <c r="E214" s="9" t="n">
        <v>45</v>
      </c>
      <c r="F214" s="9" t="str">
        <f aca="false">IF(E214&gt;$N$6,"YES","NO")</f>
        <v>NO</v>
      </c>
      <c r="G214" s="13" t="s">
        <v>13</v>
      </c>
    </row>
    <row r="215" customFormat="false" ht="15.75" hidden="false" customHeight="false" outlineLevel="0" collapsed="false">
      <c r="A215" s="11" t="n">
        <v>2704.723</v>
      </c>
      <c r="B215" s="11" t="str">
        <f aca="false">IF(A215&gt;$N$4,"YES","NO")</f>
        <v>NO</v>
      </c>
      <c r="C215" s="9" t="n">
        <v>27</v>
      </c>
      <c r="D215" s="9" t="str">
        <f aca="false">IF(C215&gt;$N$5,"YES","NO")</f>
        <v>NO</v>
      </c>
      <c r="E215" s="9" t="n">
        <v>50</v>
      </c>
      <c r="F215" s="9" t="str">
        <f aca="false">IF(E215&gt;$N$6,"YES","NO")</f>
        <v>NO</v>
      </c>
      <c r="G215" s="13" t="s">
        <v>16</v>
      </c>
    </row>
    <row r="216" customFormat="false" ht="15.75" hidden="false" customHeight="false" outlineLevel="0" collapsed="false">
      <c r="A216" s="11" t="n">
        <v>974.988</v>
      </c>
      <c r="B216" s="11" t="str">
        <f aca="false">IF(A216&gt;$N$4,"YES","NO")</f>
        <v>NO</v>
      </c>
      <c r="C216" s="9" t="n">
        <v>30</v>
      </c>
      <c r="D216" s="9" t="str">
        <f aca="false">IF(C216&gt;$N$5,"YES","NO")</f>
        <v>NO</v>
      </c>
      <c r="E216" s="9" t="n">
        <v>66</v>
      </c>
      <c r="F216" s="9" t="str">
        <f aca="false">IF(E216&gt;$N$6,"YES","NO")</f>
        <v>YES</v>
      </c>
      <c r="G216" s="13" t="s">
        <v>16</v>
      </c>
    </row>
    <row r="217" customFormat="false" ht="15.75" hidden="false" customHeight="false" outlineLevel="0" collapsed="false">
      <c r="A217" s="11" t="n">
        <v>1707.762</v>
      </c>
      <c r="B217" s="11" t="str">
        <f aca="false">IF(A217&gt;$N$4,"YES","NO")</f>
        <v>NO</v>
      </c>
      <c r="C217" s="9" t="n">
        <v>36</v>
      </c>
      <c r="D217" s="9" t="str">
        <f aca="false">IF(C217&gt;$N$5,"YES","NO")</f>
        <v>NO</v>
      </c>
      <c r="E217" s="9" t="n">
        <v>51</v>
      </c>
      <c r="F217" s="9" t="str">
        <f aca="false">IF(E217&gt;$N$6,"YES","NO")</f>
        <v>NO</v>
      </c>
      <c r="G217" s="13" t="s">
        <v>13</v>
      </c>
    </row>
    <row r="218" customFormat="false" ht="15.75" hidden="false" customHeight="false" outlineLevel="0" collapsed="false">
      <c r="A218" s="11" t="n">
        <v>476.252</v>
      </c>
      <c r="B218" s="11" t="str">
        <f aca="false">IF(A218&gt;$N$4,"YES","NO")</f>
        <v>NO</v>
      </c>
      <c r="C218" s="9" t="n">
        <v>6</v>
      </c>
      <c r="D218" s="9" t="str">
        <f aca="false">IF(C218&gt;$N$5,"YES","NO")</f>
        <v>NO</v>
      </c>
      <c r="E218" s="9" t="n">
        <v>39</v>
      </c>
      <c r="F218" s="9" t="str">
        <f aca="false">IF(E218&gt;$N$6,"YES","NO")</f>
        <v>NO</v>
      </c>
      <c r="G218" s="13" t="s">
        <v>13</v>
      </c>
    </row>
    <row r="219" customFormat="false" ht="15.75" hidden="false" customHeight="false" outlineLevel="0" collapsed="false">
      <c r="A219" s="11" t="n">
        <v>1586.144</v>
      </c>
      <c r="B219" s="11" t="str">
        <f aca="false">IF(A219&gt;$N$4,"YES","NO")</f>
        <v>NO</v>
      </c>
      <c r="C219" s="9" t="n">
        <v>18</v>
      </c>
      <c r="D219" s="9" t="str">
        <f aca="false">IF(C219&gt;$N$5,"YES","NO")</f>
        <v>NO</v>
      </c>
      <c r="E219" s="9" t="n">
        <v>31</v>
      </c>
      <c r="F219" s="9" t="str">
        <f aca="false">IF(E219&gt;$N$6,"YES","NO")</f>
        <v>NO</v>
      </c>
      <c r="G219" s="13" t="s">
        <v>13</v>
      </c>
    </row>
    <row r="220" customFormat="false" ht="15.75" hidden="false" customHeight="false" outlineLevel="0" collapsed="false">
      <c r="A220" s="11" t="n">
        <v>1999.543</v>
      </c>
      <c r="B220" s="11" t="str">
        <f aca="false">IF(A220&gt;$N$4,"YES","NO")</f>
        <v>NO</v>
      </c>
      <c r="C220" s="9" t="n">
        <v>36</v>
      </c>
      <c r="D220" s="9" t="str">
        <f aca="false">IF(C220&gt;$N$5,"YES","NO")</f>
        <v>NO</v>
      </c>
      <c r="E220" s="9" t="n">
        <v>23</v>
      </c>
      <c r="F220" s="9" t="str">
        <f aca="false">IF(E220&gt;$N$6,"YES","NO")</f>
        <v>NO</v>
      </c>
      <c r="G220" s="13" t="s">
        <v>13</v>
      </c>
    </row>
    <row r="221" customFormat="false" ht="15.75" hidden="false" customHeight="false" outlineLevel="0" collapsed="false">
      <c r="A221" s="11" t="n">
        <v>1543.731</v>
      </c>
      <c r="B221" s="11" t="str">
        <f aca="false">IF(A221&gt;$N$4,"YES","NO")</f>
        <v>NO</v>
      </c>
      <c r="C221" s="9" t="n">
        <v>24</v>
      </c>
      <c r="D221" s="9" t="str">
        <f aca="false">IF(C221&gt;$N$5,"YES","NO")</f>
        <v>NO</v>
      </c>
      <c r="E221" s="9" t="n">
        <v>24</v>
      </c>
      <c r="F221" s="9" t="str">
        <f aca="false">IF(E221&gt;$N$6,"YES","NO")</f>
        <v>NO</v>
      </c>
      <c r="G221" s="13" t="s">
        <v>13</v>
      </c>
    </row>
    <row r="222" customFormat="false" ht="15.75" hidden="false" customHeight="false" outlineLevel="0" collapsed="false">
      <c r="A222" s="11" t="n">
        <v>697.004</v>
      </c>
      <c r="B222" s="11" t="str">
        <f aca="false">IF(A222&gt;$N$4,"YES","NO")</f>
        <v>NO</v>
      </c>
      <c r="C222" s="9" t="n">
        <v>10</v>
      </c>
      <c r="D222" s="9" t="str">
        <f aca="false">IF(C222&gt;$N$5,"YES","NO")</f>
        <v>NO</v>
      </c>
      <c r="E222" s="9" t="n">
        <v>64</v>
      </c>
      <c r="F222" s="9" t="str">
        <f aca="false">IF(E222&gt;$N$6,"YES","NO")</f>
        <v>NO</v>
      </c>
      <c r="G222" s="13" t="s">
        <v>13</v>
      </c>
    </row>
    <row r="223" customFormat="false" ht="15.75" hidden="false" customHeight="false" outlineLevel="0" collapsed="false">
      <c r="A223" s="11" t="n">
        <v>319.375</v>
      </c>
      <c r="B223" s="11" t="str">
        <f aca="false">IF(A223&gt;$N$4,"YES","NO")</f>
        <v>NO</v>
      </c>
      <c r="C223" s="9" t="n">
        <v>12</v>
      </c>
      <c r="D223" s="9" t="str">
        <f aca="false">IF(C223&gt;$N$5,"YES","NO")</f>
        <v>NO</v>
      </c>
      <c r="E223" s="9" t="n">
        <v>26</v>
      </c>
      <c r="F223" s="9" t="str">
        <f aca="false">IF(E223&gt;$N$6,"YES","NO")</f>
        <v>NO</v>
      </c>
      <c r="G223" s="13" t="s">
        <v>13</v>
      </c>
    </row>
    <row r="224" customFormat="false" ht="15.75" hidden="false" customHeight="false" outlineLevel="0" collapsed="false">
      <c r="A224" s="11" t="n">
        <v>613.2</v>
      </c>
      <c r="B224" s="11" t="str">
        <f aca="false">IF(A224&gt;$N$4,"YES","NO")</f>
        <v>NO</v>
      </c>
      <c r="C224" s="9" t="n">
        <v>12</v>
      </c>
      <c r="D224" s="9" t="str">
        <f aca="false">IF(C224&gt;$N$5,"YES","NO")</f>
        <v>NO</v>
      </c>
      <c r="E224" s="9" t="n">
        <v>23</v>
      </c>
      <c r="F224" s="9" t="str">
        <f aca="false">IF(E224&gt;$N$6,"YES","NO")</f>
        <v>NO</v>
      </c>
      <c r="G224" s="13" t="s">
        <v>13</v>
      </c>
    </row>
    <row r="225" customFormat="false" ht="15.75" hidden="false" customHeight="false" outlineLevel="0" collapsed="false">
      <c r="A225" s="11" t="n">
        <v>361.277</v>
      </c>
      <c r="B225" s="11" t="str">
        <f aca="false">IF(A225&gt;$N$4,"YES","NO")</f>
        <v>NO</v>
      </c>
      <c r="C225" s="9" t="n">
        <v>12</v>
      </c>
      <c r="D225" s="9" t="str">
        <f aca="false">IF(C225&gt;$N$5,"YES","NO")</f>
        <v>NO</v>
      </c>
      <c r="E225" s="9" t="n">
        <v>30</v>
      </c>
      <c r="F225" s="9" t="str">
        <f aca="false">IF(E225&gt;$N$6,"YES","NO")</f>
        <v>NO</v>
      </c>
      <c r="G225" s="13" t="s">
        <v>13</v>
      </c>
    </row>
    <row r="226" customFormat="false" ht="15.75" hidden="false" customHeight="false" outlineLevel="0" collapsed="false">
      <c r="A226" s="11" t="n">
        <v>1521.758</v>
      </c>
      <c r="B226" s="11" t="str">
        <f aca="false">IF(A226&gt;$N$4,"YES","NO")</f>
        <v>NO</v>
      </c>
      <c r="C226" s="9" t="n">
        <v>24</v>
      </c>
      <c r="D226" s="9" t="str">
        <f aca="false">IF(C226&gt;$N$5,"YES","NO")</f>
        <v>NO</v>
      </c>
      <c r="E226" s="9" t="n">
        <v>32</v>
      </c>
      <c r="F226" s="9" t="str">
        <f aca="false">IF(E226&gt;$N$6,"YES","NO")</f>
        <v>NO</v>
      </c>
      <c r="G226" s="13" t="s">
        <v>13</v>
      </c>
    </row>
    <row r="227" customFormat="false" ht="15.75" hidden="false" customHeight="false" outlineLevel="0" collapsed="false">
      <c r="A227" s="11" t="n">
        <v>2379.727</v>
      </c>
      <c r="B227" s="11" t="str">
        <f aca="false">IF(A227&gt;$N$4,"YES","NO")</f>
        <v>NO</v>
      </c>
      <c r="C227" s="9" t="n">
        <v>15</v>
      </c>
      <c r="D227" s="9" t="str">
        <f aca="false">IF(C227&gt;$N$5,"YES","NO")</f>
        <v>NO</v>
      </c>
      <c r="E227" s="9" t="n">
        <v>30</v>
      </c>
      <c r="F227" s="9" t="str">
        <f aca="false">IF(E227&gt;$N$6,"YES","NO")</f>
        <v>NO</v>
      </c>
      <c r="G227" s="13" t="s">
        <v>13</v>
      </c>
    </row>
    <row r="228" customFormat="false" ht="15.75" hidden="false" customHeight="false" outlineLevel="0" collapsed="false">
      <c r="A228" s="11" t="n">
        <v>1335.243</v>
      </c>
      <c r="B228" s="11" t="str">
        <f aca="false">IF(A228&gt;$N$4,"YES","NO")</f>
        <v>NO</v>
      </c>
      <c r="C228" s="9" t="n">
        <v>36</v>
      </c>
      <c r="D228" s="9" t="str">
        <f aca="false">IF(C228&gt;$N$5,"YES","NO")</f>
        <v>NO</v>
      </c>
      <c r="E228" s="9" t="n">
        <v>27</v>
      </c>
      <c r="F228" s="9" t="str">
        <f aca="false">IF(E228&gt;$N$6,"YES","NO")</f>
        <v>NO</v>
      </c>
      <c r="G228" s="13" t="s">
        <v>13</v>
      </c>
    </row>
    <row r="229" customFormat="false" ht="15.75" hidden="false" customHeight="false" outlineLevel="0" collapsed="false">
      <c r="A229" s="11" t="n">
        <v>5601.071</v>
      </c>
      <c r="B229" s="11" t="str">
        <f aca="false">IF(A229&gt;$N$4,"YES","NO")</f>
        <v>YES</v>
      </c>
      <c r="C229" s="9" t="n">
        <v>48</v>
      </c>
      <c r="D229" s="9" t="str">
        <f aca="false">IF(C229&gt;$N$5,"YES","NO")</f>
        <v>YES</v>
      </c>
      <c r="E229" s="9" t="n">
        <v>27</v>
      </c>
      <c r="F229" s="9" t="str">
        <f aca="false">IF(E229&gt;$N$6,"YES","NO")</f>
        <v>NO</v>
      </c>
      <c r="G229" s="13" t="s">
        <v>16</v>
      </c>
    </row>
    <row r="230" customFormat="false" ht="15.75" hidden="false" customHeight="false" outlineLevel="0" collapsed="false">
      <c r="A230" s="11" t="n">
        <v>4019.015</v>
      </c>
      <c r="B230" s="11" t="str">
        <f aca="false">IF(A230&gt;$N$4,"YES","NO")</f>
        <v>NO</v>
      </c>
      <c r="C230" s="9" t="n">
        <v>12</v>
      </c>
      <c r="D230" s="9" t="str">
        <f aca="false">IF(C230&gt;$N$5,"YES","NO")</f>
        <v>NO</v>
      </c>
      <c r="E230" s="9" t="n">
        <v>53</v>
      </c>
      <c r="F230" s="9" t="str">
        <f aca="false">IF(E230&gt;$N$6,"YES","NO")</f>
        <v>NO</v>
      </c>
      <c r="G230" s="13" t="s">
        <v>16</v>
      </c>
    </row>
    <row r="231" customFormat="false" ht="15.75" hidden="false" customHeight="false" outlineLevel="0" collapsed="false">
      <c r="A231" s="11" t="n">
        <v>755.258</v>
      </c>
      <c r="B231" s="11" t="str">
        <f aca="false">IF(A231&gt;$N$4,"YES","NO")</f>
        <v>NO</v>
      </c>
      <c r="C231" s="9" t="n">
        <v>9</v>
      </c>
      <c r="D231" s="9" t="str">
        <f aca="false">IF(C231&gt;$N$5,"YES","NO")</f>
        <v>NO</v>
      </c>
      <c r="E231" s="9" t="n">
        <v>22</v>
      </c>
      <c r="F231" s="9" t="str">
        <f aca="false">IF(E231&gt;$N$6,"YES","NO")</f>
        <v>NO</v>
      </c>
      <c r="G231" s="13" t="s">
        <v>16</v>
      </c>
    </row>
    <row r="232" customFormat="false" ht="15.75" hidden="false" customHeight="false" outlineLevel="0" collapsed="false">
      <c r="A232" s="11" t="n">
        <v>1609.139</v>
      </c>
      <c r="B232" s="11" t="str">
        <f aca="false">IF(A232&gt;$N$4,"YES","NO")</f>
        <v>NO</v>
      </c>
      <c r="C232" s="9" t="n">
        <v>24</v>
      </c>
      <c r="D232" s="9" t="str">
        <f aca="false">IF(C232&gt;$N$5,"YES","NO")</f>
        <v>NO</v>
      </c>
      <c r="E232" s="9" t="n">
        <v>22</v>
      </c>
      <c r="F232" s="9" t="str">
        <f aca="false">IF(E232&gt;$N$6,"YES","NO")</f>
        <v>NO</v>
      </c>
      <c r="G232" s="13" t="s">
        <v>13</v>
      </c>
    </row>
    <row r="233" customFormat="false" ht="15.75" hidden="false" customHeight="false" outlineLevel="0" collapsed="false">
      <c r="A233" s="11" t="n">
        <v>2151.31</v>
      </c>
      <c r="B233" s="11" t="str">
        <f aca="false">IF(A233&gt;$N$4,"YES","NO")</f>
        <v>NO</v>
      </c>
      <c r="C233" s="9" t="n">
        <v>36</v>
      </c>
      <c r="D233" s="9" t="str">
        <f aca="false">IF(C233&gt;$N$5,"YES","NO")</f>
        <v>NO</v>
      </c>
      <c r="E233" s="9" t="n">
        <v>26</v>
      </c>
      <c r="F233" s="9" t="str">
        <f aca="false">IF(E233&gt;$N$6,"YES","NO")</f>
        <v>NO</v>
      </c>
      <c r="G233" s="13" t="s">
        <v>16</v>
      </c>
    </row>
    <row r="234" customFormat="false" ht="15.75" hidden="false" customHeight="false" outlineLevel="0" collapsed="false">
      <c r="A234" s="11" t="n">
        <v>1281.077</v>
      </c>
      <c r="B234" s="11" t="str">
        <f aca="false">IF(A234&gt;$N$4,"YES","NO")</f>
        <v>NO</v>
      </c>
      <c r="C234" s="9" t="n">
        <v>9</v>
      </c>
      <c r="D234" s="9" t="str">
        <f aca="false">IF(C234&gt;$N$5,"YES","NO")</f>
        <v>NO</v>
      </c>
      <c r="E234" s="9" t="n">
        <v>51</v>
      </c>
      <c r="F234" s="9" t="str">
        <f aca="false">IF(E234&gt;$N$6,"YES","NO")</f>
        <v>NO</v>
      </c>
      <c r="G234" s="13" t="s">
        <v>13</v>
      </c>
    </row>
    <row r="235" customFormat="false" ht="15.75" hidden="false" customHeight="false" outlineLevel="0" collapsed="false">
      <c r="A235" s="11" t="n">
        <v>1094.051</v>
      </c>
      <c r="B235" s="11" t="str">
        <f aca="false">IF(A235&gt;$N$4,"YES","NO")</f>
        <v>NO</v>
      </c>
      <c r="C235" s="9" t="n">
        <v>12</v>
      </c>
      <c r="D235" s="9" t="str">
        <f aca="false">IF(C235&gt;$N$5,"YES","NO")</f>
        <v>NO</v>
      </c>
      <c r="E235" s="9" t="n">
        <v>35</v>
      </c>
      <c r="F235" s="9" t="str">
        <f aca="false">IF(E235&gt;$N$6,"YES","NO")</f>
        <v>NO</v>
      </c>
      <c r="G235" s="13" t="s">
        <v>13</v>
      </c>
    </row>
    <row r="236" customFormat="false" ht="15.75" hidden="false" customHeight="false" outlineLevel="0" collapsed="false">
      <c r="A236" s="11" t="n">
        <v>442.526</v>
      </c>
      <c r="B236" s="11" t="str">
        <f aca="false">IF(A236&gt;$N$4,"YES","NO")</f>
        <v>NO</v>
      </c>
      <c r="C236" s="9" t="n">
        <v>18</v>
      </c>
      <c r="D236" s="9" t="str">
        <f aca="false">IF(C236&gt;$N$5,"YES","NO")</f>
        <v>NO</v>
      </c>
      <c r="E236" s="9" t="n">
        <v>25</v>
      </c>
      <c r="F236" s="9" t="str">
        <f aca="false">IF(E236&gt;$N$6,"YES","NO")</f>
        <v>NO</v>
      </c>
      <c r="G236" s="13" t="s">
        <v>13</v>
      </c>
    </row>
    <row r="237" customFormat="false" ht="15.75" hidden="false" customHeight="false" outlineLevel="0" collapsed="false">
      <c r="A237" s="11" t="n">
        <v>788.984</v>
      </c>
      <c r="B237" s="11" t="str">
        <f aca="false">IF(A237&gt;$N$4,"YES","NO")</f>
        <v>NO</v>
      </c>
      <c r="C237" s="9" t="n">
        <v>4</v>
      </c>
      <c r="D237" s="9" t="str">
        <f aca="false">IF(C237&gt;$N$5,"YES","NO")</f>
        <v>NO</v>
      </c>
      <c r="E237" s="9" t="n">
        <v>42</v>
      </c>
      <c r="F237" s="9" t="str">
        <f aca="false">IF(E237&gt;$N$6,"YES","NO")</f>
        <v>NO</v>
      </c>
      <c r="G237" s="13" t="s">
        <v>13</v>
      </c>
    </row>
    <row r="238" customFormat="false" ht="15.75" hidden="false" customHeight="false" outlineLevel="0" collapsed="false">
      <c r="A238" s="11" t="n">
        <v>931.553</v>
      </c>
      <c r="B238" s="11" t="str">
        <f aca="false">IF(A238&gt;$N$4,"YES","NO")</f>
        <v>NO</v>
      </c>
      <c r="C238" s="9" t="n">
        <v>24</v>
      </c>
      <c r="D238" s="9" t="str">
        <f aca="false">IF(C238&gt;$N$5,"YES","NO")</f>
        <v>NO</v>
      </c>
      <c r="E238" s="9" t="n">
        <v>30</v>
      </c>
      <c r="F238" s="9" t="str">
        <f aca="false">IF(E238&gt;$N$6,"YES","NO")</f>
        <v>NO</v>
      </c>
      <c r="G238" s="13" t="s">
        <v>16</v>
      </c>
    </row>
    <row r="239" customFormat="false" ht="15.75" hidden="false" customHeight="false" outlineLevel="0" collapsed="false">
      <c r="A239" s="11" t="n">
        <v>7437.605</v>
      </c>
      <c r="B239" s="11" t="str">
        <f aca="false">IF(A239&gt;$N$4,"YES","NO")</f>
        <v>YES</v>
      </c>
      <c r="C239" s="9" t="n">
        <v>6</v>
      </c>
      <c r="D239" s="9" t="str">
        <f aca="false">IF(C239&gt;$N$5,"YES","NO")</f>
        <v>NO</v>
      </c>
      <c r="E239" s="9" t="n">
        <v>23</v>
      </c>
      <c r="F239" s="9" t="str">
        <f aca="false">IF(E239&gt;$N$6,"YES","NO")</f>
        <v>NO</v>
      </c>
      <c r="G239" s="13" t="s">
        <v>16</v>
      </c>
    </row>
    <row r="240" customFormat="false" ht="15.75" hidden="false" customHeight="false" outlineLevel="0" collapsed="false">
      <c r="A240" s="11" t="n">
        <v>1413.937</v>
      </c>
      <c r="B240" s="11" t="str">
        <f aca="false">IF(A240&gt;$N$4,"YES","NO")</f>
        <v>NO</v>
      </c>
      <c r="C240" s="9" t="n">
        <v>21</v>
      </c>
      <c r="D240" s="9" t="str">
        <f aca="false">IF(C240&gt;$N$5,"YES","NO")</f>
        <v>NO</v>
      </c>
      <c r="E240" s="9" t="n">
        <v>61</v>
      </c>
      <c r="F240" s="9" t="str">
        <f aca="false">IF(E240&gt;$N$6,"YES","NO")</f>
        <v>NO</v>
      </c>
      <c r="G240" s="13" t="s">
        <v>16</v>
      </c>
    </row>
    <row r="241" customFormat="false" ht="15.75" hidden="false" customHeight="false" outlineLevel="0" collapsed="false">
      <c r="A241" s="11" t="n">
        <v>659.701</v>
      </c>
      <c r="B241" s="11" t="str">
        <f aca="false">IF(A241&gt;$N$4,"YES","NO")</f>
        <v>NO</v>
      </c>
      <c r="C241" s="9" t="n">
        <v>12</v>
      </c>
      <c r="D241" s="9" t="str">
        <f aca="false">IF(C241&gt;$N$5,"YES","NO")</f>
        <v>NO</v>
      </c>
      <c r="E241" s="9" t="n">
        <v>35</v>
      </c>
      <c r="F241" s="9" t="str">
        <f aca="false">IF(E241&gt;$N$6,"YES","NO")</f>
        <v>NO</v>
      </c>
      <c r="G241" s="13" t="s">
        <v>13</v>
      </c>
    </row>
    <row r="242" customFormat="false" ht="15.75" hidden="false" customHeight="false" outlineLevel="0" collapsed="false">
      <c r="A242" s="11" t="n">
        <v>1288.742</v>
      </c>
      <c r="B242" s="11" t="str">
        <f aca="false">IF(A242&gt;$N$4,"YES","NO")</f>
        <v>NO</v>
      </c>
      <c r="C242" s="9" t="n">
        <v>30</v>
      </c>
      <c r="D242" s="9" t="str">
        <f aca="false">IF(C242&gt;$N$5,"YES","NO")</f>
        <v>NO</v>
      </c>
      <c r="E242" s="9" t="n">
        <v>39</v>
      </c>
      <c r="F242" s="9" t="str">
        <f aca="false">IF(E242&gt;$N$6,"YES","NO")</f>
        <v>NO</v>
      </c>
      <c r="G242" s="13" t="s">
        <v>13</v>
      </c>
    </row>
    <row r="243" customFormat="false" ht="15.75" hidden="false" customHeight="false" outlineLevel="0" collapsed="false">
      <c r="A243" s="11" t="n">
        <v>467.565</v>
      </c>
      <c r="B243" s="11" t="str">
        <f aca="false">IF(A243&gt;$N$4,"YES","NO")</f>
        <v>NO</v>
      </c>
      <c r="C243" s="9" t="n">
        <v>24</v>
      </c>
      <c r="D243" s="9" t="str">
        <f aca="false">IF(C243&gt;$N$5,"YES","NO")</f>
        <v>NO</v>
      </c>
      <c r="E243" s="9" t="n">
        <v>29</v>
      </c>
      <c r="F243" s="9" t="str">
        <f aca="false">IF(E243&gt;$N$6,"YES","NO")</f>
        <v>NO</v>
      </c>
      <c r="G243" s="13" t="s">
        <v>16</v>
      </c>
    </row>
    <row r="244" customFormat="false" ht="15.75" hidden="false" customHeight="false" outlineLevel="0" collapsed="false">
      <c r="A244" s="11" t="n">
        <v>815.045</v>
      </c>
      <c r="B244" s="11" t="str">
        <f aca="false">IF(A244&gt;$N$4,"YES","NO")</f>
        <v>NO</v>
      </c>
      <c r="C244" s="9" t="n">
        <v>6</v>
      </c>
      <c r="D244" s="9" t="str">
        <f aca="false">IF(C244&gt;$N$5,"YES","NO")</f>
        <v>NO</v>
      </c>
      <c r="E244" s="9" t="n">
        <v>51</v>
      </c>
      <c r="F244" s="9" t="str">
        <f aca="false">IF(E244&gt;$N$6,"YES","NO")</f>
        <v>NO</v>
      </c>
      <c r="G244" s="13" t="s">
        <v>13</v>
      </c>
    </row>
    <row r="245" customFormat="false" ht="15.75" hidden="false" customHeight="false" outlineLevel="0" collapsed="false">
      <c r="A245" s="11" t="n">
        <v>2353.155</v>
      </c>
      <c r="B245" s="11" t="str">
        <f aca="false">IF(A245&gt;$N$4,"YES","NO")</f>
        <v>NO</v>
      </c>
      <c r="C245" s="9" t="n">
        <v>48</v>
      </c>
      <c r="D245" s="9" t="str">
        <f aca="false">IF(C245&gt;$N$5,"YES","NO")</f>
        <v>YES</v>
      </c>
      <c r="E245" s="9" t="n">
        <v>24</v>
      </c>
      <c r="F245" s="9" t="str">
        <f aca="false">IF(E245&gt;$N$6,"YES","NO")</f>
        <v>NO</v>
      </c>
      <c r="G245" s="13" t="s">
        <v>16</v>
      </c>
    </row>
    <row r="246" customFormat="false" ht="15.75" hidden="false" customHeight="false" outlineLevel="0" collapsed="false">
      <c r="A246" s="11" t="n">
        <v>605.535</v>
      </c>
      <c r="B246" s="11" t="str">
        <f aca="false">IF(A246&gt;$N$4,"YES","NO")</f>
        <v>NO</v>
      </c>
      <c r="C246" s="9" t="n">
        <v>12</v>
      </c>
      <c r="D246" s="9" t="str">
        <f aca="false">IF(C246&gt;$N$5,"YES","NO")</f>
        <v>NO</v>
      </c>
      <c r="E246" s="9" t="n">
        <v>27</v>
      </c>
      <c r="F246" s="9" t="str">
        <f aca="false">IF(E246&gt;$N$6,"YES","NO")</f>
        <v>NO</v>
      </c>
      <c r="G246" s="13" t="s">
        <v>13</v>
      </c>
    </row>
    <row r="247" customFormat="false" ht="15.75" hidden="false" customHeight="false" outlineLevel="0" collapsed="false">
      <c r="A247" s="11" t="n">
        <v>1761.417</v>
      </c>
      <c r="B247" s="11" t="str">
        <f aca="false">IF(A247&gt;$N$4,"YES","NO")</f>
        <v>NO</v>
      </c>
      <c r="C247" s="9" t="n">
        <v>12</v>
      </c>
      <c r="D247" s="9" t="str">
        <f aca="false">IF(C247&gt;$N$5,"YES","NO")</f>
        <v>NO</v>
      </c>
      <c r="E247" s="9" t="n">
        <v>35</v>
      </c>
      <c r="F247" s="9" t="str">
        <f aca="false">IF(E247&gt;$N$6,"YES","NO")</f>
        <v>NO</v>
      </c>
      <c r="G247" s="13" t="s">
        <v>13</v>
      </c>
    </row>
    <row r="248" customFormat="false" ht="15.75" hidden="false" customHeight="false" outlineLevel="0" collapsed="false">
      <c r="A248" s="11" t="n">
        <v>642.838</v>
      </c>
      <c r="B248" s="11" t="str">
        <f aca="false">IF(A248&gt;$N$4,"YES","NO")</f>
        <v>NO</v>
      </c>
      <c r="C248" s="9" t="n">
        <v>24</v>
      </c>
      <c r="D248" s="9" t="str">
        <f aca="false">IF(C248&gt;$N$5,"YES","NO")</f>
        <v>NO</v>
      </c>
      <c r="E248" s="9" t="n">
        <v>25</v>
      </c>
      <c r="F248" s="9" t="str">
        <f aca="false">IF(E248&gt;$N$6,"YES","NO")</f>
        <v>NO</v>
      </c>
      <c r="G248" s="13" t="s">
        <v>13</v>
      </c>
    </row>
    <row r="249" customFormat="false" ht="15.75" hidden="false" customHeight="false" outlineLevel="0" collapsed="false">
      <c r="A249" s="11" t="n">
        <v>366.387</v>
      </c>
      <c r="B249" s="11" t="str">
        <f aca="false">IF(A249&gt;$N$4,"YES","NO")</f>
        <v>NO</v>
      </c>
      <c r="C249" s="9" t="n">
        <v>12</v>
      </c>
      <c r="D249" s="9" t="str">
        <f aca="false">IF(C249&gt;$N$5,"YES","NO")</f>
        <v>NO</v>
      </c>
      <c r="E249" s="9" t="n">
        <v>52</v>
      </c>
      <c r="F249" s="9" t="str">
        <f aca="false">IF(E249&gt;$N$6,"YES","NO")</f>
        <v>NO</v>
      </c>
      <c r="G249" s="13" t="s">
        <v>13</v>
      </c>
    </row>
    <row r="250" customFormat="false" ht="15.75" hidden="false" customHeight="false" outlineLevel="0" collapsed="false">
      <c r="A250" s="11" t="n">
        <v>615.244</v>
      </c>
      <c r="B250" s="11" t="str">
        <f aca="false">IF(A250&gt;$N$4,"YES","NO")</f>
        <v>NO</v>
      </c>
      <c r="C250" s="9" t="n">
        <v>6</v>
      </c>
      <c r="D250" s="9" t="str">
        <f aca="false">IF(C250&gt;$N$5,"YES","NO")</f>
        <v>NO</v>
      </c>
      <c r="E250" s="9" t="n">
        <v>35</v>
      </c>
      <c r="F250" s="9" t="str">
        <f aca="false">IF(E250&gt;$N$6,"YES","NO")</f>
        <v>NO</v>
      </c>
      <c r="G250" s="13" t="s">
        <v>13</v>
      </c>
    </row>
    <row r="251" customFormat="false" ht="15.75" hidden="false" customHeight="false" outlineLevel="0" collapsed="false">
      <c r="A251" s="11" t="n">
        <v>983.675</v>
      </c>
      <c r="B251" s="11" t="str">
        <f aca="false">IF(A251&gt;$N$4,"YES","NO")</f>
        <v>NO</v>
      </c>
      <c r="C251" s="9" t="n">
        <v>24</v>
      </c>
      <c r="D251" s="9" t="str">
        <f aca="false">IF(C251&gt;$N$5,"YES","NO")</f>
        <v>NO</v>
      </c>
      <c r="E251" s="9" t="n">
        <v>26</v>
      </c>
      <c r="F251" s="9" t="str">
        <f aca="false">IF(E251&gt;$N$6,"YES","NO")</f>
        <v>NO</v>
      </c>
      <c r="G251" s="13" t="s">
        <v>13</v>
      </c>
    </row>
    <row r="252" customFormat="false" ht="15.75" hidden="false" customHeight="false" outlineLevel="0" collapsed="false">
      <c r="A252" s="11" t="n">
        <v>221.263</v>
      </c>
      <c r="B252" s="11" t="str">
        <f aca="false">IF(A252&gt;$N$4,"YES","NO")</f>
        <v>NO</v>
      </c>
      <c r="C252" s="9" t="n">
        <v>18</v>
      </c>
      <c r="D252" s="9" t="str">
        <f aca="false">IF(C252&gt;$N$5,"YES","NO")</f>
        <v>NO</v>
      </c>
      <c r="E252" s="9" t="n">
        <v>22</v>
      </c>
      <c r="F252" s="9" t="str">
        <f aca="false">IF(E252&gt;$N$6,"YES","NO")</f>
        <v>NO</v>
      </c>
      <c r="G252" s="13" t="s">
        <v>16</v>
      </c>
    </row>
    <row r="253" customFormat="false" ht="15.75" hidden="false" customHeight="false" outlineLevel="0" collapsed="false">
      <c r="A253" s="11" t="n">
        <v>340.326</v>
      </c>
      <c r="B253" s="11" t="str">
        <f aca="false">IF(A253&gt;$N$4,"YES","NO")</f>
        <v>NO</v>
      </c>
      <c r="C253" s="9" t="n">
        <v>6</v>
      </c>
      <c r="D253" s="9" t="str">
        <f aca="false">IF(C253&gt;$N$5,"YES","NO")</f>
        <v>NO</v>
      </c>
      <c r="E253" s="9" t="n">
        <v>39</v>
      </c>
      <c r="F253" s="9" t="str">
        <f aca="false">IF(E253&gt;$N$6,"YES","NO")</f>
        <v>NO</v>
      </c>
      <c r="G253" s="13" t="s">
        <v>13</v>
      </c>
    </row>
    <row r="254" customFormat="false" ht="15.75" hidden="false" customHeight="false" outlineLevel="0" collapsed="false">
      <c r="A254" s="11" t="n">
        <v>1150.261</v>
      </c>
      <c r="B254" s="11" t="str">
        <f aca="false">IF(A254&gt;$N$4,"YES","NO")</f>
        <v>NO</v>
      </c>
      <c r="C254" s="9" t="n">
        <v>12</v>
      </c>
      <c r="D254" s="9" t="str">
        <f aca="false">IF(C254&gt;$N$5,"YES","NO")</f>
        <v>NO</v>
      </c>
      <c r="E254" s="9" t="n">
        <v>46</v>
      </c>
      <c r="F254" s="9" t="str">
        <f aca="false">IF(E254&gt;$N$6,"YES","NO")</f>
        <v>NO</v>
      </c>
      <c r="G254" s="13" t="s">
        <v>13</v>
      </c>
    </row>
    <row r="255" customFormat="false" ht="15.75" hidden="false" customHeight="false" outlineLevel="0" collapsed="false">
      <c r="A255" s="11" t="n">
        <v>1098.65</v>
      </c>
      <c r="B255" s="11" t="str">
        <f aca="false">IF(A255&gt;$N$4,"YES","NO")</f>
        <v>NO</v>
      </c>
      <c r="C255" s="9" t="n">
        <v>30</v>
      </c>
      <c r="D255" s="9" t="str">
        <f aca="false">IF(C255&gt;$N$5,"YES","NO")</f>
        <v>NO</v>
      </c>
      <c r="E255" s="9" t="n">
        <v>24</v>
      </c>
      <c r="F255" s="9" t="str">
        <f aca="false">IF(E255&gt;$N$6,"YES","NO")</f>
        <v>NO</v>
      </c>
      <c r="G255" s="13" t="s">
        <v>16</v>
      </c>
    </row>
    <row r="256" customFormat="false" ht="15.75" hidden="false" customHeight="false" outlineLevel="0" collapsed="false">
      <c r="A256" s="11" t="n">
        <v>2121.161</v>
      </c>
      <c r="B256" s="11" t="str">
        <f aca="false">IF(A256&gt;$N$4,"YES","NO")</f>
        <v>NO</v>
      </c>
      <c r="C256" s="9" t="n">
        <v>24</v>
      </c>
      <c r="D256" s="9" t="str">
        <f aca="false">IF(C256&gt;$N$5,"YES","NO")</f>
        <v>NO</v>
      </c>
      <c r="E256" s="9" t="n">
        <v>35</v>
      </c>
      <c r="F256" s="9" t="str">
        <f aca="false">IF(E256&gt;$N$6,"YES","NO")</f>
        <v>NO</v>
      </c>
      <c r="G256" s="13" t="s">
        <v>13</v>
      </c>
    </row>
    <row r="257" customFormat="false" ht="15.75" hidden="false" customHeight="false" outlineLevel="0" collapsed="false">
      <c r="A257" s="11" t="n">
        <v>1037.33</v>
      </c>
      <c r="B257" s="11" t="str">
        <f aca="false">IF(A257&gt;$N$4,"YES","NO")</f>
        <v>NO</v>
      </c>
      <c r="C257" s="9" t="n">
        <v>9</v>
      </c>
      <c r="D257" s="9" t="str">
        <f aca="false">IF(C257&gt;$N$5,"YES","NO")</f>
        <v>NO</v>
      </c>
      <c r="E257" s="9" t="n">
        <v>24</v>
      </c>
      <c r="F257" s="9" t="str">
        <f aca="false">IF(E257&gt;$N$6,"YES","NO")</f>
        <v>NO</v>
      </c>
      <c r="G257" s="13" t="s">
        <v>13</v>
      </c>
    </row>
    <row r="258" customFormat="false" ht="15.75" hidden="false" customHeight="false" outlineLevel="0" collapsed="false">
      <c r="A258" s="11" t="n">
        <v>3790.598</v>
      </c>
      <c r="B258" s="11" t="str">
        <f aca="false">IF(A258&gt;$N$4,"YES","NO")</f>
        <v>NO</v>
      </c>
      <c r="C258" s="9" t="n">
        <v>60</v>
      </c>
      <c r="D258" s="9" t="str">
        <f aca="false">IF(C258&gt;$N$5,"YES","NO")</f>
        <v>YES</v>
      </c>
      <c r="E258" s="9" t="n">
        <v>27</v>
      </c>
      <c r="F258" s="9" t="str">
        <f aca="false">IF(E258&gt;$N$6,"YES","NO")</f>
        <v>NO</v>
      </c>
      <c r="G258" s="13" t="s">
        <v>13</v>
      </c>
    </row>
    <row r="259" customFormat="false" ht="15.75" hidden="false" customHeight="false" outlineLevel="0" collapsed="false">
      <c r="A259" s="11" t="n">
        <v>1371.524</v>
      </c>
      <c r="B259" s="11" t="str">
        <f aca="false">IF(A259&gt;$N$4,"YES","NO")</f>
        <v>NO</v>
      </c>
      <c r="C259" s="9" t="n">
        <v>24</v>
      </c>
      <c r="D259" s="9" t="str">
        <f aca="false">IF(C259&gt;$N$5,"YES","NO")</f>
        <v>NO</v>
      </c>
      <c r="E259" s="9" t="n">
        <v>35</v>
      </c>
      <c r="F259" s="9" t="str">
        <f aca="false">IF(E259&gt;$N$6,"YES","NO")</f>
        <v>NO</v>
      </c>
      <c r="G259" s="13" t="s">
        <v>13</v>
      </c>
    </row>
    <row r="260" customFormat="false" ht="15.75" hidden="false" customHeight="false" outlineLevel="0" collapsed="false">
      <c r="A260" s="11" t="n">
        <v>1098.139</v>
      </c>
      <c r="B260" s="11" t="str">
        <f aca="false">IF(A260&gt;$N$4,"YES","NO")</f>
        <v>NO</v>
      </c>
      <c r="C260" s="9" t="n">
        <v>12</v>
      </c>
      <c r="D260" s="9" t="str">
        <f aca="false">IF(C260&gt;$N$5,"YES","NO")</f>
        <v>NO</v>
      </c>
      <c r="E260" s="9" t="n">
        <v>29</v>
      </c>
      <c r="F260" s="9" t="str">
        <f aca="false">IF(E260&gt;$N$6,"YES","NO")</f>
        <v>NO</v>
      </c>
      <c r="G260" s="13" t="s">
        <v>16</v>
      </c>
    </row>
    <row r="261" customFormat="false" ht="15.75" hidden="false" customHeight="false" outlineLevel="0" collapsed="false">
      <c r="A261" s="11" t="n">
        <v>1947.932</v>
      </c>
      <c r="B261" s="11" t="str">
        <f aca="false">IF(A261&gt;$N$4,"YES","NO")</f>
        <v>NO</v>
      </c>
      <c r="C261" s="9" t="n">
        <v>15</v>
      </c>
      <c r="D261" s="9" t="str">
        <f aca="false">IF(C261&gt;$N$5,"YES","NO")</f>
        <v>NO</v>
      </c>
      <c r="E261" s="9" t="n">
        <v>23</v>
      </c>
      <c r="F261" s="9" t="str">
        <f aca="false">IF(E261&gt;$N$6,"YES","NO")</f>
        <v>NO</v>
      </c>
      <c r="G261" s="13" t="s">
        <v>13</v>
      </c>
    </row>
    <row r="262" customFormat="false" ht="15.75" hidden="false" customHeight="false" outlineLevel="0" collapsed="false">
      <c r="A262" s="11" t="n">
        <v>589.694</v>
      </c>
      <c r="B262" s="11" t="str">
        <f aca="false">IF(A262&gt;$N$4,"YES","NO")</f>
        <v>NO</v>
      </c>
      <c r="C262" s="9" t="n">
        <v>11</v>
      </c>
      <c r="D262" s="9" t="str">
        <f aca="false">IF(C262&gt;$N$5,"YES","NO")</f>
        <v>NO</v>
      </c>
      <c r="E262" s="9" t="n">
        <v>57</v>
      </c>
      <c r="F262" s="9" t="str">
        <f aca="false">IF(E262&gt;$N$6,"YES","NO")</f>
        <v>NO</v>
      </c>
      <c r="G262" s="13" t="s">
        <v>13</v>
      </c>
    </row>
    <row r="263" customFormat="false" ht="15.75" hidden="false" customHeight="false" outlineLevel="0" collapsed="false">
      <c r="A263" s="11" t="n">
        <v>846.727</v>
      </c>
      <c r="B263" s="11" t="str">
        <f aca="false">IF(A263&gt;$N$4,"YES","NO")</f>
        <v>NO</v>
      </c>
      <c r="C263" s="9" t="n">
        <v>12</v>
      </c>
      <c r="D263" s="9" t="str">
        <f aca="false">IF(C263&gt;$N$5,"YES","NO")</f>
        <v>NO</v>
      </c>
      <c r="E263" s="9" t="n">
        <v>27</v>
      </c>
      <c r="F263" s="9" t="str">
        <f aca="false">IF(E263&gt;$N$6,"YES","NO")</f>
        <v>NO</v>
      </c>
      <c r="G263" s="13" t="s">
        <v>13</v>
      </c>
    </row>
    <row r="264" customFormat="false" ht="15.75" hidden="false" customHeight="false" outlineLevel="0" collapsed="false">
      <c r="A264" s="11" t="n">
        <v>819.133</v>
      </c>
      <c r="B264" s="11" t="str">
        <f aca="false">IF(A264&gt;$N$4,"YES","NO")</f>
        <v>NO</v>
      </c>
      <c r="C264" s="9" t="n">
        <v>24</v>
      </c>
      <c r="D264" s="9" t="str">
        <f aca="false">IF(C264&gt;$N$5,"YES","NO")</f>
        <v>NO</v>
      </c>
      <c r="E264" s="9" t="n">
        <v>55</v>
      </c>
      <c r="F264" s="9" t="str">
        <f aca="false">IF(E264&gt;$N$6,"YES","NO")</f>
        <v>NO</v>
      </c>
      <c r="G264" s="13" t="s">
        <v>13</v>
      </c>
    </row>
    <row r="265" customFormat="false" ht="15.75" hidden="false" customHeight="false" outlineLevel="0" collapsed="false">
      <c r="A265" s="11" t="n">
        <v>2709.322</v>
      </c>
      <c r="B265" s="11" t="str">
        <f aca="false">IF(A265&gt;$N$4,"YES","NO")</f>
        <v>NO</v>
      </c>
      <c r="C265" s="9" t="n">
        <v>18</v>
      </c>
      <c r="D265" s="9" t="str">
        <f aca="false">IF(C265&gt;$N$5,"YES","NO")</f>
        <v>NO</v>
      </c>
      <c r="E265" s="9" t="n">
        <v>36</v>
      </c>
      <c r="F265" s="9" t="str">
        <f aca="false">IF(E265&gt;$N$6,"YES","NO")</f>
        <v>NO</v>
      </c>
      <c r="G265" s="13" t="s">
        <v>13</v>
      </c>
    </row>
    <row r="266" customFormat="false" ht="15.75" hidden="false" customHeight="false" outlineLevel="0" collapsed="false">
      <c r="A266" s="11" t="n">
        <v>1404.228</v>
      </c>
      <c r="B266" s="11" t="str">
        <f aca="false">IF(A266&gt;$N$4,"YES","NO")</f>
        <v>NO</v>
      </c>
      <c r="C266" s="9" t="n">
        <v>12</v>
      </c>
      <c r="D266" s="9" t="str">
        <f aca="false">IF(C266&gt;$N$5,"YES","NO")</f>
        <v>NO</v>
      </c>
      <c r="E266" s="9" t="n">
        <v>57</v>
      </c>
      <c r="F266" s="9" t="str">
        <f aca="false">IF(E266&gt;$N$6,"YES","NO")</f>
        <v>NO</v>
      </c>
      <c r="G266" s="13" t="s">
        <v>13</v>
      </c>
    </row>
    <row r="267" customFormat="false" ht="15.75" hidden="false" customHeight="false" outlineLevel="0" collapsed="false">
      <c r="A267" s="11" t="n">
        <v>629.041</v>
      </c>
      <c r="B267" s="11" t="str">
        <f aca="false">IF(A267&gt;$N$4,"YES","NO")</f>
        <v>NO</v>
      </c>
      <c r="C267" s="9" t="n">
        <v>10</v>
      </c>
      <c r="D267" s="9" t="str">
        <f aca="false">IF(C267&gt;$N$5,"YES","NO")</f>
        <v>NO</v>
      </c>
      <c r="E267" s="9" t="n">
        <v>32</v>
      </c>
      <c r="F267" s="9" t="str">
        <f aca="false">IF(E267&gt;$N$6,"YES","NO")</f>
        <v>NO</v>
      </c>
      <c r="G267" s="13" t="s">
        <v>13</v>
      </c>
    </row>
    <row r="268" customFormat="false" ht="15.75" hidden="false" customHeight="false" outlineLevel="0" collapsed="false">
      <c r="A268" s="11" t="n">
        <v>409.822</v>
      </c>
      <c r="B268" s="11" t="str">
        <f aca="false">IF(A268&gt;$N$4,"YES","NO")</f>
        <v>NO</v>
      </c>
      <c r="C268" s="9" t="n">
        <v>15</v>
      </c>
      <c r="D268" s="9" t="str">
        <f aca="false">IF(C268&gt;$N$5,"YES","NO")</f>
        <v>NO</v>
      </c>
      <c r="E268" s="9" t="n">
        <v>37</v>
      </c>
      <c r="F268" s="9" t="str">
        <f aca="false">IF(E268&gt;$N$6,"YES","NO")</f>
        <v>NO</v>
      </c>
      <c r="G268" s="13" t="s">
        <v>16</v>
      </c>
    </row>
    <row r="269" customFormat="false" ht="15.75" hidden="false" customHeight="false" outlineLevel="0" collapsed="false">
      <c r="A269" s="11" t="n">
        <v>3221.344</v>
      </c>
      <c r="B269" s="11" t="str">
        <f aca="false">IF(A269&gt;$N$4,"YES","NO")</f>
        <v>NO</v>
      </c>
      <c r="C269" s="9" t="n">
        <v>36</v>
      </c>
      <c r="D269" s="9" t="str">
        <f aca="false">IF(C269&gt;$N$5,"YES","NO")</f>
        <v>NO</v>
      </c>
      <c r="E269" s="9" t="n">
        <v>36</v>
      </c>
      <c r="F269" s="9" t="str">
        <f aca="false">IF(E269&gt;$N$6,"YES","NO")</f>
        <v>NO</v>
      </c>
      <c r="G269" s="13" t="s">
        <v>13</v>
      </c>
    </row>
    <row r="270" customFormat="false" ht="15.75" hidden="false" customHeight="false" outlineLevel="0" collapsed="false">
      <c r="A270" s="11" t="n">
        <v>783.363</v>
      </c>
      <c r="B270" s="11" t="str">
        <f aca="false">IF(A270&gt;$N$4,"YES","NO")</f>
        <v>NO</v>
      </c>
      <c r="C270" s="9" t="n">
        <v>24</v>
      </c>
      <c r="D270" s="9" t="str">
        <f aca="false">IF(C270&gt;$N$5,"YES","NO")</f>
        <v>NO</v>
      </c>
      <c r="E270" s="9" t="n">
        <v>38</v>
      </c>
      <c r="F270" s="9" t="str">
        <f aca="false">IF(E270&gt;$N$6,"YES","NO")</f>
        <v>NO</v>
      </c>
      <c r="G270" s="13" t="s">
        <v>13</v>
      </c>
    </row>
    <row r="271" customFormat="false" ht="15.75" hidden="false" customHeight="false" outlineLevel="0" collapsed="false">
      <c r="A271" s="11" t="n">
        <v>4587.758</v>
      </c>
      <c r="B271" s="11" t="str">
        <f aca="false">IF(A271&gt;$N$4,"YES","NO")</f>
        <v>YES</v>
      </c>
      <c r="C271" s="9" t="n">
        <v>14</v>
      </c>
      <c r="D271" s="9" t="str">
        <f aca="false">IF(C271&gt;$N$5,"YES","NO")</f>
        <v>NO</v>
      </c>
      <c r="E271" s="9" t="n">
        <v>45</v>
      </c>
      <c r="F271" s="9" t="str">
        <f aca="false">IF(E271&gt;$N$6,"YES","NO")</f>
        <v>NO</v>
      </c>
      <c r="G271" s="13" t="s">
        <v>16</v>
      </c>
    </row>
    <row r="272" customFormat="false" ht="15.75" hidden="false" customHeight="false" outlineLevel="0" collapsed="false">
      <c r="A272" s="11" t="n">
        <v>510.489</v>
      </c>
      <c r="B272" s="11" t="str">
        <f aca="false">IF(A272&gt;$N$4,"YES","NO")</f>
        <v>NO</v>
      </c>
      <c r="C272" s="9" t="n">
        <v>24</v>
      </c>
      <c r="D272" s="9" t="str">
        <f aca="false">IF(C272&gt;$N$5,"YES","NO")</f>
        <v>NO</v>
      </c>
      <c r="E272" s="9" t="n">
        <v>25</v>
      </c>
      <c r="F272" s="9" t="str">
        <f aca="false">IF(E272&gt;$N$6,"YES","NO")</f>
        <v>NO</v>
      </c>
      <c r="G272" s="13" t="s">
        <v>13</v>
      </c>
    </row>
    <row r="273" customFormat="false" ht="15.75" hidden="false" customHeight="false" outlineLevel="0" collapsed="false">
      <c r="A273" s="11" t="n">
        <v>1360.282</v>
      </c>
      <c r="B273" s="11" t="str">
        <f aca="false">IF(A273&gt;$N$4,"YES","NO")</f>
        <v>NO</v>
      </c>
      <c r="C273" s="9" t="n">
        <v>18</v>
      </c>
      <c r="D273" s="9" t="str">
        <f aca="false">IF(C273&gt;$N$5,"YES","NO")</f>
        <v>NO</v>
      </c>
      <c r="E273" s="9" t="n">
        <v>32</v>
      </c>
      <c r="F273" s="9" t="str">
        <f aca="false">IF(E273&gt;$N$6,"YES","NO")</f>
        <v>NO</v>
      </c>
      <c r="G273" s="13" t="s">
        <v>13</v>
      </c>
    </row>
    <row r="274" customFormat="false" ht="15.75" hidden="false" customHeight="false" outlineLevel="0" collapsed="false">
      <c r="A274" s="11" t="n">
        <v>716.422</v>
      </c>
      <c r="B274" s="11" t="str">
        <f aca="false">IF(A274&gt;$N$4,"YES","NO")</f>
        <v>NO</v>
      </c>
      <c r="C274" s="9" t="n">
        <v>12</v>
      </c>
      <c r="D274" s="9" t="str">
        <f aca="false">IF(C274&gt;$N$5,"YES","NO")</f>
        <v>NO</v>
      </c>
      <c r="E274" s="9" t="n">
        <v>37</v>
      </c>
      <c r="F274" s="9" t="str">
        <f aca="false">IF(E274&gt;$N$6,"YES","NO")</f>
        <v>NO</v>
      </c>
      <c r="G274" s="13" t="s">
        <v>13</v>
      </c>
    </row>
    <row r="275" customFormat="false" ht="15.75" hidden="false" customHeight="false" outlineLevel="0" collapsed="false">
      <c r="A275" s="11" t="n">
        <v>6218.359</v>
      </c>
      <c r="B275" s="11" t="str">
        <f aca="false">IF(A275&gt;$N$4,"YES","NO")</f>
        <v>YES</v>
      </c>
      <c r="C275" s="9" t="n">
        <v>48</v>
      </c>
      <c r="D275" s="9" t="str">
        <f aca="false">IF(C275&gt;$N$5,"YES","NO")</f>
        <v>YES</v>
      </c>
      <c r="E275" s="9" t="n">
        <v>36</v>
      </c>
      <c r="F275" s="9" t="str">
        <f aca="false">IF(E275&gt;$N$6,"YES","NO")</f>
        <v>NO</v>
      </c>
      <c r="G275" s="13" t="s">
        <v>13</v>
      </c>
    </row>
    <row r="276" customFormat="false" ht="15.75" hidden="false" customHeight="false" outlineLevel="0" collapsed="false">
      <c r="A276" s="11" t="n">
        <v>1563.66</v>
      </c>
      <c r="B276" s="11" t="str">
        <f aca="false">IF(A276&gt;$N$4,"YES","NO")</f>
        <v>NO</v>
      </c>
      <c r="C276" s="9" t="n">
        <v>48</v>
      </c>
      <c r="D276" s="9" t="str">
        <f aca="false">IF(C276&gt;$N$5,"YES","NO")</f>
        <v>YES</v>
      </c>
      <c r="E276" s="9" t="n">
        <v>28</v>
      </c>
      <c r="F276" s="9" t="str">
        <f aca="false">IF(E276&gt;$N$6,"YES","NO")</f>
        <v>NO</v>
      </c>
      <c r="G276" s="13" t="s">
        <v>16</v>
      </c>
    </row>
    <row r="277" customFormat="false" ht="15.75" hidden="false" customHeight="false" outlineLevel="0" collapsed="false">
      <c r="A277" s="11" t="n">
        <v>6130.978</v>
      </c>
      <c r="B277" s="11" t="str">
        <f aca="false">IF(A277&gt;$N$4,"YES","NO")</f>
        <v>YES</v>
      </c>
      <c r="C277" s="9" t="n">
        <v>30</v>
      </c>
      <c r="D277" s="9" t="str">
        <f aca="false">IF(C277&gt;$N$5,"YES","NO")</f>
        <v>NO</v>
      </c>
      <c r="E277" s="9" t="n">
        <v>34</v>
      </c>
      <c r="F277" s="9" t="str">
        <f aca="false">IF(E277&gt;$N$6,"YES","NO")</f>
        <v>NO</v>
      </c>
      <c r="G277" s="13" t="s">
        <v>16</v>
      </c>
    </row>
    <row r="278" customFormat="false" ht="15.75" hidden="false" customHeight="false" outlineLevel="0" collapsed="false">
      <c r="A278" s="11" t="n">
        <v>1378.167</v>
      </c>
      <c r="B278" s="11" t="str">
        <f aca="false">IF(A278&gt;$N$4,"YES","NO")</f>
        <v>NO</v>
      </c>
      <c r="C278" s="9" t="n">
        <v>9</v>
      </c>
      <c r="D278" s="9" t="str">
        <f aca="false">IF(C278&gt;$N$5,"YES","NO")</f>
        <v>NO</v>
      </c>
      <c r="E278" s="9" t="n">
        <v>32</v>
      </c>
      <c r="F278" s="9" t="str">
        <f aca="false">IF(E278&gt;$N$6,"YES","NO")</f>
        <v>NO</v>
      </c>
      <c r="G278" s="13" t="s">
        <v>13</v>
      </c>
    </row>
    <row r="279" customFormat="false" ht="15.75" hidden="false" customHeight="false" outlineLevel="0" collapsed="false">
      <c r="A279" s="11" t="n">
        <v>1228.444</v>
      </c>
      <c r="B279" s="11" t="str">
        <f aca="false">IF(A279&gt;$N$4,"YES","NO")</f>
        <v>NO</v>
      </c>
      <c r="C279" s="9" t="n">
        <v>18</v>
      </c>
      <c r="D279" s="9" t="str">
        <f aca="false">IF(C279&gt;$N$5,"YES","NO")</f>
        <v>NO</v>
      </c>
      <c r="E279" s="9" t="n">
        <v>26</v>
      </c>
      <c r="F279" s="9" t="str">
        <f aca="false">IF(E279&gt;$N$6,"YES","NO")</f>
        <v>NO</v>
      </c>
      <c r="G279" s="13" t="s">
        <v>13</v>
      </c>
    </row>
    <row r="280" customFormat="false" ht="15.75" hidden="false" customHeight="false" outlineLevel="0" collapsed="false">
      <c r="A280" s="11" t="n">
        <v>644.882</v>
      </c>
      <c r="B280" s="11" t="str">
        <f aca="false">IF(A280&gt;$N$4,"YES","NO")</f>
        <v>NO</v>
      </c>
      <c r="C280" s="9" t="n">
        <v>12</v>
      </c>
      <c r="D280" s="9" t="str">
        <f aca="false">IF(C280&gt;$N$5,"YES","NO")</f>
        <v>NO</v>
      </c>
      <c r="E280" s="9" t="n">
        <v>49</v>
      </c>
      <c r="F280" s="9" t="str">
        <f aca="false">IF(E280&gt;$N$6,"YES","NO")</f>
        <v>NO</v>
      </c>
      <c r="G280" s="13" t="s">
        <v>13</v>
      </c>
    </row>
    <row r="281" customFormat="false" ht="15.75" hidden="false" customHeight="false" outlineLevel="0" collapsed="false">
      <c r="A281" s="11" t="n">
        <v>2356.221</v>
      </c>
      <c r="B281" s="11" t="str">
        <f aca="false">IF(A281&gt;$N$4,"YES","NO")</f>
        <v>NO</v>
      </c>
      <c r="C281" s="9" t="n">
        <v>6</v>
      </c>
      <c r="D281" s="9" t="str">
        <f aca="false">IF(C281&gt;$N$5,"YES","NO")</f>
        <v>NO</v>
      </c>
      <c r="E281" s="9" t="n">
        <v>32</v>
      </c>
      <c r="F281" s="9" t="str">
        <f aca="false">IF(E281&gt;$N$6,"YES","NO")</f>
        <v>NO</v>
      </c>
      <c r="G281" s="13" t="s">
        <v>16</v>
      </c>
    </row>
    <row r="282" customFormat="false" ht="15.75" hidden="false" customHeight="false" outlineLevel="0" collapsed="false">
      <c r="A282" s="11" t="n">
        <v>971.411</v>
      </c>
      <c r="B282" s="11" t="str">
        <f aca="false">IF(A282&gt;$N$4,"YES","NO")</f>
        <v>NO</v>
      </c>
      <c r="C282" s="9" t="n">
        <v>24</v>
      </c>
      <c r="D282" s="9" t="str">
        <f aca="false">IF(C282&gt;$N$5,"YES","NO")</f>
        <v>NO</v>
      </c>
      <c r="E282" s="9" t="n">
        <v>29</v>
      </c>
      <c r="F282" s="9" t="str">
        <f aca="false">IF(E282&gt;$N$6,"YES","NO")</f>
        <v>NO</v>
      </c>
      <c r="G282" s="13" t="s">
        <v>13</v>
      </c>
    </row>
    <row r="283" customFormat="false" ht="15.75" hidden="false" customHeight="false" outlineLevel="0" collapsed="false">
      <c r="A283" s="11" t="n">
        <v>1721.048</v>
      </c>
      <c r="B283" s="11" t="str">
        <f aca="false">IF(A283&gt;$N$4,"YES","NO")</f>
        <v>NO</v>
      </c>
      <c r="C283" s="9" t="n">
        <v>15</v>
      </c>
      <c r="D283" s="9" t="str">
        <f aca="false">IF(C283&gt;$N$5,"YES","NO")</f>
        <v>NO</v>
      </c>
      <c r="E283" s="9" t="n">
        <v>23</v>
      </c>
      <c r="F283" s="9" t="str">
        <f aca="false">IF(E283&gt;$N$6,"YES","NO")</f>
        <v>NO</v>
      </c>
      <c r="G283" s="13" t="s">
        <v>13</v>
      </c>
    </row>
    <row r="284" customFormat="false" ht="15.75" hidden="false" customHeight="false" outlineLevel="0" collapsed="false">
      <c r="A284" s="11" t="n">
        <v>804.314</v>
      </c>
      <c r="B284" s="11" t="str">
        <f aca="false">IF(A284&gt;$N$4,"YES","NO")</f>
        <v>NO</v>
      </c>
      <c r="C284" s="9" t="n">
        <v>12</v>
      </c>
      <c r="D284" s="9" t="str">
        <f aca="false">IF(C284&gt;$N$5,"YES","NO")</f>
        <v>NO</v>
      </c>
      <c r="E284" s="9" t="n">
        <v>50</v>
      </c>
      <c r="F284" s="9" t="str">
        <f aca="false">IF(E284&gt;$N$6,"YES","NO")</f>
        <v>NO</v>
      </c>
      <c r="G284" s="13" t="s">
        <v>13</v>
      </c>
    </row>
    <row r="285" customFormat="false" ht="15.75" hidden="false" customHeight="false" outlineLevel="0" collapsed="false">
      <c r="A285" s="11" t="n">
        <v>738.395</v>
      </c>
      <c r="B285" s="11" t="str">
        <f aca="false">IF(A285&gt;$N$4,"YES","NO")</f>
        <v>NO</v>
      </c>
      <c r="C285" s="9" t="n">
        <v>18</v>
      </c>
      <c r="D285" s="9" t="str">
        <f aca="false">IF(C285&gt;$N$5,"YES","NO")</f>
        <v>NO</v>
      </c>
      <c r="E285" s="9" t="n">
        <v>49</v>
      </c>
      <c r="F285" s="9" t="str">
        <f aca="false">IF(E285&gt;$N$6,"YES","NO")</f>
        <v>NO</v>
      </c>
      <c r="G285" s="13" t="s">
        <v>13</v>
      </c>
    </row>
    <row r="286" customFormat="false" ht="15.75" hidden="false" customHeight="false" outlineLevel="0" collapsed="false">
      <c r="A286" s="11" t="n">
        <v>776.72</v>
      </c>
      <c r="B286" s="11" t="str">
        <f aca="false">IF(A286&gt;$N$4,"YES","NO")</f>
        <v>NO</v>
      </c>
      <c r="C286" s="9" t="n">
        <v>15</v>
      </c>
      <c r="D286" s="9" t="str">
        <f aca="false">IF(C286&gt;$N$5,"YES","NO")</f>
        <v>NO</v>
      </c>
      <c r="E286" s="9" t="n">
        <v>63</v>
      </c>
      <c r="F286" s="9" t="str">
        <f aca="false">IF(E286&gt;$N$6,"YES","NO")</f>
        <v>NO</v>
      </c>
      <c r="G286" s="13" t="s">
        <v>13</v>
      </c>
    </row>
    <row r="287" customFormat="false" ht="15.75" hidden="false" customHeight="false" outlineLevel="0" collapsed="false">
      <c r="A287" s="11" t="n">
        <v>1981.658</v>
      </c>
      <c r="B287" s="11" t="str">
        <f aca="false">IF(A287&gt;$N$4,"YES","NO")</f>
        <v>NO</v>
      </c>
      <c r="C287" s="9" t="n">
        <v>24</v>
      </c>
      <c r="D287" s="9" t="str">
        <f aca="false">IF(C287&gt;$N$5,"YES","NO")</f>
        <v>NO</v>
      </c>
      <c r="E287" s="9" t="n">
        <v>37</v>
      </c>
      <c r="F287" s="9" t="str">
        <f aca="false">IF(E287&gt;$N$6,"YES","NO")</f>
        <v>NO</v>
      </c>
      <c r="G287" s="13" t="s">
        <v>13</v>
      </c>
    </row>
    <row r="288" customFormat="false" ht="15.75" hidden="false" customHeight="false" outlineLevel="0" collapsed="false">
      <c r="A288" s="11" t="n">
        <v>5478.942</v>
      </c>
      <c r="B288" s="11" t="str">
        <f aca="false">IF(A288&gt;$N$4,"YES","NO")</f>
        <v>YES</v>
      </c>
      <c r="C288" s="9" t="n">
        <v>47</v>
      </c>
      <c r="D288" s="9" t="str">
        <f aca="false">IF(C288&gt;$N$5,"YES","NO")</f>
        <v>YES</v>
      </c>
      <c r="E288" s="9" t="n">
        <v>35</v>
      </c>
      <c r="F288" s="9" t="str">
        <f aca="false">IF(E288&gt;$N$6,"YES","NO")</f>
        <v>NO</v>
      </c>
      <c r="G288" s="13" t="s">
        <v>13</v>
      </c>
    </row>
    <row r="289" customFormat="false" ht="15.75" hidden="false" customHeight="false" outlineLevel="0" collapsed="false">
      <c r="A289" s="11" t="n">
        <v>2446.668</v>
      </c>
      <c r="B289" s="11" t="str">
        <f aca="false">IF(A289&gt;$N$4,"YES","NO")</f>
        <v>NO</v>
      </c>
      <c r="C289" s="9" t="n">
        <v>48</v>
      </c>
      <c r="D289" s="9" t="str">
        <f aca="false">IF(C289&gt;$N$5,"YES","NO")</f>
        <v>YES</v>
      </c>
      <c r="E289" s="9" t="n">
        <v>26</v>
      </c>
      <c r="F289" s="9" t="str">
        <f aca="false">IF(E289&gt;$N$6,"YES","NO")</f>
        <v>NO</v>
      </c>
      <c r="G289" s="13" t="s">
        <v>13</v>
      </c>
    </row>
    <row r="290" customFormat="false" ht="15.75" hidden="false" customHeight="false" outlineLevel="0" collapsed="false">
      <c r="A290" s="11" t="n">
        <v>3874.402</v>
      </c>
      <c r="B290" s="11" t="str">
        <f aca="false">IF(A290&gt;$N$4,"YES","NO")</f>
        <v>NO</v>
      </c>
      <c r="C290" s="9" t="n">
        <v>48</v>
      </c>
      <c r="D290" s="9" t="str">
        <f aca="false">IF(C290&gt;$N$5,"YES","NO")</f>
        <v>YES</v>
      </c>
      <c r="E290" s="9" t="n">
        <v>31</v>
      </c>
      <c r="F290" s="9" t="str">
        <f aca="false">IF(E290&gt;$N$6,"YES","NO")</f>
        <v>NO</v>
      </c>
      <c r="G290" s="13" t="s">
        <v>13</v>
      </c>
    </row>
    <row r="291" customFormat="false" ht="15.75" hidden="false" customHeight="false" outlineLevel="0" collapsed="false">
      <c r="A291" s="11" t="n">
        <v>558.012</v>
      </c>
      <c r="B291" s="11" t="str">
        <f aca="false">IF(A291&gt;$N$4,"YES","NO")</f>
        <v>NO</v>
      </c>
      <c r="C291" s="9" t="n">
        <v>12</v>
      </c>
      <c r="D291" s="9" t="str">
        <f aca="false">IF(C291&gt;$N$5,"YES","NO")</f>
        <v>NO</v>
      </c>
      <c r="E291" s="9" t="n">
        <v>49</v>
      </c>
      <c r="F291" s="9" t="str">
        <f aca="false">IF(E291&gt;$N$6,"YES","NO")</f>
        <v>NO</v>
      </c>
      <c r="G291" s="13" t="s">
        <v>13</v>
      </c>
    </row>
    <row r="292" customFormat="false" ht="15.75" hidden="false" customHeight="false" outlineLevel="0" collapsed="false">
      <c r="A292" s="11" t="n">
        <v>523.264</v>
      </c>
      <c r="B292" s="11" t="str">
        <f aca="false">IF(A292&gt;$N$4,"YES","NO")</f>
        <v>NO</v>
      </c>
      <c r="C292" s="9" t="n">
        <v>24</v>
      </c>
      <c r="D292" s="9" t="str">
        <f aca="false">IF(C292&gt;$N$5,"YES","NO")</f>
        <v>NO</v>
      </c>
      <c r="E292" s="9" t="n">
        <v>48</v>
      </c>
      <c r="F292" s="9" t="str">
        <f aca="false">IF(E292&gt;$N$6,"YES","NO")</f>
        <v>NO</v>
      </c>
      <c r="G292" s="13" t="s">
        <v>16</v>
      </c>
    </row>
    <row r="293" customFormat="false" ht="15.75" hidden="false" customHeight="false" outlineLevel="0" collapsed="false">
      <c r="A293" s="11" t="n">
        <v>549.836</v>
      </c>
      <c r="B293" s="11" t="str">
        <f aca="false">IF(A293&gt;$N$4,"YES","NO")</f>
        <v>NO</v>
      </c>
      <c r="C293" s="9" t="n">
        <v>12</v>
      </c>
      <c r="D293" s="9" t="str">
        <f aca="false">IF(C293&gt;$N$5,"YES","NO")</f>
        <v>NO</v>
      </c>
      <c r="E293" s="9" t="n">
        <v>26</v>
      </c>
      <c r="F293" s="9" t="str">
        <f aca="false">IF(E293&gt;$N$6,"YES","NO")</f>
        <v>NO</v>
      </c>
      <c r="G293" s="13" t="s">
        <v>13</v>
      </c>
    </row>
    <row r="294" customFormat="false" ht="15.75" hidden="false" customHeight="false" outlineLevel="0" collapsed="false">
      <c r="A294" s="11" t="n">
        <v>4802.378</v>
      </c>
      <c r="B294" s="11" t="str">
        <f aca="false">IF(A294&gt;$N$4,"YES","NO")</f>
        <v>YES</v>
      </c>
      <c r="C294" s="9" t="n">
        <v>36</v>
      </c>
      <c r="D294" s="9" t="str">
        <f aca="false">IF(C294&gt;$N$5,"YES","NO")</f>
        <v>NO</v>
      </c>
      <c r="E294" s="9" t="n">
        <v>28</v>
      </c>
      <c r="F294" s="9" t="str">
        <f aca="false">IF(E294&gt;$N$6,"YES","NO")</f>
        <v>NO</v>
      </c>
      <c r="G294" s="13" t="s">
        <v>16</v>
      </c>
    </row>
    <row r="295" customFormat="false" ht="15.75" hidden="false" customHeight="false" outlineLevel="0" collapsed="false">
      <c r="A295" s="11" t="n">
        <v>3280.109</v>
      </c>
      <c r="B295" s="11" t="str">
        <f aca="false">IF(A295&gt;$N$4,"YES","NO")</f>
        <v>NO</v>
      </c>
      <c r="C295" s="9" t="n">
        <v>24</v>
      </c>
      <c r="D295" s="9" t="str">
        <f aca="false">IF(C295&gt;$N$5,"YES","NO")</f>
        <v>NO</v>
      </c>
      <c r="E295" s="9" t="n">
        <v>44</v>
      </c>
      <c r="F295" s="9" t="str">
        <f aca="false">IF(E295&gt;$N$6,"YES","NO")</f>
        <v>NO</v>
      </c>
      <c r="G295" s="13" t="s">
        <v>13</v>
      </c>
    </row>
    <row r="296" customFormat="false" ht="15.75" hidden="false" customHeight="false" outlineLevel="0" collapsed="false">
      <c r="A296" s="11" t="n">
        <v>2450.756</v>
      </c>
      <c r="B296" s="11" t="str">
        <f aca="false">IF(A296&gt;$N$4,"YES","NO")</f>
        <v>NO</v>
      </c>
      <c r="C296" s="9" t="n">
        <v>42</v>
      </c>
      <c r="D296" s="9" t="str">
        <f aca="false">IF(C296&gt;$N$5,"YES","NO")</f>
        <v>NO</v>
      </c>
      <c r="E296" s="9" t="n">
        <v>56</v>
      </c>
      <c r="F296" s="9" t="str">
        <f aca="false">IF(E296&gt;$N$6,"YES","NO")</f>
        <v>NO</v>
      </c>
      <c r="G296" s="13" t="s">
        <v>13</v>
      </c>
    </row>
    <row r="297" customFormat="false" ht="15.75" hidden="false" customHeight="false" outlineLevel="0" collapsed="false">
      <c r="A297" s="11" t="n">
        <v>3898.419</v>
      </c>
      <c r="B297" s="11" t="str">
        <f aca="false">IF(A297&gt;$N$4,"YES","NO")</f>
        <v>NO</v>
      </c>
      <c r="C297" s="9" t="n">
        <v>48</v>
      </c>
      <c r="D297" s="9" t="str">
        <f aca="false">IF(C297&gt;$N$5,"YES","NO")</f>
        <v>YES</v>
      </c>
      <c r="E297" s="9" t="n">
        <v>46</v>
      </c>
      <c r="F297" s="9" t="str">
        <f aca="false">IF(E297&gt;$N$6,"YES","NO")</f>
        <v>NO</v>
      </c>
      <c r="G297" s="13" t="s">
        <v>13</v>
      </c>
    </row>
    <row r="298" customFormat="false" ht="15.75" hidden="false" customHeight="false" outlineLevel="0" collapsed="false">
      <c r="A298" s="11" t="n">
        <v>5089.56</v>
      </c>
      <c r="B298" s="11" t="str">
        <f aca="false">IF(A298&gt;$N$4,"YES","NO")</f>
        <v>YES</v>
      </c>
      <c r="C298" s="9" t="n">
        <v>48</v>
      </c>
      <c r="D298" s="9" t="str">
        <f aca="false">IF(C298&gt;$N$5,"YES","NO")</f>
        <v>YES</v>
      </c>
      <c r="E298" s="9" t="n">
        <v>26</v>
      </c>
      <c r="F298" s="9" t="str">
        <f aca="false">IF(E298&gt;$N$6,"YES","NO")</f>
        <v>NO</v>
      </c>
      <c r="G298" s="13" t="s">
        <v>16</v>
      </c>
    </row>
    <row r="299" customFormat="false" ht="15.75" hidden="false" customHeight="false" outlineLevel="0" collapsed="false">
      <c r="A299" s="11" t="n">
        <v>2388.925</v>
      </c>
      <c r="B299" s="11" t="str">
        <f aca="false">IF(A299&gt;$N$4,"YES","NO")</f>
        <v>NO</v>
      </c>
      <c r="C299" s="9" t="n">
        <v>12</v>
      </c>
      <c r="D299" s="9" t="str">
        <f aca="false">IF(C299&gt;$N$5,"YES","NO")</f>
        <v>NO</v>
      </c>
      <c r="E299" s="9" t="n">
        <v>20</v>
      </c>
      <c r="F299" s="9" t="str">
        <f aca="false">IF(E299&gt;$N$6,"YES","NO")</f>
        <v>NO</v>
      </c>
      <c r="G299" s="13" t="s">
        <v>13</v>
      </c>
    </row>
    <row r="300" customFormat="false" ht="15.75" hidden="false" customHeight="false" outlineLevel="0" collapsed="false">
      <c r="A300" s="11" t="n">
        <v>657.657</v>
      </c>
      <c r="B300" s="11" t="str">
        <f aca="false">IF(A300&gt;$N$4,"YES","NO")</f>
        <v>NO</v>
      </c>
      <c r="C300" s="9" t="n">
        <v>10</v>
      </c>
      <c r="D300" s="9" t="str">
        <f aca="false">IF(C300&gt;$N$5,"YES","NO")</f>
        <v>NO</v>
      </c>
      <c r="E300" s="9" t="n">
        <v>45</v>
      </c>
      <c r="F300" s="9" t="str">
        <f aca="false">IF(E300&gt;$N$6,"YES","NO")</f>
        <v>NO</v>
      </c>
      <c r="G300" s="13" t="s">
        <v>13</v>
      </c>
    </row>
    <row r="301" customFormat="false" ht="15.75" hidden="false" customHeight="false" outlineLevel="0" collapsed="false">
      <c r="A301" s="11" t="n">
        <v>1285.165</v>
      </c>
      <c r="B301" s="11" t="str">
        <f aca="false">IF(A301&gt;$N$4,"YES","NO")</f>
        <v>NO</v>
      </c>
      <c r="C301" s="9" t="n">
        <v>18</v>
      </c>
      <c r="D301" s="9" t="str">
        <f aca="false">IF(C301&gt;$N$5,"YES","NO")</f>
        <v>NO</v>
      </c>
      <c r="E301" s="9" t="n">
        <v>43</v>
      </c>
      <c r="F301" s="9" t="str">
        <f aca="false">IF(E301&gt;$N$6,"YES","NO")</f>
        <v>NO</v>
      </c>
      <c r="G301" s="13" t="s">
        <v>13</v>
      </c>
    </row>
    <row r="302" customFormat="false" ht="15.75" hidden="false" customHeight="false" outlineLevel="0" collapsed="false">
      <c r="A302" s="11" t="n">
        <v>1402.695</v>
      </c>
      <c r="B302" s="11" t="str">
        <f aca="false">IF(A302&gt;$N$4,"YES","NO")</f>
        <v>NO</v>
      </c>
      <c r="C302" s="9" t="n">
        <v>21</v>
      </c>
      <c r="D302" s="9" t="str">
        <f aca="false">IF(C302&gt;$N$5,"YES","NO")</f>
        <v>NO</v>
      </c>
      <c r="E302" s="9" t="n">
        <v>32</v>
      </c>
      <c r="F302" s="9" t="str">
        <f aca="false">IF(E302&gt;$N$6,"YES","NO")</f>
        <v>NO</v>
      </c>
      <c r="G302" s="13" t="s">
        <v>13</v>
      </c>
    </row>
    <row r="303" customFormat="false" ht="15.75" hidden="false" customHeight="false" outlineLevel="0" collapsed="false">
      <c r="A303" s="11" t="n">
        <v>343.392</v>
      </c>
      <c r="B303" s="11" t="str">
        <f aca="false">IF(A303&gt;$N$4,"YES","NO")</f>
        <v>NO</v>
      </c>
      <c r="C303" s="9" t="n">
        <v>6</v>
      </c>
      <c r="D303" s="9" t="str">
        <f aca="false">IF(C303&gt;$N$5,"YES","NO")</f>
        <v>NO</v>
      </c>
      <c r="E303" s="9" t="n">
        <v>54</v>
      </c>
      <c r="F303" s="9" t="str">
        <f aca="false">IF(E303&gt;$N$6,"YES","NO")</f>
        <v>NO</v>
      </c>
      <c r="G303" s="13" t="s">
        <v>13</v>
      </c>
    </row>
    <row r="304" customFormat="false" ht="15.75" hidden="false" customHeight="false" outlineLevel="0" collapsed="false">
      <c r="A304" s="11" t="n">
        <v>1943.844</v>
      </c>
      <c r="B304" s="11" t="str">
        <f aca="false">IF(A304&gt;$N$4,"YES","NO")</f>
        <v>NO</v>
      </c>
      <c r="C304" s="9" t="n">
        <v>36</v>
      </c>
      <c r="D304" s="9" t="str">
        <f aca="false">IF(C304&gt;$N$5,"YES","NO")</f>
        <v>NO</v>
      </c>
      <c r="E304" s="9" t="n">
        <v>42</v>
      </c>
      <c r="F304" s="9" t="str">
        <f aca="false">IF(E304&gt;$N$6,"YES","NO")</f>
        <v>NO</v>
      </c>
      <c r="G304" s="13" t="s">
        <v>16</v>
      </c>
    </row>
    <row r="305" customFormat="false" ht="15.75" hidden="false" customHeight="false" outlineLevel="0" collapsed="false">
      <c r="A305" s="11" t="n">
        <v>686.784</v>
      </c>
      <c r="B305" s="11" t="str">
        <f aca="false">IF(A305&gt;$N$4,"YES","NO")</f>
        <v>NO</v>
      </c>
      <c r="C305" s="9" t="n">
        <v>24</v>
      </c>
      <c r="D305" s="9" t="str">
        <f aca="false">IF(C305&gt;$N$5,"YES","NO")</f>
        <v>NO</v>
      </c>
      <c r="E305" s="9" t="n">
        <v>37</v>
      </c>
      <c r="F305" s="9" t="str">
        <f aca="false">IF(E305&gt;$N$6,"YES","NO")</f>
        <v>NO</v>
      </c>
      <c r="G305" s="13" t="s">
        <v>16</v>
      </c>
    </row>
    <row r="306" customFormat="false" ht="15.75" hidden="false" customHeight="false" outlineLevel="0" collapsed="false">
      <c r="A306" s="11" t="n">
        <v>530.418</v>
      </c>
      <c r="B306" s="11" t="str">
        <f aca="false">IF(A306&gt;$N$4,"YES","NO")</f>
        <v>NO</v>
      </c>
      <c r="C306" s="9" t="n">
        <v>10</v>
      </c>
      <c r="D306" s="9" t="str">
        <f aca="false">IF(C306&gt;$N$5,"YES","NO")</f>
        <v>NO</v>
      </c>
      <c r="E306" s="9" t="n">
        <v>49</v>
      </c>
      <c r="F306" s="9" t="str">
        <f aca="false">IF(E306&gt;$N$6,"YES","NO")</f>
        <v>NO</v>
      </c>
      <c r="G306" s="13" t="s">
        <v>13</v>
      </c>
    </row>
    <row r="307" customFormat="false" ht="15.75" hidden="false" customHeight="false" outlineLevel="0" collapsed="false">
      <c r="A307" s="11" t="n">
        <v>5174.897</v>
      </c>
      <c r="B307" s="11" t="str">
        <f aca="false">IF(A307&gt;$N$4,"YES","NO")</f>
        <v>YES</v>
      </c>
      <c r="C307" s="9" t="n">
        <v>48</v>
      </c>
      <c r="D307" s="9" t="str">
        <f aca="false">IF(C307&gt;$N$5,"YES","NO")</f>
        <v>YES</v>
      </c>
      <c r="E307" s="9" t="n">
        <v>44</v>
      </c>
      <c r="F307" s="9" t="str">
        <f aca="false">IF(E307&gt;$N$6,"YES","NO")</f>
        <v>NO</v>
      </c>
      <c r="G307" s="13" t="s">
        <v>16</v>
      </c>
    </row>
    <row r="308" customFormat="false" ht="15.75" hidden="false" customHeight="false" outlineLevel="0" collapsed="false">
      <c r="A308" s="11" t="n">
        <v>788.473</v>
      </c>
      <c r="B308" s="11" t="str">
        <f aca="false">IF(A308&gt;$N$4,"YES","NO")</f>
        <v>NO</v>
      </c>
      <c r="C308" s="9" t="n">
        <v>6</v>
      </c>
      <c r="D308" s="9" t="str">
        <f aca="false">IF(C308&gt;$N$5,"YES","NO")</f>
        <v>NO</v>
      </c>
      <c r="E308" s="9" t="n">
        <v>33</v>
      </c>
      <c r="F308" s="9" t="str">
        <f aca="false">IF(E308&gt;$N$6,"YES","NO")</f>
        <v>NO</v>
      </c>
      <c r="G308" s="13" t="s">
        <v>13</v>
      </c>
    </row>
    <row r="309" customFormat="false" ht="15.75" hidden="false" customHeight="false" outlineLevel="0" collapsed="false">
      <c r="A309" s="11" t="n">
        <v>2458.421</v>
      </c>
      <c r="B309" s="11" t="str">
        <f aca="false">IF(A309&gt;$N$4,"YES","NO")</f>
        <v>NO</v>
      </c>
      <c r="C309" s="9" t="n">
        <v>30</v>
      </c>
      <c r="D309" s="9" t="str">
        <f aca="false">IF(C309&gt;$N$5,"YES","NO")</f>
        <v>NO</v>
      </c>
      <c r="E309" s="9" t="n">
        <v>24</v>
      </c>
      <c r="F309" s="9" t="str">
        <f aca="false">IF(E309&gt;$N$6,"YES","NO")</f>
        <v>NO</v>
      </c>
      <c r="G309" s="13" t="s">
        <v>13</v>
      </c>
    </row>
    <row r="310" customFormat="false" ht="15.75" hidden="false" customHeight="false" outlineLevel="0" collapsed="false">
      <c r="A310" s="11" t="n">
        <v>371.497</v>
      </c>
      <c r="B310" s="11" t="str">
        <f aca="false">IF(A310&gt;$N$4,"YES","NO")</f>
        <v>NO</v>
      </c>
      <c r="C310" s="9" t="n">
        <v>12</v>
      </c>
      <c r="D310" s="9" t="str">
        <f aca="false">IF(C310&gt;$N$5,"YES","NO")</f>
        <v>NO</v>
      </c>
      <c r="E310" s="9" t="n">
        <v>33</v>
      </c>
      <c r="F310" s="9" t="str">
        <f aca="false">IF(E310&gt;$N$6,"YES","NO")</f>
        <v>NO</v>
      </c>
      <c r="G310" s="13" t="s">
        <v>16</v>
      </c>
    </row>
    <row r="311" customFormat="false" ht="15.75" hidden="false" customHeight="false" outlineLevel="0" collapsed="false">
      <c r="A311" s="11" t="n">
        <v>632.107</v>
      </c>
      <c r="B311" s="11" t="str">
        <f aca="false">IF(A311&gt;$N$4,"YES","NO")</f>
        <v>NO</v>
      </c>
      <c r="C311" s="9" t="n">
        <v>8</v>
      </c>
      <c r="D311" s="9" t="str">
        <f aca="false">IF(C311&gt;$N$5,"YES","NO")</f>
        <v>NO</v>
      </c>
      <c r="E311" s="9" t="n">
        <v>24</v>
      </c>
      <c r="F311" s="9" t="str">
        <f aca="false">IF(E311&gt;$N$6,"YES","NO")</f>
        <v>NO</v>
      </c>
      <c r="G311" s="13" t="s">
        <v>16</v>
      </c>
    </row>
    <row r="312" customFormat="false" ht="15.75" hidden="false" customHeight="false" outlineLevel="0" collapsed="false">
      <c r="A312" s="11" t="n">
        <v>141.036</v>
      </c>
      <c r="B312" s="11" t="str">
        <f aca="false">IF(A312&gt;$N$4,"YES","NO")</f>
        <v>NO</v>
      </c>
      <c r="C312" s="9" t="n">
        <v>9</v>
      </c>
      <c r="D312" s="9" t="str">
        <f aca="false">IF(C312&gt;$N$5,"YES","NO")</f>
        <v>NO</v>
      </c>
      <c r="E312" s="9" t="n">
        <v>22</v>
      </c>
      <c r="F312" s="9" t="str">
        <f aca="false">IF(E312&gt;$N$6,"YES","NO")</f>
        <v>NO</v>
      </c>
      <c r="G312" s="13" t="s">
        <v>13</v>
      </c>
    </row>
    <row r="313" customFormat="false" ht="15.75" hidden="false" customHeight="false" outlineLevel="0" collapsed="false">
      <c r="A313" s="11" t="n">
        <v>2749.691</v>
      </c>
      <c r="B313" s="11" t="str">
        <f aca="false">IF(A313&gt;$N$4,"YES","NO")</f>
        <v>NO</v>
      </c>
      <c r="C313" s="9" t="n">
        <v>48</v>
      </c>
      <c r="D313" s="9" t="str">
        <f aca="false">IF(C313&gt;$N$5,"YES","NO")</f>
        <v>YES</v>
      </c>
      <c r="E313" s="9" t="n">
        <v>40</v>
      </c>
      <c r="F313" s="9" t="str">
        <f aca="false">IF(E313&gt;$N$6,"YES","NO")</f>
        <v>NO</v>
      </c>
      <c r="G313" s="13" t="s">
        <v>13</v>
      </c>
    </row>
    <row r="314" customFormat="false" ht="15.75" hidden="false" customHeight="false" outlineLevel="0" collapsed="false">
      <c r="A314" s="11" t="n">
        <v>2816.121</v>
      </c>
      <c r="B314" s="11" t="str">
        <f aca="false">IF(A314&gt;$N$4,"YES","NO")</f>
        <v>NO</v>
      </c>
      <c r="C314" s="9" t="n">
        <v>24</v>
      </c>
      <c r="D314" s="9" t="str">
        <f aca="false">IF(C314&gt;$N$5,"YES","NO")</f>
        <v>NO</v>
      </c>
      <c r="E314" s="9" t="n">
        <v>25</v>
      </c>
      <c r="F314" s="9" t="str">
        <f aca="false">IF(E314&gt;$N$6,"YES","NO")</f>
        <v>NO</v>
      </c>
      <c r="G314" s="13" t="s">
        <v>13</v>
      </c>
    </row>
    <row r="315" customFormat="false" ht="15.75" hidden="false" customHeight="false" outlineLevel="0" collapsed="false">
      <c r="A315" s="11" t="n">
        <v>1915.739</v>
      </c>
      <c r="B315" s="11" t="str">
        <f aca="false">IF(A315&gt;$N$4,"YES","NO")</f>
        <v>NO</v>
      </c>
      <c r="C315" s="9" t="n">
        <v>24</v>
      </c>
      <c r="D315" s="9" t="str">
        <f aca="false">IF(C315&gt;$N$5,"YES","NO")</f>
        <v>NO</v>
      </c>
      <c r="E315" s="9" t="n">
        <v>26</v>
      </c>
      <c r="F315" s="9" t="str">
        <f aca="false">IF(E315&gt;$N$6,"YES","NO")</f>
        <v>NO</v>
      </c>
      <c r="G315" s="13" t="s">
        <v>13</v>
      </c>
    </row>
    <row r="316" customFormat="false" ht="15.75" hidden="false" customHeight="false" outlineLevel="0" collapsed="false">
      <c r="A316" s="11" t="n">
        <v>350.035</v>
      </c>
      <c r="B316" s="11" t="str">
        <f aca="false">IF(A316&gt;$N$4,"YES","NO")</f>
        <v>NO</v>
      </c>
      <c r="C316" s="9" t="n">
        <v>12</v>
      </c>
      <c r="D316" s="9" t="str">
        <f aca="false">IF(C316&gt;$N$5,"YES","NO")</f>
        <v>NO</v>
      </c>
      <c r="E316" s="9" t="n">
        <v>25</v>
      </c>
      <c r="F316" s="9" t="str">
        <f aca="false">IF(E316&gt;$N$6,"YES","NO")</f>
        <v>NO</v>
      </c>
      <c r="G316" s="13" t="s">
        <v>16</v>
      </c>
    </row>
    <row r="317" customFormat="false" ht="15.75" hidden="false" customHeight="false" outlineLevel="0" collapsed="false">
      <c r="A317" s="11" t="n">
        <v>763.434</v>
      </c>
      <c r="B317" s="11" t="str">
        <f aca="false">IF(A317&gt;$N$4,"YES","NO")</f>
        <v>NO</v>
      </c>
      <c r="C317" s="9" t="n">
        <v>4</v>
      </c>
      <c r="D317" s="9" t="str">
        <f aca="false">IF(C317&gt;$N$5,"YES","NO")</f>
        <v>NO</v>
      </c>
      <c r="E317" s="9" t="n">
        <v>29</v>
      </c>
      <c r="F317" s="9" t="str">
        <f aca="false">IF(E317&gt;$N$6,"YES","NO")</f>
        <v>NO</v>
      </c>
      <c r="G317" s="13" t="s">
        <v>13</v>
      </c>
    </row>
    <row r="318" customFormat="false" ht="15.75" hidden="false" customHeight="false" outlineLevel="0" collapsed="false">
      <c r="A318" s="11" t="n">
        <v>1403.206</v>
      </c>
      <c r="B318" s="11" t="str">
        <f aca="false">IF(A318&gt;$N$4,"YES","NO")</f>
        <v>NO</v>
      </c>
      <c r="C318" s="9" t="n">
        <v>36</v>
      </c>
      <c r="D318" s="9" t="str">
        <f aca="false">IF(C318&gt;$N$5,"YES","NO")</f>
        <v>NO</v>
      </c>
      <c r="E318" s="9" t="n">
        <v>31</v>
      </c>
      <c r="F318" s="9" t="str">
        <f aca="false">IF(E318&gt;$N$6,"YES","NO")</f>
        <v>NO</v>
      </c>
      <c r="G318" s="13" t="s">
        <v>16</v>
      </c>
    </row>
    <row r="319" customFormat="false" ht="15.75" hidden="false" customHeight="false" outlineLevel="0" collapsed="false">
      <c r="A319" s="11" t="n">
        <v>361.788</v>
      </c>
      <c r="B319" s="11" t="str">
        <f aca="false">IF(A319&gt;$N$4,"YES","NO")</f>
        <v>NO</v>
      </c>
      <c r="C319" s="9" t="n">
        <v>12</v>
      </c>
      <c r="D319" s="9" t="str">
        <f aca="false">IF(C319&gt;$N$5,"YES","NO")</f>
        <v>NO</v>
      </c>
      <c r="E319" s="9" t="n">
        <v>38</v>
      </c>
      <c r="F319" s="9" t="str">
        <f aca="false">IF(E319&gt;$N$6,"YES","NO")</f>
        <v>NO</v>
      </c>
      <c r="G319" s="13" t="s">
        <v>13</v>
      </c>
    </row>
    <row r="320" customFormat="false" ht="15.75" hidden="false" customHeight="false" outlineLevel="0" collapsed="false">
      <c r="A320" s="11" t="n">
        <v>2223.361</v>
      </c>
      <c r="B320" s="11" t="str">
        <f aca="false">IF(A320&gt;$N$4,"YES","NO")</f>
        <v>NO</v>
      </c>
      <c r="C320" s="9" t="n">
        <v>24</v>
      </c>
      <c r="D320" s="9" t="str">
        <f aca="false">IF(C320&gt;$N$5,"YES","NO")</f>
        <v>NO</v>
      </c>
      <c r="E320" s="9" t="n">
        <v>48</v>
      </c>
      <c r="F320" s="9" t="str">
        <f aca="false">IF(E320&gt;$N$6,"YES","NO")</f>
        <v>NO</v>
      </c>
      <c r="G320" s="13" t="s">
        <v>13</v>
      </c>
    </row>
    <row r="321" customFormat="false" ht="15.75" hidden="false" customHeight="false" outlineLevel="0" collapsed="false">
      <c r="A321" s="11" t="n">
        <v>358.211</v>
      </c>
      <c r="B321" s="11" t="str">
        <f aca="false">IF(A321&gt;$N$4,"YES","NO")</f>
        <v>NO</v>
      </c>
      <c r="C321" s="9" t="n">
        <v>12</v>
      </c>
      <c r="D321" s="9" t="str">
        <f aca="false">IF(C321&gt;$N$5,"YES","NO")</f>
        <v>NO</v>
      </c>
      <c r="E321" s="9" t="n">
        <v>32</v>
      </c>
      <c r="F321" s="9" t="str">
        <f aca="false">IF(E321&gt;$N$6,"YES","NO")</f>
        <v>NO</v>
      </c>
      <c r="G321" s="13" t="s">
        <v>13</v>
      </c>
    </row>
    <row r="322" customFormat="false" ht="15.75" hidden="false" customHeight="false" outlineLevel="0" collapsed="false">
      <c r="A322" s="11" t="n">
        <v>1861.573</v>
      </c>
      <c r="B322" s="11" t="str">
        <f aca="false">IF(A322&gt;$N$4,"YES","NO")</f>
        <v>NO</v>
      </c>
      <c r="C322" s="9" t="n">
        <v>15</v>
      </c>
      <c r="D322" s="9" t="str">
        <f aca="false">IF(C322&gt;$N$5,"YES","NO")</f>
        <v>NO</v>
      </c>
      <c r="E322" s="9" t="n">
        <v>27</v>
      </c>
      <c r="F322" s="9" t="str">
        <f aca="false">IF(E322&gt;$N$6,"YES","NO")</f>
        <v>NO</v>
      </c>
      <c r="G322" s="13" t="s">
        <v>13</v>
      </c>
    </row>
    <row r="323" customFormat="false" ht="15.75" hidden="false" customHeight="false" outlineLevel="0" collapsed="false">
      <c r="A323" s="11" t="n">
        <v>2171.239</v>
      </c>
      <c r="B323" s="11" t="str">
        <f aca="false">IF(A323&gt;$N$4,"YES","NO")</f>
        <v>NO</v>
      </c>
      <c r="C323" s="9" t="n">
        <v>30</v>
      </c>
      <c r="D323" s="9" t="str">
        <f aca="false">IF(C323&gt;$N$5,"YES","NO")</f>
        <v>NO</v>
      </c>
      <c r="E323" s="9" t="n">
        <v>28</v>
      </c>
      <c r="F323" s="9" t="str">
        <f aca="false">IF(E323&gt;$N$6,"YES","NO")</f>
        <v>NO</v>
      </c>
      <c r="G323" s="13" t="s">
        <v>16</v>
      </c>
    </row>
    <row r="324" customFormat="false" ht="15.75" hidden="false" customHeight="false" outlineLevel="0" collapsed="false">
      <c r="A324" s="11" t="n">
        <v>990.318</v>
      </c>
      <c r="B324" s="11" t="str">
        <f aca="false">IF(A324&gt;$N$4,"YES","NO")</f>
        <v>NO</v>
      </c>
      <c r="C324" s="9" t="n">
        <v>24</v>
      </c>
      <c r="D324" s="9" t="str">
        <f aca="false">IF(C324&gt;$N$5,"YES","NO")</f>
        <v>NO</v>
      </c>
      <c r="E324" s="9" t="n">
        <v>32</v>
      </c>
      <c r="F324" s="9" t="str">
        <f aca="false">IF(E324&gt;$N$6,"YES","NO")</f>
        <v>NO</v>
      </c>
      <c r="G324" s="13" t="s">
        <v>16</v>
      </c>
    </row>
    <row r="325" customFormat="false" ht="15.75" hidden="false" customHeight="false" outlineLevel="0" collapsed="false">
      <c r="A325" s="11" t="n">
        <v>1487.01</v>
      </c>
      <c r="B325" s="11" t="str">
        <f aca="false">IF(A325&gt;$N$4,"YES","NO")</f>
        <v>NO</v>
      </c>
      <c r="C325" s="9" t="n">
        <v>24</v>
      </c>
      <c r="D325" s="9" t="str">
        <f aca="false">IF(C325&gt;$N$5,"YES","NO")</f>
        <v>NO</v>
      </c>
      <c r="E325" s="9" t="n">
        <v>34</v>
      </c>
      <c r="F325" s="9" t="str">
        <f aca="false">IF(E325&gt;$N$6,"YES","NO")</f>
        <v>NO</v>
      </c>
      <c r="G325" s="13" t="s">
        <v>13</v>
      </c>
    </row>
    <row r="326" customFormat="false" ht="15.75" hidden="false" customHeight="false" outlineLevel="0" collapsed="false">
      <c r="A326" s="11" t="n">
        <v>1358.749</v>
      </c>
      <c r="B326" s="11" t="str">
        <f aca="false">IF(A326&gt;$N$4,"YES","NO")</f>
        <v>NO</v>
      </c>
      <c r="C326" s="9" t="n">
        <v>18</v>
      </c>
      <c r="D326" s="9" t="str">
        <f aca="false">IF(C326&gt;$N$5,"YES","NO")</f>
        <v>NO</v>
      </c>
      <c r="E326" s="9" t="n">
        <v>28</v>
      </c>
      <c r="F326" s="9" t="str">
        <f aca="false">IF(E326&gt;$N$6,"YES","NO")</f>
        <v>NO</v>
      </c>
      <c r="G326" s="13" t="s">
        <v>13</v>
      </c>
    </row>
    <row r="327" customFormat="false" ht="15.75" hidden="false" customHeight="false" outlineLevel="0" collapsed="false">
      <c r="A327" s="11" t="n">
        <v>525.308</v>
      </c>
      <c r="B327" s="11" t="str">
        <f aca="false">IF(A327&gt;$N$4,"YES","NO")</f>
        <v>NO</v>
      </c>
      <c r="C327" s="9" t="n">
        <v>18</v>
      </c>
      <c r="D327" s="9" t="str">
        <f aca="false">IF(C327&gt;$N$5,"YES","NO")</f>
        <v>NO</v>
      </c>
      <c r="E327" s="9" t="n">
        <v>36</v>
      </c>
      <c r="F327" s="9" t="str">
        <f aca="false">IF(E327&gt;$N$6,"YES","NO")</f>
        <v>NO</v>
      </c>
      <c r="G327" s="13" t="s">
        <v>13</v>
      </c>
    </row>
    <row r="328" customFormat="false" ht="15.75" hidden="false" customHeight="false" outlineLevel="0" collapsed="false">
      <c r="A328" s="11" t="n">
        <v>1736.378</v>
      </c>
      <c r="B328" s="11" t="str">
        <f aca="false">IF(A328&gt;$N$4,"YES","NO")</f>
        <v>NO</v>
      </c>
      <c r="C328" s="9" t="n">
        <v>8</v>
      </c>
      <c r="D328" s="9" t="str">
        <f aca="false">IF(C328&gt;$N$5,"YES","NO")</f>
        <v>NO</v>
      </c>
      <c r="E328" s="9" t="n">
        <v>39</v>
      </c>
      <c r="F328" s="9" t="str">
        <f aca="false">IF(E328&gt;$N$6,"YES","NO")</f>
        <v>NO</v>
      </c>
      <c r="G328" s="13" t="s">
        <v>13</v>
      </c>
    </row>
    <row r="329" customFormat="false" ht="15.75" hidden="false" customHeight="false" outlineLevel="0" collapsed="false">
      <c r="A329" s="11" t="n">
        <v>2964.311</v>
      </c>
      <c r="B329" s="11" t="str">
        <f aca="false">IF(A329&gt;$N$4,"YES","NO")</f>
        <v>NO</v>
      </c>
      <c r="C329" s="9" t="n">
        <v>12</v>
      </c>
      <c r="D329" s="9" t="str">
        <f aca="false">IF(C329&gt;$N$5,"YES","NO")</f>
        <v>NO</v>
      </c>
      <c r="E329" s="9" t="n">
        <v>49</v>
      </c>
      <c r="F329" s="9" t="str">
        <f aca="false">IF(E329&gt;$N$6,"YES","NO")</f>
        <v>NO</v>
      </c>
      <c r="G329" s="13" t="s">
        <v>13</v>
      </c>
    </row>
    <row r="330" customFormat="false" ht="15.75" hidden="false" customHeight="false" outlineLevel="0" collapsed="false">
      <c r="A330" s="11" t="n">
        <v>779.275</v>
      </c>
      <c r="B330" s="11" t="str">
        <f aca="false">IF(A330&gt;$N$4,"YES","NO")</f>
        <v>NO</v>
      </c>
      <c r="C330" s="9" t="n">
        <v>24</v>
      </c>
      <c r="D330" s="9" t="str">
        <f aca="false">IF(C330&gt;$N$5,"YES","NO")</f>
        <v>NO</v>
      </c>
      <c r="E330" s="9" t="n">
        <v>34</v>
      </c>
      <c r="F330" s="9" t="str">
        <f aca="false">IF(E330&gt;$N$6,"YES","NO")</f>
        <v>NO</v>
      </c>
      <c r="G330" s="13" t="s">
        <v>13</v>
      </c>
    </row>
    <row r="331" customFormat="false" ht="15.75" hidden="false" customHeight="false" outlineLevel="0" collapsed="false">
      <c r="A331" s="11" t="n">
        <v>2285.703</v>
      </c>
      <c r="B331" s="11" t="str">
        <f aca="false">IF(A331&gt;$N$4,"YES","NO")</f>
        <v>NO</v>
      </c>
      <c r="C331" s="9" t="n">
        <v>36</v>
      </c>
      <c r="D331" s="9" t="str">
        <f aca="false">IF(C331&gt;$N$5,"YES","NO")</f>
        <v>NO</v>
      </c>
      <c r="E331" s="9" t="n">
        <v>31</v>
      </c>
      <c r="F331" s="9" t="str">
        <f aca="false">IF(E331&gt;$N$6,"YES","NO")</f>
        <v>NO</v>
      </c>
      <c r="G331" s="13" t="s">
        <v>13</v>
      </c>
    </row>
    <row r="332" customFormat="false" ht="15.75" hidden="false" customHeight="false" outlineLevel="0" collapsed="false">
      <c r="A332" s="11" t="n">
        <v>545.748</v>
      </c>
      <c r="B332" s="11" t="str">
        <f aca="false">IF(A332&gt;$N$4,"YES","NO")</f>
        <v>NO</v>
      </c>
      <c r="C332" s="9" t="n">
        <v>6</v>
      </c>
      <c r="D332" s="9" t="str">
        <f aca="false">IF(C332&gt;$N$5,"YES","NO")</f>
        <v>NO</v>
      </c>
      <c r="E332" s="9" t="n">
        <v>28</v>
      </c>
      <c r="F332" s="9" t="str">
        <f aca="false">IF(E332&gt;$N$6,"YES","NO")</f>
        <v>NO</v>
      </c>
      <c r="G332" s="13" t="s">
        <v>13</v>
      </c>
    </row>
    <row r="333" customFormat="false" ht="15.75" hidden="false" customHeight="false" outlineLevel="0" collapsed="false">
      <c r="A333" s="11" t="n">
        <v>3380.265</v>
      </c>
      <c r="B333" s="11" t="str">
        <f aca="false">IF(A333&gt;$N$4,"YES","NO")</f>
        <v>NO</v>
      </c>
      <c r="C333" s="9" t="n">
        <v>24</v>
      </c>
      <c r="D333" s="9" t="str">
        <f aca="false">IF(C333&gt;$N$5,"YES","NO")</f>
        <v>NO</v>
      </c>
      <c r="E333" s="9" t="n">
        <v>75</v>
      </c>
      <c r="F333" s="9" t="str">
        <f aca="false">IF(E333&gt;$N$6,"YES","NO")</f>
        <v>YES</v>
      </c>
      <c r="G333" s="13" t="s">
        <v>13</v>
      </c>
    </row>
    <row r="334" customFormat="false" ht="15.75" hidden="false" customHeight="false" outlineLevel="0" collapsed="false">
      <c r="A334" s="11" t="n">
        <v>952.504</v>
      </c>
      <c r="B334" s="11" t="str">
        <f aca="false">IF(A334&gt;$N$4,"YES","NO")</f>
        <v>NO</v>
      </c>
      <c r="C334" s="9" t="n">
        <v>18</v>
      </c>
      <c r="D334" s="9" t="str">
        <f aca="false">IF(C334&gt;$N$5,"YES","NO")</f>
        <v>NO</v>
      </c>
      <c r="E334" s="9" t="n">
        <v>30</v>
      </c>
      <c r="F334" s="9" t="str">
        <f aca="false">IF(E334&gt;$N$6,"YES","NO")</f>
        <v>NO</v>
      </c>
      <c r="G334" s="13" t="s">
        <v>16</v>
      </c>
    </row>
    <row r="335" customFormat="false" ht="15.75" hidden="false" customHeight="false" outlineLevel="0" collapsed="false">
      <c r="A335" s="11" t="n">
        <v>3785.488</v>
      </c>
      <c r="B335" s="11" t="str">
        <f aca="false">IF(A335&gt;$N$4,"YES","NO")</f>
        <v>NO</v>
      </c>
      <c r="C335" s="9" t="n">
        <v>60</v>
      </c>
      <c r="D335" s="9" t="str">
        <f aca="false">IF(C335&gt;$N$5,"YES","NO")</f>
        <v>YES</v>
      </c>
      <c r="E335" s="9" t="n">
        <v>24</v>
      </c>
      <c r="F335" s="9" t="str">
        <f aca="false">IF(E335&gt;$N$6,"YES","NO")</f>
        <v>NO</v>
      </c>
      <c r="G335" s="13" t="s">
        <v>16</v>
      </c>
    </row>
    <row r="336" customFormat="false" ht="15.75" hidden="false" customHeight="false" outlineLevel="0" collapsed="false">
      <c r="A336" s="11" t="n">
        <v>5922.49</v>
      </c>
      <c r="B336" s="11" t="str">
        <f aca="false">IF(A336&gt;$N$4,"YES","NO")</f>
        <v>YES</v>
      </c>
      <c r="C336" s="9" t="n">
        <v>48</v>
      </c>
      <c r="D336" s="9" t="str">
        <f aca="false">IF(C336&gt;$N$5,"YES","NO")</f>
        <v>YES</v>
      </c>
      <c r="E336" s="9" t="n">
        <v>24</v>
      </c>
      <c r="F336" s="9" t="str">
        <f aca="false">IF(E336&gt;$N$6,"YES","NO")</f>
        <v>NO</v>
      </c>
      <c r="G336" s="13" t="s">
        <v>16</v>
      </c>
    </row>
    <row r="337" customFormat="false" ht="15.75" hidden="false" customHeight="false" outlineLevel="0" collapsed="false">
      <c r="A337" s="11" t="n">
        <v>2100.21</v>
      </c>
      <c r="B337" s="11" t="str">
        <f aca="false">IF(A337&gt;$N$4,"YES","NO")</f>
        <v>NO</v>
      </c>
      <c r="C337" s="9" t="n">
        <v>24</v>
      </c>
      <c r="D337" s="9" t="str">
        <f aca="false">IF(C337&gt;$N$5,"YES","NO")</f>
        <v>NO</v>
      </c>
      <c r="E337" s="9" t="n">
        <v>23</v>
      </c>
      <c r="F337" s="9" t="str">
        <f aca="false">IF(E337&gt;$N$6,"YES","NO")</f>
        <v>NO</v>
      </c>
      <c r="G337" s="13" t="s">
        <v>16</v>
      </c>
    </row>
    <row r="338" customFormat="false" ht="15.75" hidden="false" customHeight="false" outlineLevel="0" collapsed="false">
      <c r="A338" s="11" t="n">
        <v>1729.224</v>
      </c>
      <c r="B338" s="11" t="str">
        <f aca="false">IF(A338&gt;$N$4,"YES","NO")</f>
        <v>NO</v>
      </c>
      <c r="C338" s="9" t="n">
        <v>6</v>
      </c>
      <c r="D338" s="9" t="str">
        <f aca="false">IF(C338&gt;$N$5,"YES","NO")</f>
        <v>NO</v>
      </c>
      <c r="E338" s="9" t="n">
        <v>44</v>
      </c>
      <c r="F338" s="9" t="str">
        <f aca="false">IF(E338&gt;$N$6,"YES","NO")</f>
        <v>NO</v>
      </c>
      <c r="G338" s="13" t="s">
        <v>16</v>
      </c>
    </row>
    <row r="339" customFormat="false" ht="15.75" hidden="false" customHeight="false" outlineLevel="0" collapsed="false">
      <c r="A339" s="11" t="n">
        <v>1073.611</v>
      </c>
      <c r="B339" s="11" t="str">
        <f aca="false">IF(A339&gt;$N$4,"YES","NO")</f>
        <v>NO</v>
      </c>
      <c r="C339" s="9" t="n">
        <v>13</v>
      </c>
      <c r="D339" s="9" t="str">
        <f aca="false">IF(C339&gt;$N$5,"YES","NO")</f>
        <v>NO</v>
      </c>
      <c r="E339" s="9" t="n">
        <v>23</v>
      </c>
      <c r="F339" s="9" t="str">
        <f aca="false">IF(E339&gt;$N$6,"YES","NO")</f>
        <v>NO</v>
      </c>
      <c r="G339" s="13" t="s">
        <v>13</v>
      </c>
    </row>
    <row r="340" customFormat="false" ht="15.75" hidden="false" customHeight="false" outlineLevel="0" collapsed="false">
      <c r="A340" s="11" t="n">
        <v>651.525</v>
      </c>
      <c r="B340" s="11" t="str">
        <f aca="false">IF(A340&gt;$N$4,"YES","NO")</f>
        <v>NO</v>
      </c>
      <c r="C340" s="9" t="n">
        <v>15</v>
      </c>
      <c r="D340" s="9" t="str">
        <f aca="false">IF(C340&gt;$N$5,"YES","NO")</f>
        <v>NO</v>
      </c>
      <c r="E340" s="9" t="n">
        <v>24</v>
      </c>
      <c r="F340" s="9" t="str">
        <f aca="false">IF(E340&gt;$N$6,"YES","NO")</f>
        <v>NO</v>
      </c>
      <c r="G340" s="13" t="s">
        <v>16</v>
      </c>
    </row>
    <row r="341" customFormat="false" ht="15.75" hidden="false" customHeight="false" outlineLevel="0" collapsed="false">
      <c r="A341" s="11" t="n">
        <v>2130.359</v>
      </c>
      <c r="B341" s="11" t="str">
        <f aca="false">IF(A341&gt;$N$4,"YES","NO")</f>
        <v>NO</v>
      </c>
      <c r="C341" s="9" t="n">
        <v>24</v>
      </c>
      <c r="D341" s="9" t="str">
        <f aca="false">IF(C341&gt;$N$5,"YES","NO")</f>
        <v>NO</v>
      </c>
      <c r="E341" s="9" t="n">
        <v>28</v>
      </c>
      <c r="F341" s="9" t="str">
        <f aca="false">IF(E341&gt;$N$6,"YES","NO")</f>
        <v>NO</v>
      </c>
      <c r="G341" s="13" t="s">
        <v>13</v>
      </c>
    </row>
    <row r="342" customFormat="false" ht="15.75" hidden="false" customHeight="false" outlineLevel="0" collapsed="false">
      <c r="A342" s="11" t="n">
        <v>777.231</v>
      </c>
      <c r="B342" s="11" t="str">
        <f aca="false">IF(A342&gt;$N$4,"YES","NO")</f>
        <v>NO</v>
      </c>
      <c r="C342" s="9" t="n">
        <v>10</v>
      </c>
      <c r="D342" s="9" t="str">
        <f aca="false">IF(C342&gt;$N$5,"YES","NO")</f>
        <v>NO</v>
      </c>
      <c r="E342" s="9" t="n">
        <v>31</v>
      </c>
      <c r="F342" s="9" t="str">
        <f aca="false">IF(E342&gt;$N$6,"YES","NO")</f>
        <v>NO</v>
      </c>
      <c r="G342" s="13" t="s">
        <v>13</v>
      </c>
    </row>
    <row r="343" customFormat="false" ht="15.75" hidden="false" customHeight="false" outlineLevel="0" collapsed="false">
      <c r="A343" s="11" t="n">
        <v>2934.673</v>
      </c>
      <c r="B343" s="11" t="str">
        <f aca="false">IF(A343&gt;$N$4,"YES","NO")</f>
        <v>NO</v>
      </c>
      <c r="C343" s="9" t="n">
        <v>24</v>
      </c>
      <c r="D343" s="9" t="str">
        <f aca="false">IF(C343&gt;$N$5,"YES","NO")</f>
        <v>NO</v>
      </c>
      <c r="E343" s="9" t="n">
        <v>24</v>
      </c>
      <c r="F343" s="9" t="str">
        <f aca="false">IF(E343&gt;$N$6,"YES","NO")</f>
        <v>NO</v>
      </c>
      <c r="G343" s="13" t="s">
        <v>13</v>
      </c>
    </row>
    <row r="344" customFormat="false" ht="15.75" hidden="false" customHeight="false" outlineLevel="0" collapsed="false">
      <c r="A344" s="11" t="n">
        <v>1839.089</v>
      </c>
      <c r="B344" s="11" t="str">
        <f aca="false">IF(A344&gt;$N$4,"YES","NO")</f>
        <v>NO</v>
      </c>
      <c r="C344" s="9" t="n">
        <v>21</v>
      </c>
      <c r="D344" s="9" t="str">
        <f aca="false">IF(C344&gt;$N$5,"YES","NO")</f>
        <v>NO</v>
      </c>
      <c r="E344" s="9" t="n">
        <v>26</v>
      </c>
      <c r="F344" s="9" t="str">
        <f aca="false">IF(E344&gt;$N$6,"YES","NO")</f>
        <v>NO</v>
      </c>
      <c r="G344" s="13" t="s">
        <v>13</v>
      </c>
    </row>
    <row r="345" customFormat="false" ht="15.75" hidden="false" customHeight="false" outlineLevel="0" collapsed="false">
      <c r="A345" s="11" t="n">
        <v>1641.843</v>
      </c>
      <c r="B345" s="11" t="str">
        <f aca="false">IF(A345&gt;$N$4,"YES","NO")</f>
        <v>NO</v>
      </c>
      <c r="C345" s="9" t="n">
        <v>18</v>
      </c>
      <c r="D345" s="9" t="str">
        <f aca="false">IF(C345&gt;$N$5,"YES","NO")</f>
        <v>NO</v>
      </c>
      <c r="E345" s="9" t="n">
        <v>25</v>
      </c>
      <c r="F345" s="9" t="str">
        <f aca="false">IF(E345&gt;$N$6,"YES","NO")</f>
        <v>NO</v>
      </c>
      <c r="G345" s="13" t="s">
        <v>13</v>
      </c>
    </row>
    <row r="346" customFormat="false" ht="15.75" hidden="false" customHeight="false" outlineLevel="0" collapsed="false">
      <c r="A346" s="11" t="n">
        <v>2268.329</v>
      </c>
      <c r="B346" s="11" t="str">
        <f aca="false">IF(A346&gt;$N$4,"YES","NO")</f>
        <v>NO</v>
      </c>
      <c r="C346" s="9" t="n">
        <v>18</v>
      </c>
      <c r="D346" s="9" t="str">
        <f aca="false">IF(C346&gt;$N$5,"YES","NO")</f>
        <v>NO</v>
      </c>
      <c r="E346" s="9" t="n">
        <v>33</v>
      </c>
      <c r="F346" s="9" t="str">
        <f aca="false">IF(E346&gt;$N$6,"YES","NO")</f>
        <v>NO</v>
      </c>
      <c r="G346" s="13" t="s">
        <v>13</v>
      </c>
    </row>
    <row r="347" customFormat="false" ht="15.75" hidden="false" customHeight="false" outlineLevel="0" collapsed="false">
      <c r="A347" s="11" t="n">
        <v>2017.939</v>
      </c>
      <c r="B347" s="11" t="str">
        <f aca="false">IF(A347&gt;$N$4,"YES","NO")</f>
        <v>NO</v>
      </c>
      <c r="C347" s="9" t="n">
        <v>10</v>
      </c>
      <c r="D347" s="9" t="str">
        <f aca="false">IF(C347&gt;$N$5,"YES","NO")</f>
        <v>NO</v>
      </c>
      <c r="E347" s="9" t="n">
        <v>37</v>
      </c>
      <c r="F347" s="9" t="str">
        <f aca="false">IF(E347&gt;$N$6,"YES","NO")</f>
        <v>NO</v>
      </c>
      <c r="G347" s="13" t="s">
        <v>13</v>
      </c>
    </row>
    <row r="348" customFormat="false" ht="15.75" hidden="false" customHeight="false" outlineLevel="0" collapsed="false">
      <c r="A348" s="11" t="n">
        <v>745.549</v>
      </c>
      <c r="B348" s="11" t="str">
        <f aca="false">IF(A348&gt;$N$4,"YES","NO")</f>
        <v>NO</v>
      </c>
      <c r="C348" s="9" t="n">
        <v>15</v>
      </c>
      <c r="D348" s="9" t="str">
        <f aca="false">IF(C348&gt;$N$5,"YES","NO")</f>
        <v>NO</v>
      </c>
      <c r="E348" s="9" t="n">
        <v>43</v>
      </c>
      <c r="F348" s="9" t="str">
        <f aca="false">IF(E348&gt;$N$6,"YES","NO")</f>
        <v>NO</v>
      </c>
      <c r="G348" s="13" t="s">
        <v>13</v>
      </c>
    </row>
    <row r="349" customFormat="false" ht="15.75" hidden="false" customHeight="false" outlineLevel="0" collapsed="false">
      <c r="A349" s="11" t="n">
        <v>450.702</v>
      </c>
      <c r="B349" s="11" t="str">
        <f aca="false">IF(A349&gt;$N$4,"YES","NO")</f>
        <v>NO</v>
      </c>
      <c r="C349" s="9" t="n">
        <v>13</v>
      </c>
      <c r="D349" s="9" t="str">
        <f aca="false">IF(C349&gt;$N$5,"YES","NO")</f>
        <v>NO</v>
      </c>
      <c r="E349" s="9" t="n">
        <v>23</v>
      </c>
      <c r="F349" s="9" t="str">
        <f aca="false">IF(E349&gt;$N$6,"YES","NO")</f>
        <v>NO</v>
      </c>
      <c r="G349" s="13" t="s">
        <v>13</v>
      </c>
    </row>
    <row r="350" customFormat="false" ht="15.75" hidden="false" customHeight="false" outlineLevel="0" collapsed="false">
      <c r="A350" s="11" t="n">
        <v>1920.338</v>
      </c>
      <c r="B350" s="11" t="str">
        <f aca="false">IF(A350&gt;$N$4,"YES","NO")</f>
        <v>NO</v>
      </c>
      <c r="C350" s="9" t="n">
        <v>24</v>
      </c>
      <c r="D350" s="9" t="str">
        <f aca="false">IF(C350&gt;$N$5,"YES","NO")</f>
        <v>NO</v>
      </c>
      <c r="E350" s="9" t="n">
        <v>23</v>
      </c>
      <c r="F350" s="9" t="str">
        <f aca="false">IF(E350&gt;$N$6,"YES","NO")</f>
        <v>NO</v>
      </c>
      <c r="G350" s="13" t="s">
        <v>13</v>
      </c>
    </row>
    <row r="351" customFormat="false" ht="15.75" hidden="false" customHeight="false" outlineLevel="0" collapsed="false">
      <c r="A351" s="11" t="n">
        <v>890.673</v>
      </c>
      <c r="B351" s="11" t="str">
        <f aca="false">IF(A351&gt;$N$4,"YES","NO")</f>
        <v>NO</v>
      </c>
      <c r="C351" s="9" t="n">
        <v>6</v>
      </c>
      <c r="D351" s="9" t="str">
        <f aca="false">IF(C351&gt;$N$5,"YES","NO")</f>
        <v>NO</v>
      </c>
      <c r="E351" s="9" t="n">
        <v>34</v>
      </c>
      <c r="F351" s="9" t="str">
        <f aca="false">IF(E351&gt;$N$6,"YES","NO")</f>
        <v>NO</v>
      </c>
      <c r="G351" s="13" t="s">
        <v>13</v>
      </c>
    </row>
    <row r="352" customFormat="false" ht="15.75" hidden="false" customHeight="false" outlineLevel="0" collapsed="false">
      <c r="A352" s="11" t="n">
        <v>580.496</v>
      </c>
      <c r="B352" s="11" t="str">
        <f aca="false">IF(A352&gt;$N$4,"YES","NO")</f>
        <v>NO</v>
      </c>
      <c r="C352" s="9" t="n">
        <v>9</v>
      </c>
      <c r="D352" s="9" t="str">
        <f aca="false">IF(C352&gt;$N$5,"YES","NO")</f>
        <v>NO</v>
      </c>
      <c r="E352" s="9" t="n">
        <v>32</v>
      </c>
      <c r="F352" s="9" t="str">
        <f aca="false">IF(E352&gt;$N$6,"YES","NO")</f>
        <v>NO</v>
      </c>
      <c r="G352" s="13" t="s">
        <v>16</v>
      </c>
    </row>
    <row r="353" customFormat="false" ht="15.75" hidden="false" customHeight="false" outlineLevel="0" collapsed="false">
      <c r="A353" s="11" t="n">
        <v>631.596</v>
      </c>
      <c r="B353" s="11" t="str">
        <f aca="false">IF(A353&gt;$N$4,"YES","NO")</f>
        <v>NO</v>
      </c>
      <c r="C353" s="9" t="n">
        <v>9</v>
      </c>
      <c r="D353" s="9" t="str">
        <f aca="false">IF(C353&gt;$N$5,"YES","NO")</f>
        <v>NO</v>
      </c>
      <c r="E353" s="9" t="n">
        <v>23</v>
      </c>
      <c r="F353" s="9" t="str">
        <f aca="false">IF(E353&gt;$N$6,"YES","NO")</f>
        <v>NO</v>
      </c>
      <c r="G353" s="13" t="s">
        <v>13</v>
      </c>
    </row>
    <row r="354" customFormat="false" ht="15.75" hidden="false" customHeight="false" outlineLevel="0" collapsed="false">
      <c r="A354" s="11" t="n">
        <v>490.049</v>
      </c>
      <c r="B354" s="11" t="str">
        <f aca="false">IF(A354&gt;$N$4,"YES","NO")</f>
        <v>NO</v>
      </c>
      <c r="C354" s="9" t="n">
        <v>9</v>
      </c>
      <c r="D354" s="9" t="str">
        <f aca="false">IF(C354&gt;$N$5,"YES","NO")</f>
        <v>NO</v>
      </c>
      <c r="E354" s="9" t="n">
        <v>29</v>
      </c>
      <c r="F354" s="9" t="str">
        <f aca="false">IF(E354&gt;$N$6,"YES","NO")</f>
        <v>NO</v>
      </c>
      <c r="G354" s="13" t="s">
        <v>16</v>
      </c>
    </row>
    <row r="355" customFormat="false" ht="15.75" hidden="false" customHeight="false" outlineLevel="0" collapsed="false">
      <c r="A355" s="11" t="n">
        <v>1650.019</v>
      </c>
      <c r="B355" s="11" t="str">
        <f aca="false">IF(A355&gt;$N$4,"YES","NO")</f>
        <v>NO</v>
      </c>
      <c r="C355" s="9" t="n">
        <v>18</v>
      </c>
      <c r="D355" s="9" t="str">
        <f aca="false">IF(C355&gt;$N$5,"YES","NO")</f>
        <v>NO</v>
      </c>
      <c r="E355" s="9" t="n">
        <v>38</v>
      </c>
      <c r="F355" s="9" t="str">
        <f aca="false">IF(E355&gt;$N$6,"YES","NO")</f>
        <v>NO</v>
      </c>
      <c r="G355" s="13" t="s">
        <v>13</v>
      </c>
    </row>
    <row r="356" customFormat="false" ht="15.75" hidden="false" customHeight="false" outlineLevel="0" collapsed="false">
      <c r="A356" s="11" t="n">
        <v>3167.689</v>
      </c>
      <c r="B356" s="11" t="str">
        <f aca="false">IF(A356&gt;$N$4,"YES","NO")</f>
        <v>NO</v>
      </c>
      <c r="C356" s="9" t="n">
        <v>12</v>
      </c>
      <c r="D356" s="9" t="str">
        <f aca="false">IF(C356&gt;$N$5,"YES","NO")</f>
        <v>NO</v>
      </c>
      <c r="E356" s="9" t="n">
        <v>28</v>
      </c>
      <c r="F356" s="9" t="str">
        <f aca="false">IF(E356&gt;$N$6,"YES","NO")</f>
        <v>NO</v>
      </c>
      <c r="G356" s="13" t="s">
        <v>16</v>
      </c>
    </row>
    <row r="357" customFormat="false" ht="15.75" hidden="false" customHeight="false" outlineLevel="0" collapsed="false">
      <c r="A357" s="11" t="n">
        <v>371.497</v>
      </c>
      <c r="B357" s="11" t="str">
        <f aca="false">IF(A357&gt;$N$4,"YES","NO")</f>
        <v>NO</v>
      </c>
      <c r="C357" s="9" t="n">
        <v>10</v>
      </c>
      <c r="D357" s="9" t="str">
        <f aca="false">IF(C357&gt;$N$5,"YES","NO")</f>
        <v>NO</v>
      </c>
      <c r="E357" s="9" t="n">
        <v>46</v>
      </c>
      <c r="F357" s="9" t="str">
        <f aca="false">IF(E357&gt;$N$6,"YES","NO")</f>
        <v>NO</v>
      </c>
      <c r="G357" s="13" t="s">
        <v>13</v>
      </c>
    </row>
    <row r="358" customFormat="false" ht="15.75" hidden="false" customHeight="false" outlineLevel="0" collapsed="false">
      <c r="A358" s="11" t="n">
        <v>636.706</v>
      </c>
      <c r="B358" s="11" t="str">
        <f aca="false">IF(A358&gt;$N$4,"YES","NO")</f>
        <v>NO</v>
      </c>
      <c r="C358" s="9" t="n">
        <v>24</v>
      </c>
      <c r="D358" s="9" t="str">
        <f aca="false">IF(C358&gt;$N$5,"YES","NO")</f>
        <v>NO</v>
      </c>
      <c r="E358" s="9" t="n">
        <v>23</v>
      </c>
      <c r="F358" s="9" t="str">
        <f aca="false">IF(E358&gt;$N$6,"YES","NO")</f>
        <v>NO</v>
      </c>
      <c r="G358" s="13" t="s">
        <v>16</v>
      </c>
    </row>
    <row r="359" customFormat="false" ht="15.75" hidden="false" customHeight="false" outlineLevel="0" collapsed="false">
      <c r="A359" s="11" t="n">
        <v>1191.141</v>
      </c>
      <c r="B359" s="11" t="str">
        <f aca="false">IF(A359&gt;$N$4,"YES","NO")</f>
        <v>NO</v>
      </c>
      <c r="C359" s="9" t="n">
        <v>12</v>
      </c>
      <c r="D359" s="9" t="str">
        <f aca="false">IF(C359&gt;$N$5,"YES","NO")</f>
        <v>NO</v>
      </c>
      <c r="E359" s="9" t="n">
        <v>49</v>
      </c>
      <c r="F359" s="9" t="str">
        <f aca="false">IF(E359&gt;$N$6,"YES","NO")</f>
        <v>NO</v>
      </c>
      <c r="G359" s="13" t="s">
        <v>13</v>
      </c>
    </row>
    <row r="360" customFormat="false" ht="15.75" hidden="false" customHeight="false" outlineLevel="0" collapsed="false">
      <c r="A360" s="11" t="n">
        <v>2280.593</v>
      </c>
      <c r="B360" s="11" t="str">
        <f aca="false">IF(A360&gt;$N$4,"YES","NO")</f>
        <v>NO</v>
      </c>
      <c r="C360" s="9" t="n">
        <v>36</v>
      </c>
      <c r="D360" s="9" t="str">
        <f aca="false">IF(C360&gt;$N$5,"YES","NO")</f>
        <v>NO</v>
      </c>
      <c r="E360" s="9" t="n">
        <v>26</v>
      </c>
      <c r="F360" s="9" t="str">
        <f aca="false">IF(E360&gt;$N$6,"YES","NO")</f>
        <v>NO</v>
      </c>
      <c r="G360" s="13" t="s">
        <v>16</v>
      </c>
    </row>
    <row r="361" customFormat="false" ht="15.75" hidden="false" customHeight="false" outlineLevel="0" collapsed="false">
      <c r="A361" s="11" t="n">
        <v>396.536</v>
      </c>
      <c r="B361" s="11" t="str">
        <f aca="false">IF(A361&gt;$N$4,"YES","NO")</f>
        <v>NO</v>
      </c>
      <c r="C361" s="9" t="n">
        <v>12</v>
      </c>
      <c r="D361" s="9" t="str">
        <f aca="false">IF(C361&gt;$N$5,"YES","NO")</f>
        <v>NO</v>
      </c>
      <c r="E361" s="9" t="n">
        <v>28</v>
      </c>
      <c r="F361" s="9" t="str">
        <f aca="false">IF(E361&gt;$N$6,"YES","NO")</f>
        <v>NO</v>
      </c>
      <c r="G361" s="13" t="s">
        <v>13</v>
      </c>
    </row>
    <row r="362" customFormat="false" ht="15.75" hidden="false" customHeight="false" outlineLevel="0" collapsed="false">
      <c r="A362" s="11" t="n">
        <v>1229.466</v>
      </c>
      <c r="B362" s="11" t="str">
        <f aca="false">IF(A362&gt;$N$4,"YES","NO")</f>
        <v>NO</v>
      </c>
      <c r="C362" s="9" t="n">
        <v>30</v>
      </c>
      <c r="D362" s="9" t="str">
        <f aca="false">IF(C362&gt;$N$5,"YES","NO")</f>
        <v>NO</v>
      </c>
      <c r="E362" s="9" t="n">
        <v>23</v>
      </c>
      <c r="F362" s="9" t="str">
        <f aca="false">IF(E362&gt;$N$6,"YES","NO")</f>
        <v>NO</v>
      </c>
      <c r="G362" s="13" t="s">
        <v>16</v>
      </c>
    </row>
    <row r="363" customFormat="false" ht="15.75" hidden="false" customHeight="false" outlineLevel="0" collapsed="false">
      <c r="A363" s="11" t="n">
        <v>633.129</v>
      </c>
      <c r="B363" s="11" t="str">
        <f aca="false">IF(A363&gt;$N$4,"YES","NO")</f>
        <v>NO</v>
      </c>
      <c r="C363" s="9" t="n">
        <v>18</v>
      </c>
      <c r="D363" s="9" t="str">
        <f aca="false">IF(C363&gt;$N$5,"YES","NO")</f>
        <v>NO</v>
      </c>
      <c r="E363" s="9" t="n">
        <v>61</v>
      </c>
      <c r="F363" s="9" t="str">
        <f aca="false">IF(E363&gt;$N$6,"YES","NO")</f>
        <v>NO</v>
      </c>
      <c r="G363" s="13" t="s">
        <v>13</v>
      </c>
    </row>
    <row r="364" customFormat="false" ht="15.75" hidden="false" customHeight="false" outlineLevel="0" collapsed="false">
      <c r="A364" s="11" t="n">
        <v>1736.889</v>
      </c>
      <c r="B364" s="11" t="str">
        <f aca="false">IF(A364&gt;$N$4,"YES","NO")</f>
        <v>NO</v>
      </c>
      <c r="C364" s="9" t="n">
        <v>12</v>
      </c>
      <c r="D364" s="9" t="str">
        <f aca="false">IF(C364&gt;$N$5,"YES","NO")</f>
        <v>NO</v>
      </c>
      <c r="E364" s="9" t="n">
        <v>37</v>
      </c>
      <c r="F364" s="9" t="str">
        <f aca="false">IF(E364&gt;$N$6,"YES","NO")</f>
        <v>NO</v>
      </c>
      <c r="G364" s="13" t="s">
        <v>13</v>
      </c>
    </row>
    <row r="365" customFormat="false" ht="15.75" hidden="false" customHeight="false" outlineLevel="0" collapsed="false">
      <c r="A365" s="11" t="n">
        <v>1148.217</v>
      </c>
      <c r="B365" s="11" t="str">
        <f aca="false">IF(A365&gt;$N$4,"YES","NO")</f>
        <v>NO</v>
      </c>
      <c r="C365" s="9" t="n">
        <v>12</v>
      </c>
      <c r="D365" s="9" t="str">
        <f aca="false">IF(C365&gt;$N$5,"YES","NO")</f>
        <v>NO</v>
      </c>
      <c r="E365" s="9" t="n">
        <v>36</v>
      </c>
      <c r="F365" s="9" t="str">
        <f aca="false">IF(E365&gt;$N$6,"YES","NO")</f>
        <v>NO</v>
      </c>
      <c r="G365" s="13" t="s">
        <v>13</v>
      </c>
    </row>
    <row r="366" customFormat="false" ht="15.75" hidden="false" customHeight="false" outlineLevel="0" collapsed="false">
      <c r="A366" s="11" t="n">
        <v>902.426</v>
      </c>
      <c r="B366" s="11" t="str">
        <f aca="false">IF(A366&gt;$N$4,"YES","NO")</f>
        <v>NO</v>
      </c>
      <c r="C366" s="9" t="n">
        <v>6</v>
      </c>
      <c r="D366" s="9" t="str">
        <f aca="false">IF(C366&gt;$N$5,"YES","NO")</f>
        <v>NO</v>
      </c>
      <c r="E366" s="9" t="n">
        <v>21</v>
      </c>
      <c r="F366" s="9" t="str">
        <f aca="false">IF(E366&gt;$N$6,"YES","NO")</f>
        <v>NO</v>
      </c>
      <c r="G366" s="13" t="s">
        <v>13</v>
      </c>
    </row>
    <row r="367" customFormat="false" ht="15.75" hidden="false" customHeight="false" outlineLevel="0" collapsed="false">
      <c r="A367" s="11" t="n">
        <v>1263.703</v>
      </c>
      <c r="B367" s="11" t="str">
        <f aca="false">IF(A367&gt;$N$4,"YES","NO")</f>
        <v>NO</v>
      </c>
      <c r="C367" s="9" t="n">
        <v>18</v>
      </c>
      <c r="D367" s="9" t="str">
        <f aca="false">IF(C367&gt;$N$5,"YES","NO")</f>
        <v>NO</v>
      </c>
      <c r="E367" s="9" t="n">
        <v>25</v>
      </c>
      <c r="F367" s="9" t="str">
        <f aca="false">IF(E367&gt;$N$6,"YES","NO")</f>
        <v>NO</v>
      </c>
      <c r="G367" s="13" t="s">
        <v>16</v>
      </c>
    </row>
    <row r="368" customFormat="false" ht="15.75" hidden="false" customHeight="false" outlineLevel="0" collapsed="false">
      <c r="A368" s="11" t="n">
        <v>787.962</v>
      </c>
      <c r="B368" s="11" t="str">
        <f aca="false">IF(A368&gt;$N$4,"YES","NO")</f>
        <v>NO</v>
      </c>
      <c r="C368" s="9" t="n">
        <v>12</v>
      </c>
      <c r="D368" s="9" t="str">
        <f aca="false">IF(C368&gt;$N$5,"YES","NO")</f>
        <v>NO</v>
      </c>
      <c r="E368" s="9" t="n">
        <v>36</v>
      </c>
      <c r="F368" s="9" t="str">
        <f aca="false">IF(E368&gt;$N$6,"YES","NO")</f>
        <v>NO</v>
      </c>
      <c r="G368" s="13" t="s">
        <v>13</v>
      </c>
    </row>
    <row r="369" customFormat="false" ht="15.75" hidden="false" customHeight="false" outlineLevel="0" collapsed="false">
      <c r="A369" s="11" t="n">
        <v>1967.35</v>
      </c>
      <c r="B369" s="11" t="str">
        <f aca="false">IF(A369&gt;$N$4,"YES","NO")</f>
        <v>NO</v>
      </c>
      <c r="C369" s="9" t="n">
        <v>18</v>
      </c>
      <c r="D369" s="9" t="str">
        <f aca="false">IF(C369&gt;$N$5,"YES","NO")</f>
        <v>NO</v>
      </c>
      <c r="E369" s="9" t="n">
        <v>27</v>
      </c>
      <c r="F369" s="9" t="str">
        <f aca="false">IF(E369&gt;$N$6,"YES","NO")</f>
        <v>NO</v>
      </c>
      <c r="G369" s="13" t="s">
        <v>13</v>
      </c>
    </row>
    <row r="370" customFormat="false" ht="15.75" hidden="false" customHeight="false" outlineLevel="0" collapsed="false">
      <c r="A370" s="11" t="n">
        <v>1865.15</v>
      </c>
      <c r="B370" s="11" t="str">
        <f aca="false">IF(A370&gt;$N$4,"YES","NO")</f>
        <v>NO</v>
      </c>
      <c r="C370" s="9" t="n">
        <v>18</v>
      </c>
      <c r="D370" s="9" t="str">
        <f aca="false">IF(C370&gt;$N$5,"YES","NO")</f>
        <v>NO</v>
      </c>
      <c r="E370" s="9" t="n">
        <v>22</v>
      </c>
      <c r="F370" s="9" t="str">
        <f aca="false">IF(E370&gt;$N$6,"YES","NO")</f>
        <v>NO</v>
      </c>
      <c r="G370" s="13" t="s">
        <v>13</v>
      </c>
    </row>
    <row r="371" customFormat="false" ht="15.75" hidden="false" customHeight="false" outlineLevel="0" collapsed="false">
      <c r="A371" s="11" t="n">
        <v>1760.906</v>
      </c>
      <c r="B371" s="11" t="str">
        <f aca="false">IF(A371&gt;$N$4,"YES","NO")</f>
        <v>NO</v>
      </c>
      <c r="C371" s="9" t="n">
        <v>36</v>
      </c>
      <c r="D371" s="9" t="str">
        <f aca="false">IF(C371&gt;$N$5,"YES","NO")</f>
        <v>NO</v>
      </c>
      <c r="E371" s="9" t="n">
        <v>42</v>
      </c>
      <c r="F371" s="9" t="str">
        <f aca="false">IF(E371&gt;$N$6,"YES","NO")</f>
        <v>NO</v>
      </c>
      <c r="G371" s="13" t="s">
        <v>16</v>
      </c>
    </row>
    <row r="372" customFormat="false" ht="15.75" hidden="false" customHeight="false" outlineLevel="0" collapsed="false">
      <c r="A372" s="11" t="n">
        <v>1533.511</v>
      </c>
      <c r="B372" s="11" t="str">
        <f aca="false">IF(A372&gt;$N$4,"YES","NO")</f>
        <v>NO</v>
      </c>
      <c r="C372" s="9" t="n">
        <v>18</v>
      </c>
      <c r="D372" s="9" t="str">
        <f aca="false">IF(C372&gt;$N$5,"YES","NO")</f>
        <v>NO</v>
      </c>
      <c r="E372" s="9" t="n">
        <v>40</v>
      </c>
      <c r="F372" s="9" t="str">
        <f aca="false">IF(E372&gt;$N$6,"YES","NO")</f>
        <v>NO</v>
      </c>
      <c r="G372" s="13" t="s">
        <v>13</v>
      </c>
    </row>
    <row r="373" customFormat="false" ht="15.75" hidden="false" customHeight="false" outlineLevel="0" collapsed="false">
      <c r="A373" s="11" t="n">
        <v>1573.369</v>
      </c>
      <c r="B373" s="11" t="str">
        <f aca="false">IF(A373&gt;$N$4,"YES","NO")</f>
        <v>NO</v>
      </c>
      <c r="C373" s="9" t="n">
        <v>36</v>
      </c>
      <c r="D373" s="9" t="str">
        <f aca="false">IF(C373&gt;$N$5,"YES","NO")</f>
        <v>NO</v>
      </c>
      <c r="E373" s="9" t="n">
        <v>36</v>
      </c>
      <c r="F373" s="9" t="str">
        <f aca="false">IF(E373&gt;$N$6,"YES","NO")</f>
        <v>NO</v>
      </c>
      <c r="G373" s="13" t="s">
        <v>13</v>
      </c>
    </row>
    <row r="374" customFormat="false" ht="15.75" hidden="false" customHeight="false" outlineLevel="0" collapsed="false">
      <c r="A374" s="11" t="n">
        <v>3101.77</v>
      </c>
      <c r="B374" s="11" t="str">
        <f aca="false">IF(A374&gt;$N$4,"YES","NO")</f>
        <v>NO</v>
      </c>
      <c r="C374" s="9" t="n">
        <v>18</v>
      </c>
      <c r="D374" s="9" t="str">
        <f aca="false">IF(C374&gt;$N$5,"YES","NO")</f>
        <v>NO</v>
      </c>
      <c r="E374" s="9" t="n">
        <v>33</v>
      </c>
      <c r="F374" s="9" t="str">
        <f aca="false">IF(E374&gt;$N$6,"YES","NO")</f>
        <v>NO</v>
      </c>
      <c r="G374" s="13" t="s">
        <v>13</v>
      </c>
    </row>
    <row r="375" customFormat="false" ht="15.75" hidden="false" customHeight="false" outlineLevel="0" collapsed="false">
      <c r="A375" s="11" t="n">
        <v>1096.606</v>
      </c>
      <c r="B375" s="11" t="str">
        <f aca="false">IF(A375&gt;$N$4,"YES","NO")</f>
        <v>NO</v>
      </c>
      <c r="C375" s="9" t="n">
        <v>10</v>
      </c>
      <c r="D375" s="9" t="str">
        <f aca="false">IF(C375&gt;$N$5,"YES","NO")</f>
        <v>NO</v>
      </c>
      <c r="E375" s="9" t="n">
        <v>23</v>
      </c>
      <c r="F375" s="9" t="str">
        <f aca="false">IF(E375&gt;$N$6,"YES","NO")</f>
        <v>NO</v>
      </c>
      <c r="G375" s="13" t="s">
        <v>13</v>
      </c>
    </row>
    <row r="376" customFormat="false" ht="15.75" hidden="false" customHeight="false" outlineLevel="0" collapsed="false">
      <c r="A376" s="11" t="n">
        <v>7029.316</v>
      </c>
      <c r="B376" s="11" t="str">
        <f aca="false">IF(A376&gt;$N$4,"YES","NO")</f>
        <v>YES</v>
      </c>
      <c r="C376" s="9" t="n">
        <v>60</v>
      </c>
      <c r="D376" s="9" t="str">
        <f aca="false">IF(C376&gt;$N$5,"YES","NO")</f>
        <v>YES</v>
      </c>
      <c r="E376" s="9" t="n">
        <v>63</v>
      </c>
      <c r="F376" s="9" t="str">
        <f aca="false">IF(E376&gt;$N$6,"YES","NO")</f>
        <v>NO</v>
      </c>
      <c r="G376" s="13" t="s">
        <v>13</v>
      </c>
    </row>
    <row r="377" customFormat="false" ht="15.75" hidden="false" customHeight="false" outlineLevel="0" collapsed="false">
      <c r="A377" s="11" t="n">
        <v>7553.602</v>
      </c>
      <c r="B377" s="11" t="str">
        <f aca="false">IF(A377&gt;$N$4,"YES","NO")</f>
        <v>YES</v>
      </c>
      <c r="C377" s="9" t="n">
        <v>60</v>
      </c>
      <c r="D377" s="9" t="str">
        <f aca="false">IF(C377&gt;$N$5,"YES","NO")</f>
        <v>YES</v>
      </c>
      <c r="E377" s="9" t="n">
        <v>60</v>
      </c>
      <c r="F377" s="9" t="str">
        <f aca="false">IF(E377&gt;$N$6,"YES","NO")</f>
        <v>NO</v>
      </c>
      <c r="G377" s="13" t="s">
        <v>16</v>
      </c>
    </row>
    <row r="378" customFormat="false" ht="15.75" hidden="false" customHeight="false" outlineLevel="0" collapsed="false">
      <c r="A378" s="11" t="n">
        <v>3927.035</v>
      </c>
      <c r="B378" s="11" t="str">
        <f aca="false">IF(A378&gt;$N$4,"YES","NO")</f>
        <v>NO</v>
      </c>
      <c r="C378" s="9" t="n">
        <v>48</v>
      </c>
      <c r="D378" s="9" t="str">
        <f aca="false">IF(C378&gt;$N$5,"YES","NO")</f>
        <v>YES</v>
      </c>
      <c r="E378" s="9" t="n">
        <v>37</v>
      </c>
      <c r="F378" s="9" t="str">
        <f aca="false">IF(E378&gt;$N$6,"YES","NO")</f>
        <v>NO</v>
      </c>
      <c r="G378" s="13" t="s">
        <v>16</v>
      </c>
    </row>
    <row r="379" customFormat="false" ht="15.75" hidden="false" customHeight="false" outlineLevel="0" collapsed="false">
      <c r="A379" s="11" t="n">
        <v>1185.52</v>
      </c>
      <c r="B379" s="11" t="str">
        <f aca="false">IF(A379&gt;$N$4,"YES","NO")</f>
        <v>NO</v>
      </c>
      <c r="C379" s="9" t="n">
        <v>18</v>
      </c>
      <c r="D379" s="9" t="str">
        <f aca="false">IF(C379&gt;$N$5,"YES","NO")</f>
        <v>NO</v>
      </c>
      <c r="E379" s="9" t="n">
        <v>34</v>
      </c>
      <c r="F379" s="9" t="str">
        <f aca="false">IF(E379&gt;$N$6,"YES","NO")</f>
        <v>NO</v>
      </c>
      <c r="G379" s="13" t="s">
        <v>13</v>
      </c>
    </row>
    <row r="380" customFormat="false" ht="15.75" hidden="false" customHeight="false" outlineLevel="0" collapsed="false">
      <c r="A380" s="11" t="n">
        <v>432.306</v>
      </c>
      <c r="B380" s="11" t="str">
        <f aca="false">IF(A380&gt;$N$4,"YES","NO")</f>
        <v>NO</v>
      </c>
      <c r="C380" s="9" t="n">
        <v>7</v>
      </c>
      <c r="D380" s="9" t="str">
        <f aca="false">IF(C380&gt;$N$5,"YES","NO")</f>
        <v>NO</v>
      </c>
      <c r="E380" s="9" t="n">
        <v>36</v>
      </c>
      <c r="F380" s="9" t="str">
        <f aca="false">IF(E380&gt;$N$6,"YES","NO")</f>
        <v>NO</v>
      </c>
      <c r="G380" s="13" t="s">
        <v>13</v>
      </c>
    </row>
    <row r="381" customFormat="false" ht="15.75" hidden="false" customHeight="false" outlineLevel="0" collapsed="false">
      <c r="A381" s="11" t="n">
        <v>7316.498</v>
      </c>
      <c r="B381" s="11" t="str">
        <f aca="false">IF(A381&gt;$N$4,"YES","NO")</f>
        <v>YES</v>
      </c>
      <c r="C381" s="9" t="n">
        <v>36</v>
      </c>
      <c r="D381" s="9" t="str">
        <f aca="false">IF(C381&gt;$N$5,"YES","NO")</f>
        <v>NO</v>
      </c>
      <c r="E381" s="9" t="n">
        <v>57</v>
      </c>
      <c r="F381" s="9" t="str">
        <f aca="false">IF(E381&gt;$N$6,"YES","NO")</f>
        <v>NO</v>
      </c>
      <c r="G381" s="13" t="s">
        <v>16</v>
      </c>
    </row>
    <row r="382" customFormat="false" ht="15.75" hidden="false" customHeight="false" outlineLevel="0" collapsed="false">
      <c r="A382" s="11" t="n">
        <v>184.982</v>
      </c>
      <c r="B382" s="11" t="str">
        <f aca="false">IF(A382&gt;$N$4,"YES","NO")</f>
        <v>NO</v>
      </c>
      <c r="C382" s="9" t="n">
        <v>6</v>
      </c>
      <c r="D382" s="9" t="str">
        <f aca="false">IF(C382&gt;$N$5,"YES","NO")</f>
        <v>NO</v>
      </c>
      <c r="E382" s="9" t="n">
        <v>52</v>
      </c>
      <c r="F382" s="9" t="str">
        <f aca="false">IF(E382&gt;$N$6,"YES","NO")</f>
        <v>NO</v>
      </c>
      <c r="G382" s="13" t="s">
        <v>13</v>
      </c>
    </row>
    <row r="383" customFormat="false" ht="15.75" hidden="false" customHeight="false" outlineLevel="0" collapsed="false">
      <c r="A383" s="11" t="n">
        <v>1130.332</v>
      </c>
      <c r="B383" s="11" t="str">
        <f aca="false">IF(A383&gt;$N$4,"YES","NO")</f>
        <v>NO</v>
      </c>
      <c r="C383" s="9" t="n">
        <v>20</v>
      </c>
      <c r="D383" s="9" t="str">
        <f aca="false">IF(C383&gt;$N$5,"YES","NO")</f>
        <v>NO</v>
      </c>
      <c r="E383" s="9" t="n">
        <v>39</v>
      </c>
      <c r="F383" s="9" t="str">
        <f aca="false">IF(E383&gt;$N$6,"YES","NO")</f>
        <v>NO</v>
      </c>
      <c r="G383" s="13" t="s">
        <v>13</v>
      </c>
    </row>
    <row r="384" customFormat="false" ht="15.75" hidden="false" customHeight="false" outlineLevel="0" collapsed="false">
      <c r="A384" s="11" t="n">
        <v>6630.736</v>
      </c>
      <c r="B384" s="11" t="str">
        <f aca="false">IF(A384&gt;$N$4,"YES","NO")</f>
        <v>YES</v>
      </c>
      <c r="C384" s="9" t="n">
        <v>18</v>
      </c>
      <c r="D384" s="9" t="str">
        <f aca="false">IF(C384&gt;$N$5,"YES","NO")</f>
        <v>NO</v>
      </c>
      <c r="E384" s="9" t="n">
        <v>38</v>
      </c>
      <c r="F384" s="9" t="str">
        <f aca="false">IF(E384&gt;$N$6,"YES","NO")</f>
        <v>NO</v>
      </c>
      <c r="G384" s="13" t="s">
        <v>16</v>
      </c>
    </row>
    <row r="385" customFormat="false" ht="15.75" hidden="false" customHeight="false" outlineLevel="0" collapsed="false">
      <c r="A385" s="11" t="n">
        <v>655.613</v>
      </c>
      <c r="B385" s="11" t="str">
        <f aca="false">IF(A385&gt;$N$4,"YES","NO")</f>
        <v>NO</v>
      </c>
      <c r="C385" s="9" t="n">
        <v>22</v>
      </c>
      <c r="D385" s="9" t="str">
        <f aca="false">IF(C385&gt;$N$5,"YES","NO")</f>
        <v>NO</v>
      </c>
      <c r="E385" s="9" t="n">
        <v>25</v>
      </c>
      <c r="F385" s="9" t="str">
        <f aca="false">IF(E385&gt;$N$6,"YES","NO")</f>
        <v>NO</v>
      </c>
      <c r="G385" s="13" t="s">
        <v>13</v>
      </c>
    </row>
    <row r="386" customFormat="false" ht="15.75" hidden="false" customHeight="false" outlineLevel="0" collapsed="false">
      <c r="A386" s="11" t="n">
        <v>679.63</v>
      </c>
      <c r="B386" s="11" t="str">
        <f aca="false">IF(A386&gt;$N$4,"YES","NO")</f>
        <v>NO</v>
      </c>
      <c r="C386" s="9" t="n">
        <v>12</v>
      </c>
      <c r="D386" s="9" t="str">
        <f aca="false">IF(C386&gt;$N$5,"YES","NO")</f>
        <v>NO</v>
      </c>
      <c r="E386" s="9" t="n">
        <v>26</v>
      </c>
      <c r="F386" s="9" t="str">
        <f aca="false">IF(E386&gt;$N$6,"YES","NO")</f>
        <v>NO</v>
      </c>
      <c r="G386" s="13" t="s">
        <v>13</v>
      </c>
    </row>
    <row r="387" customFormat="false" ht="15.75" hidden="false" customHeight="false" outlineLevel="0" collapsed="false">
      <c r="A387" s="11" t="n">
        <v>2182.992</v>
      </c>
      <c r="B387" s="11" t="str">
        <f aca="false">IF(A387&gt;$N$4,"YES","NO")</f>
        <v>NO</v>
      </c>
      <c r="C387" s="9" t="n">
        <v>30</v>
      </c>
      <c r="D387" s="9" t="str">
        <f aca="false">IF(C387&gt;$N$5,"YES","NO")</f>
        <v>NO</v>
      </c>
      <c r="E387" s="9" t="n">
        <v>26</v>
      </c>
      <c r="F387" s="9" t="str">
        <f aca="false">IF(E387&gt;$N$6,"YES","NO")</f>
        <v>NO</v>
      </c>
      <c r="G387" s="13" t="s">
        <v>13</v>
      </c>
    </row>
    <row r="388" customFormat="false" ht="15.75" hidden="false" customHeight="false" outlineLevel="0" collapsed="false">
      <c r="A388" s="11" t="n">
        <v>1143.618</v>
      </c>
      <c r="B388" s="11" t="str">
        <f aca="false">IF(A388&gt;$N$4,"YES","NO")</f>
        <v>NO</v>
      </c>
      <c r="C388" s="9" t="n">
        <v>18</v>
      </c>
      <c r="D388" s="9" t="str">
        <f aca="false">IF(C388&gt;$N$5,"YES","NO")</f>
        <v>NO</v>
      </c>
      <c r="E388" s="9" t="n">
        <v>25</v>
      </c>
      <c r="F388" s="9" t="str">
        <f aca="false">IF(E388&gt;$N$6,"YES","NO")</f>
        <v>NO</v>
      </c>
      <c r="G388" s="13" t="s">
        <v>13</v>
      </c>
    </row>
    <row r="389" customFormat="false" ht="15.75" hidden="false" customHeight="false" outlineLevel="0" collapsed="false">
      <c r="A389" s="11" t="n">
        <v>575.386</v>
      </c>
      <c r="B389" s="11" t="str">
        <f aca="false">IF(A389&gt;$N$4,"YES","NO")</f>
        <v>NO</v>
      </c>
      <c r="C389" s="9" t="n">
        <v>18</v>
      </c>
      <c r="D389" s="9" t="str">
        <f aca="false">IF(C389&gt;$N$5,"YES","NO")</f>
        <v>NO</v>
      </c>
      <c r="E389" s="9" t="n">
        <v>21</v>
      </c>
      <c r="F389" s="9" t="str">
        <f aca="false">IF(E389&gt;$N$6,"YES","NO")</f>
        <v>NO</v>
      </c>
      <c r="G389" s="13" t="s">
        <v>13</v>
      </c>
    </row>
    <row r="390" customFormat="false" ht="15.75" hidden="false" customHeight="false" outlineLevel="0" collapsed="false">
      <c r="A390" s="11" t="n">
        <v>3768.114</v>
      </c>
      <c r="B390" s="11" t="str">
        <f aca="false">IF(A390&gt;$N$4,"YES","NO")</f>
        <v>NO</v>
      </c>
      <c r="C390" s="9" t="n">
        <v>18</v>
      </c>
      <c r="D390" s="9" t="str">
        <f aca="false">IF(C390&gt;$N$5,"YES","NO")</f>
        <v>NO</v>
      </c>
      <c r="E390" s="9" t="n">
        <v>40</v>
      </c>
      <c r="F390" s="9" t="str">
        <f aca="false">IF(E390&gt;$N$6,"YES","NO")</f>
        <v>NO</v>
      </c>
      <c r="G390" s="13" t="s">
        <v>13</v>
      </c>
    </row>
    <row r="391" customFormat="false" ht="15.75" hidden="false" customHeight="false" outlineLevel="0" collapsed="false">
      <c r="A391" s="11" t="n">
        <v>1188.586</v>
      </c>
      <c r="B391" s="11" t="str">
        <f aca="false">IF(A391&gt;$N$4,"YES","NO")</f>
        <v>NO</v>
      </c>
      <c r="C391" s="9" t="n">
        <v>15</v>
      </c>
      <c r="D391" s="9" t="str">
        <f aca="false">IF(C391&gt;$N$5,"YES","NO")</f>
        <v>NO</v>
      </c>
      <c r="E391" s="9" t="n">
        <v>27</v>
      </c>
      <c r="F391" s="9" t="str">
        <f aca="false">IF(E391&gt;$N$6,"YES","NO")</f>
        <v>NO</v>
      </c>
      <c r="G391" s="13" t="s">
        <v>13</v>
      </c>
    </row>
    <row r="392" customFormat="false" ht="15.75" hidden="false" customHeight="false" outlineLevel="0" collapsed="false">
      <c r="A392" s="11" t="n">
        <v>740.439</v>
      </c>
      <c r="B392" s="11" t="str">
        <f aca="false">IF(A392&gt;$N$4,"YES","NO")</f>
        <v>NO</v>
      </c>
      <c r="C392" s="9" t="n">
        <v>9</v>
      </c>
      <c r="D392" s="9" t="str">
        <f aca="false">IF(C392&gt;$N$5,"YES","NO")</f>
        <v>NO</v>
      </c>
      <c r="E392" s="9" t="n">
        <v>27</v>
      </c>
      <c r="F392" s="9" t="str">
        <f aca="false">IF(E392&gt;$N$6,"YES","NO")</f>
        <v>NO</v>
      </c>
      <c r="G392" s="13" t="s">
        <v>13</v>
      </c>
    </row>
    <row r="393" customFormat="false" ht="15.75" hidden="false" customHeight="false" outlineLevel="0" collapsed="false">
      <c r="A393" s="11" t="n">
        <v>930.02</v>
      </c>
      <c r="B393" s="11" t="str">
        <f aca="false">IF(A393&gt;$N$4,"YES","NO")</f>
        <v>NO</v>
      </c>
      <c r="C393" s="9" t="n">
        <v>18</v>
      </c>
      <c r="D393" s="9" t="str">
        <f aca="false">IF(C393&gt;$N$5,"YES","NO")</f>
        <v>NO</v>
      </c>
      <c r="E393" s="9" t="n">
        <v>30</v>
      </c>
      <c r="F393" s="9" t="str">
        <f aca="false">IF(E393&gt;$N$6,"YES","NO")</f>
        <v>NO</v>
      </c>
      <c r="G393" s="13" t="s">
        <v>13</v>
      </c>
    </row>
    <row r="394" customFormat="false" ht="15.75" hidden="false" customHeight="false" outlineLevel="0" collapsed="false">
      <c r="A394" s="11" t="n">
        <v>502.313</v>
      </c>
      <c r="B394" s="11" t="str">
        <f aca="false">IF(A394&gt;$N$4,"YES","NO")</f>
        <v>NO</v>
      </c>
      <c r="C394" s="9" t="n">
        <v>12</v>
      </c>
      <c r="D394" s="9" t="str">
        <f aca="false">IF(C394&gt;$N$5,"YES","NO")</f>
        <v>NO</v>
      </c>
      <c r="E394" s="9" t="n">
        <v>19</v>
      </c>
      <c r="F394" s="9" t="str">
        <f aca="false">IF(E394&gt;$N$6,"YES","NO")</f>
        <v>NO</v>
      </c>
      <c r="G394" s="13" t="s">
        <v>13</v>
      </c>
    </row>
    <row r="395" customFormat="false" ht="15.75" hidden="false" customHeight="false" outlineLevel="0" collapsed="false">
      <c r="A395" s="11" t="n">
        <v>1660.239</v>
      </c>
      <c r="B395" s="11" t="str">
        <f aca="false">IF(A395&gt;$N$4,"YES","NO")</f>
        <v>NO</v>
      </c>
      <c r="C395" s="9" t="n">
        <v>36</v>
      </c>
      <c r="D395" s="9" t="str">
        <f aca="false">IF(C395&gt;$N$5,"YES","NO")</f>
        <v>NO</v>
      </c>
      <c r="E395" s="9" t="n">
        <v>39</v>
      </c>
      <c r="F395" s="9" t="str">
        <f aca="false">IF(E395&gt;$N$6,"YES","NO")</f>
        <v>NO</v>
      </c>
      <c r="G395" s="13" t="s">
        <v>13</v>
      </c>
    </row>
    <row r="396" customFormat="false" ht="15.75" hidden="false" customHeight="false" outlineLevel="0" collapsed="false">
      <c r="A396" s="11" t="n">
        <v>1000.027</v>
      </c>
      <c r="B396" s="11" t="str">
        <f aca="false">IF(A396&gt;$N$4,"YES","NO")</f>
        <v>NO</v>
      </c>
      <c r="C396" s="9" t="n">
        <v>6</v>
      </c>
      <c r="D396" s="9" t="str">
        <f aca="false">IF(C396&gt;$N$5,"YES","NO")</f>
        <v>NO</v>
      </c>
      <c r="E396" s="9" t="n">
        <v>31</v>
      </c>
      <c r="F396" s="9" t="str">
        <f aca="false">IF(E396&gt;$N$6,"YES","NO")</f>
        <v>NO</v>
      </c>
      <c r="G396" s="13" t="s">
        <v>13</v>
      </c>
    </row>
    <row r="397" customFormat="false" ht="15.75" hidden="false" customHeight="false" outlineLevel="0" collapsed="false">
      <c r="A397" s="11" t="n">
        <v>1229.466</v>
      </c>
      <c r="B397" s="11" t="str">
        <f aca="false">IF(A397&gt;$N$4,"YES","NO")</f>
        <v>NO</v>
      </c>
      <c r="C397" s="9" t="n">
        <v>9</v>
      </c>
      <c r="D397" s="9" t="str">
        <f aca="false">IF(C397&gt;$N$5,"YES","NO")</f>
        <v>NO</v>
      </c>
      <c r="E397" s="9" t="n">
        <v>31</v>
      </c>
      <c r="F397" s="9" t="str">
        <f aca="false">IF(E397&gt;$N$6,"YES","NO")</f>
        <v>NO</v>
      </c>
      <c r="G397" s="13" t="s">
        <v>13</v>
      </c>
    </row>
    <row r="398" customFormat="false" ht="15.75" hidden="false" customHeight="false" outlineLevel="0" collapsed="false">
      <c r="A398" s="11" t="n">
        <v>6009.36</v>
      </c>
      <c r="B398" s="11" t="str">
        <f aca="false">IF(A398&gt;$N$4,"YES","NO")</f>
        <v>YES</v>
      </c>
      <c r="C398" s="9" t="n">
        <v>39</v>
      </c>
      <c r="D398" s="9" t="str">
        <f aca="false">IF(C398&gt;$N$5,"YES","NO")</f>
        <v>NO</v>
      </c>
      <c r="E398" s="9" t="n">
        <v>32</v>
      </c>
      <c r="F398" s="9" t="str">
        <f aca="false">IF(E398&gt;$N$6,"YES","NO")</f>
        <v>NO</v>
      </c>
      <c r="G398" s="13" t="s">
        <v>13</v>
      </c>
    </row>
    <row r="399" customFormat="false" ht="15.75" hidden="false" customHeight="false" outlineLevel="0" collapsed="false">
      <c r="A399" s="11" t="n">
        <v>1317.358</v>
      </c>
      <c r="B399" s="11" t="str">
        <f aca="false">IF(A399&gt;$N$4,"YES","NO")</f>
        <v>NO</v>
      </c>
      <c r="C399" s="9" t="n">
        <v>12</v>
      </c>
      <c r="D399" s="9" t="str">
        <f aca="false">IF(C399&gt;$N$5,"YES","NO")</f>
        <v>NO</v>
      </c>
      <c r="E399" s="9" t="n">
        <v>55</v>
      </c>
      <c r="F399" s="9" t="str">
        <f aca="false">IF(E399&gt;$N$6,"YES","NO")</f>
        <v>NO</v>
      </c>
      <c r="G399" s="13" t="s">
        <v>13</v>
      </c>
    </row>
    <row r="400" customFormat="false" ht="15.75" hidden="false" customHeight="false" outlineLevel="0" collapsed="false">
      <c r="A400" s="11" t="n">
        <v>1199.828</v>
      </c>
      <c r="B400" s="11" t="str">
        <f aca="false">IF(A400&gt;$N$4,"YES","NO")</f>
        <v>NO</v>
      </c>
      <c r="C400" s="9" t="n">
        <v>36</v>
      </c>
      <c r="D400" s="9" t="str">
        <f aca="false">IF(C400&gt;$N$5,"YES","NO")</f>
        <v>NO</v>
      </c>
      <c r="E400" s="9" t="n">
        <v>46</v>
      </c>
      <c r="F400" s="9" t="str">
        <f aca="false">IF(E400&gt;$N$6,"YES","NO")</f>
        <v>NO</v>
      </c>
      <c r="G400" s="13" t="s">
        <v>13</v>
      </c>
    </row>
    <row r="401" customFormat="false" ht="15.75" hidden="false" customHeight="false" outlineLevel="0" collapsed="false">
      <c r="A401" s="11" t="n">
        <v>624.953</v>
      </c>
      <c r="B401" s="11" t="str">
        <f aca="false">IF(A401&gt;$N$4,"YES","NO")</f>
        <v>NO</v>
      </c>
      <c r="C401" s="9" t="n">
        <v>12</v>
      </c>
      <c r="D401" s="9" t="str">
        <f aca="false">IF(C401&gt;$N$5,"YES","NO")</f>
        <v>NO</v>
      </c>
      <c r="E401" s="9" t="n">
        <v>46</v>
      </c>
      <c r="F401" s="9" t="str">
        <f aca="false">IF(E401&gt;$N$6,"YES","NO")</f>
        <v>NO</v>
      </c>
      <c r="G401" s="13" t="s">
        <v>16</v>
      </c>
    </row>
    <row r="402" customFormat="false" ht="15.75" hidden="false" customHeight="false" outlineLevel="0" collapsed="false">
      <c r="A402" s="11" t="n">
        <v>774.676</v>
      </c>
      <c r="B402" s="11" t="str">
        <f aca="false">IF(A402&gt;$N$4,"YES","NO")</f>
        <v>NO</v>
      </c>
      <c r="C402" s="9" t="n">
        <v>24</v>
      </c>
      <c r="D402" s="9" t="str">
        <f aca="false">IF(C402&gt;$N$5,"YES","NO")</f>
        <v>NO</v>
      </c>
      <c r="E402" s="9" t="n">
        <v>43</v>
      </c>
      <c r="F402" s="9" t="str">
        <f aca="false">IF(E402&gt;$N$6,"YES","NO")</f>
        <v>NO</v>
      </c>
      <c r="G402" s="13" t="s">
        <v>13</v>
      </c>
    </row>
    <row r="403" customFormat="false" ht="15.75" hidden="false" customHeight="false" outlineLevel="0" collapsed="false">
      <c r="A403" s="11" t="n">
        <v>752.703</v>
      </c>
      <c r="B403" s="11" t="str">
        <f aca="false">IF(A403&gt;$N$4,"YES","NO")</f>
        <v>NO</v>
      </c>
      <c r="C403" s="9" t="n">
        <v>18</v>
      </c>
      <c r="D403" s="9" t="str">
        <f aca="false">IF(C403&gt;$N$5,"YES","NO")</f>
        <v>NO</v>
      </c>
      <c r="E403" s="9" t="n">
        <v>39</v>
      </c>
      <c r="F403" s="9" t="str">
        <f aca="false">IF(E403&gt;$N$6,"YES","NO")</f>
        <v>NO</v>
      </c>
      <c r="G403" s="13" t="s">
        <v>13</v>
      </c>
    </row>
    <row r="404" customFormat="false" ht="15.75" hidden="false" customHeight="false" outlineLevel="0" collapsed="false">
      <c r="A404" s="11" t="n">
        <v>964.257</v>
      </c>
      <c r="B404" s="11" t="str">
        <f aca="false">IF(A404&gt;$N$4,"YES","NO")</f>
        <v>NO</v>
      </c>
      <c r="C404" s="9" t="n">
        <v>18</v>
      </c>
      <c r="D404" s="9" t="str">
        <f aca="false">IF(C404&gt;$N$5,"YES","NO")</f>
        <v>NO</v>
      </c>
      <c r="E404" s="9" t="n">
        <v>28</v>
      </c>
      <c r="F404" s="9" t="str">
        <f aca="false">IF(E404&gt;$N$6,"YES","NO")</f>
        <v>NO</v>
      </c>
      <c r="G404" s="13" t="s">
        <v>13</v>
      </c>
    </row>
    <row r="405" customFormat="false" ht="15.75" hidden="false" customHeight="false" outlineLevel="0" collapsed="false">
      <c r="A405" s="11" t="n">
        <v>4419.128</v>
      </c>
      <c r="B405" s="11" t="str">
        <f aca="false">IF(A405&gt;$N$4,"YES","NO")</f>
        <v>YES</v>
      </c>
      <c r="C405" s="9" t="n">
        <v>24</v>
      </c>
      <c r="D405" s="9" t="str">
        <f aca="false">IF(C405&gt;$N$5,"YES","NO")</f>
        <v>NO</v>
      </c>
      <c r="E405" s="9" t="n">
        <v>27</v>
      </c>
      <c r="F405" s="9" t="str">
        <f aca="false">IF(E405&gt;$N$6,"YES","NO")</f>
        <v>NO</v>
      </c>
      <c r="G405" s="13" t="s">
        <v>16</v>
      </c>
    </row>
    <row r="406" customFormat="false" ht="15.75" hidden="false" customHeight="false" outlineLevel="0" collapsed="false">
      <c r="A406" s="11" t="n">
        <v>409.822</v>
      </c>
      <c r="B406" s="11" t="str">
        <f aca="false">IF(A406&gt;$N$4,"YES","NO")</f>
        <v>NO</v>
      </c>
      <c r="C406" s="9" t="n">
        <v>14</v>
      </c>
      <c r="D406" s="9" t="str">
        <f aca="false">IF(C406&gt;$N$5,"YES","NO")</f>
        <v>NO</v>
      </c>
      <c r="E406" s="9" t="n">
        <v>27</v>
      </c>
      <c r="F406" s="9" t="str">
        <f aca="false">IF(E406&gt;$N$6,"YES","NO")</f>
        <v>NO</v>
      </c>
      <c r="G406" s="13" t="s">
        <v>13</v>
      </c>
    </row>
    <row r="407" customFormat="false" ht="15.75" hidden="false" customHeight="false" outlineLevel="0" collapsed="false">
      <c r="A407" s="11" t="n">
        <v>1481.389</v>
      </c>
      <c r="B407" s="11" t="str">
        <f aca="false">IF(A407&gt;$N$4,"YES","NO")</f>
        <v>NO</v>
      </c>
      <c r="C407" s="9" t="n">
        <v>18</v>
      </c>
      <c r="D407" s="9" t="str">
        <f aca="false">IF(C407&gt;$N$5,"YES","NO")</f>
        <v>NO</v>
      </c>
      <c r="E407" s="9" t="n">
        <v>43</v>
      </c>
      <c r="F407" s="9" t="str">
        <f aca="false">IF(E407&gt;$N$6,"YES","NO")</f>
        <v>NO</v>
      </c>
      <c r="G407" s="13" t="s">
        <v>13</v>
      </c>
    </row>
    <row r="408" customFormat="false" ht="15.75" hidden="false" customHeight="false" outlineLevel="0" collapsed="false">
      <c r="A408" s="11" t="n">
        <v>1041.929</v>
      </c>
      <c r="B408" s="11" t="str">
        <f aca="false">IF(A408&gt;$N$4,"YES","NO")</f>
        <v>NO</v>
      </c>
      <c r="C408" s="9" t="n">
        <v>24</v>
      </c>
      <c r="D408" s="9" t="str">
        <f aca="false">IF(C408&gt;$N$5,"YES","NO")</f>
        <v>NO</v>
      </c>
      <c r="E408" s="9" t="n">
        <v>22</v>
      </c>
      <c r="F408" s="9" t="str">
        <f aca="false">IF(E408&gt;$N$6,"YES","NO")</f>
        <v>NO</v>
      </c>
      <c r="G408" s="13" t="s">
        <v>16</v>
      </c>
    </row>
    <row r="409" customFormat="false" ht="15.75" hidden="false" customHeight="false" outlineLevel="0" collapsed="false">
      <c r="A409" s="11" t="n">
        <v>1122.667</v>
      </c>
      <c r="B409" s="11" t="str">
        <f aca="false">IF(A409&gt;$N$4,"YES","NO")</f>
        <v>NO</v>
      </c>
      <c r="C409" s="9" t="n">
        <v>24</v>
      </c>
      <c r="D409" s="9" t="str">
        <f aca="false">IF(C409&gt;$N$5,"YES","NO")</f>
        <v>NO</v>
      </c>
      <c r="E409" s="9" t="n">
        <v>43</v>
      </c>
      <c r="F409" s="9" t="str">
        <f aca="false">IF(E409&gt;$N$6,"YES","NO")</f>
        <v>NO</v>
      </c>
      <c r="G409" s="13" t="s">
        <v>13</v>
      </c>
    </row>
    <row r="410" customFormat="false" ht="15.75" hidden="false" customHeight="false" outlineLevel="0" collapsed="false">
      <c r="A410" s="11" t="n">
        <v>538.083</v>
      </c>
      <c r="B410" s="11" t="str">
        <f aca="false">IF(A410&gt;$N$4,"YES","NO")</f>
        <v>NO</v>
      </c>
      <c r="C410" s="9" t="n">
        <v>15</v>
      </c>
      <c r="D410" s="9" t="str">
        <f aca="false">IF(C410&gt;$N$5,"YES","NO")</f>
        <v>NO</v>
      </c>
      <c r="E410" s="9" t="n">
        <v>27</v>
      </c>
      <c r="F410" s="9" t="str">
        <f aca="false">IF(E410&gt;$N$6,"YES","NO")</f>
        <v>NO</v>
      </c>
      <c r="G410" s="13" t="s">
        <v>13</v>
      </c>
    </row>
    <row r="411" customFormat="false" ht="15.75" hidden="false" customHeight="false" outlineLevel="0" collapsed="false">
      <c r="A411" s="11" t="n">
        <v>1653.085</v>
      </c>
      <c r="B411" s="11" t="str">
        <f aca="false">IF(A411&gt;$N$4,"YES","NO")</f>
        <v>NO</v>
      </c>
      <c r="C411" s="9" t="n">
        <v>24</v>
      </c>
      <c r="D411" s="9" t="str">
        <f aca="false">IF(C411&gt;$N$5,"YES","NO")</f>
        <v>NO</v>
      </c>
      <c r="E411" s="9" t="n">
        <v>26</v>
      </c>
      <c r="F411" s="9" t="str">
        <f aca="false">IF(E411&gt;$N$6,"YES","NO")</f>
        <v>NO</v>
      </c>
      <c r="G411" s="13" t="s">
        <v>13</v>
      </c>
    </row>
    <row r="412" customFormat="false" ht="15.75" hidden="false" customHeight="false" outlineLevel="0" collapsed="false">
      <c r="A412" s="11" t="n">
        <v>479.829</v>
      </c>
      <c r="B412" s="11" t="str">
        <f aca="false">IF(A412&gt;$N$4,"YES","NO")</f>
        <v>NO</v>
      </c>
      <c r="C412" s="9" t="n">
        <v>12</v>
      </c>
      <c r="D412" s="9" t="str">
        <f aca="false">IF(C412&gt;$N$5,"YES","NO")</f>
        <v>NO</v>
      </c>
      <c r="E412" s="9" t="n">
        <v>28</v>
      </c>
      <c r="F412" s="9" t="str">
        <f aca="false">IF(E412&gt;$N$6,"YES","NO")</f>
        <v>NO</v>
      </c>
      <c r="G412" s="13" t="s">
        <v>16</v>
      </c>
    </row>
    <row r="413" customFormat="false" ht="15.75" hidden="false" customHeight="false" outlineLevel="0" collapsed="false">
      <c r="A413" s="11" t="n">
        <v>1005.137</v>
      </c>
      <c r="B413" s="11" t="str">
        <f aca="false">IF(A413&gt;$N$4,"YES","NO")</f>
        <v>NO</v>
      </c>
      <c r="C413" s="9" t="n">
        <v>24</v>
      </c>
      <c r="D413" s="9" t="str">
        <f aca="false">IF(C413&gt;$N$5,"YES","NO")</f>
        <v>NO</v>
      </c>
      <c r="E413" s="9" t="n">
        <v>20</v>
      </c>
      <c r="F413" s="9" t="str">
        <f aca="false">IF(E413&gt;$N$6,"YES","NO")</f>
        <v>NO</v>
      </c>
      <c r="G413" s="13" t="s">
        <v>13</v>
      </c>
    </row>
    <row r="414" customFormat="false" ht="15.75" hidden="false" customHeight="false" outlineLevel="0" collapsed="false">
      <c r="A414" s="11" t="n">
        <v>3706.283</v>
      </c>
      <c r="B414" s="11" t="str">
        <f aca="false">IF(A414&gt;$N$4,"YES","NO")</f>
        <v>NO</v>
      </c>
      <c r="C414" s="9" t="n">
        <v>33</v>
      </c>
      <c r="D414" s="9" t="str">
        <f aca="false">IF(C414&gt;$N$5,"YES","NO")</f>
        <v>NO</v>
      </c>
      <c r="E414" s="9" t="n">
        <v>35</v>
      </c>
      <c r="F414" s="9" t="str">
        <f aca="false">IF(E414&gt;$N$6,"YES","NO")</f>
        <v>NO</v>
      </c>
      <c r="G414" s="13" t="s">
        <v>13</v>
      </c>
    </row>
    <row r="415" customFormat="false" ht="15.75" hidden="false" customHeight="false" outlineLevel="0" collapsed="false">
      <c r="A415" s="11" t="n">
        <v>1171.212</v>
      </c>
      <c r="B415" s="11" t="str">
        <f aca="false">IF(A415&gt;$N$4,"YES","NO")</f>
        <v>NO</v>
      </c>
      <c r="C415" s="9" t="n">
        <v>12</v>
      </c>
      <c r="D415" s="9" t="str">
        <f aca="false">IF(C415&gt;$N$5,"YES","NO")</f>
        <v>NO</v>
      </c>
      <c r="E415" s="9" t="n">
        <v>42</v>
      </c>
      <c r="F415" s="9" t="str">
        <f aca="false">IF(E415&gt;$N$6,"YES","NO")</f>
        <v>NO</v>
      </c>
      <c r="G415" s="13" t="s">
        <v>16</v>
      </c>
    </row>
    <row r="416" customFormat="false" ht="15.75" hidden="false" customHeight="false" outlineLevel="0" collapsed="false">
      <c r="A416" s="11" t="n">
        <v>816.067</v>
      </c>
      <c r="B416" s="11" t="str">
        <f aca="false">IF(A416&gt;$N$4,"YES","NO")</f>
        <v>NO</v>
      </c>
      <c r="C416" s="9" t="n">
        <v>10</v>
      </c>
      <c r="D416" s="9" t="str">
        <f aca="false">IF(C416&gt;$N$5,"YES","NO")</f>
        <v>NO</v>
      </c>
      <c r="E416" s="9" t="n">
        <v>40</v>
      </c>
      <c r="F416" s="9" t="str">
        <f aca="false">IF(E416&gt;$N$6,"YES","NO")</f>
        <v>NO</v>
      </c>
      <c r="G416" s="13" t="s">
        <v>13</v>
      </c>
    </row>
    <row r="417" customFormat="false" ht="15.75" hidden="false" customHeight="false" outlineLevel="0" collapsed="false">
      <c r="A417" s="11" t="n">
        <v>705.691</v>
      </c>
      <c r="B417" s="11" t="str">
        <f aca="false">IF(A417&gt;$N$4,"YES","NO")</f>
        <v>NO</v>
      </c>
      <c r="C417" s="9" t="n">
        <v>24</v>
      </c>
      <c r="D417" s="9" t="str">
        <f aca="false">IF(C417&gt;$N$5,"YES","NO")</f>
        <v>NO</v>
      </c>
      <c r="E417" s="9" t="n">
        <v>35</v>
      </c>
      <c r="F417" s="9" t="str">
        <f aca="false">IF(E417&gt;$N$6,"YES","NO")</f>
        <v>NO</v>
      </c>
      <c r="G417" s="13" t="s">
        <v>16</v>
      </c>
    </row>
    <row r="418" customFormat="false" ht="15.75" hidden="false" customHeight="false" outlineLevel="0" collapsed="false">
      <c r="A418" s="11" t="n">
        <v>2985.262</v>
      </c>
      <c r="B418" s="11" t="str">
        <f aca="false">IF(A418&gt;$N$4,"YES","NO")</f>
        <v>NO</v>
      </c>
      <c r="C418" s="9" t="n">
        <v>36</v>
      </c>
      <c r="D418" s="9" t="str">
        <f aca="false">IF(C418&gt;$N$5,"YES","NO")</f>
        <v>NO</v>
      </c>
      <c r="E418" s="9" t="n">
        <v>35</v>
      </c>
      <c r="F418" s="9" t="str">
        <f aca="false">IF(E418&gt;$N$6,"YES","NO")</f>
        <v>NO</v>
      </c>
      <c r="G418" s="13" t="s">
        <v>13</v>
      </c>
    </row>
    <row r="419" customFormat="false" ht="15.75" hidden="false" customHeight="false" outlineLevel="0" collapsed="false">
      <c r="A419" s="11" t="n">
        <v>1317.869</v>
      </c>
      <c r="B419" s="11" t="str">
        <f aca="false">IF(A419&gt;$N$4,"YES","NO")</f>
        <v>NO</v>
      </c>
      <c r="C419" s="9" t="n">
        <v>12</v>
      </c>
      <c r="D419" s="9" t="str">
        <f aca="false">IF(C419&gt;$N$5,"YES","NO")</f>
        <v>NO</v>
      </c>
      <c r="E419" s="9" t="n">
        <v>33</v>
      </c>
      <c r="F419" s="9" t="str">
        <f aca="false">IF(E419&gt;$N$6,"YES","NO")</f>
        <v>NO</v>
      </c>
      <c r="G419" s="13" t="s">
        <v>16</v>
      </c>
    </row>
    <row r="420" customFormat="false" ht="15.75" hidden="false" customHeight="false" outlineLevel="0" collapsed="false">
      <c r="A420" s="11" t="n">
        <v>4328.681</v>
      </c>
      <c r="B420" s="11" t="str">
        <f aca="false">IF(A420&gt;$N$4,"YES","NO")</f>
        <v>YES</v>
      </c>
      <c r="C420" s="9" t="n">
        <v>18</v>
      </c>
      <c r="D420" s="9" t="str">
        <f aca="false">IF(C420&gt;$N$5,"YES","NO")</f>
        <v>NO</v>
      </c>
      <c r="E420" s="9" t="n">
        <v>23</v>
      </c>
      <c r="F420" s="9" t="str">
        <f aca="false">IF(E420&gt;$N$6,"YES","NO")</f>
        <v>NO</v>
      </c>
      <c r="G420" s="13" t="s">
        <v>13</v>
      </c>
    </row>
    <row r="421" customFormat="false" ht="15.75" hidden="false" customHeight="false" outlineLevel="0" collapsed="false">
      <c r="A421" s="11" t="n">
        <v>1421.602</v>
      </c>
      <c r="B421" s="11" t="str">
        <f aca="false">IF(A421&gt;$N$4,"YES","NO")</f>
        <v>NO</v>
      </c>
      <c r="C421" s="9" t="n">
        <v>21</v>
      </c>
      <c r="D421" s="9" t="str">
        <f aca="false">IF(C421&gt;$N$5,"YES","NO")</f>
        <v>NO</v>
      </c>
      <c r="E421" s="9" t="n">
        <v>31</v>
      </c>
      <c r="F421" s="9" t="str">
        <f aca="false">IF(E421&gt;$N$6,"YES","NO")</f>
        <v>NO</v>
      </c>
      <c r="G421" s="13" t="s">
        <v>13</v>
      </c>
    </row>
    <row r="422" customFormat="false" ht="15.75" hidden="false" customHeight="false" outlineLevel="0" collapsed="false">
      <c r="A422" s="11" t="n">
        <v>532.462</v>
      </c>
      <c r="B422" s="11" t="str">
        <f aca="false">IF(A422&gt;$N$4,"YES","NO")</f>
        <v>NO</v>
      </c>
      <c r="C422" s="9" t="n">
        <v>18</v>
      </c>
      <c r="D422" s="9" t="str">
        <f aca="false">IF(C422&gt;$N$5,"YES","NO")</f>
        <v>NO</v>
      </c>
      <c r="E422" s="9" t="n">
        <v>33</v>
      </c>
      <c r="F422" s="9" t="str">
        <f aca="false">IF(E422&gt;$N$6,"YES","NO")</f>
        <v>NO</v>
      </c>
      <c r="G422" s="13" t="s">
        <v>16</v>
      </c>
    </row>
    <row r="423" customFormat="false" ht="15.75" hidden="false" customHeight="false" outlineLevel="0" collapsed="false">
      <c r="A423" s="11" t="n">
        <v>1628.046</v>
      </c>
      <c r="B423" s="11" t="str">
        <f aca="false">IF(A423&gt;$N$4,"YES","NO")</f>
        <v>NO</v>
      </c>
      <c r="C423" s="9" t="n">
        <v>15</v>
      </c>
      <c r="D423" s="9" t="str">
        <f aca="false">IF(C423&gt;$N$5,"YES","NO")</f>
        <v>NO</v>
      </c>
      <c r="E423" s="9" t="n">
        <v>20</v>
      </c>
      <c r="F423" s="9" t="str">
        <f aca="false">IF(E423&gt;$N$6,"YES","NO")</f>
        <v>NO</v>
      </c>
      <c r="G423" s="13" t="s">
        <v>13</v>
      </c>
    </row>
    <row r="424" customFormat="false" ht="15.75" hidden="false" customHeight="false" outlineLevel="0" collapsed="false">
      <c r="A424" s="11" t="n">
        <v>1036.308</v>
      </c>
      <c r="B424" s="11" t="str">
        <f aca="false">IF(A424&gt;$N$4,"YES","NO")</f>
        <v>NO</v>
      </c>
      <c r="C424" s="9" t="n">
        <v>12</v>
      </c>
      <c r="D424" s="9" t="str">
        <f aca="false">IF(C424&gt;$N$5,"YES","NO")</f>
        <v>NO</v>
      </c>
      <c r="E424" s="9" t="n">
        <v>30</v>
      </c>
      <c r="F424" s="9" t="str">
        <f aca="false">IF(E424&gt;$N$6,"YES","NO")</f>
        <v>NO</v>
      </c>
      <c r="G424" s="13" t="s">
        <v>13</v>
      </c>
    </row>
    <row r="425" customFormat="false" ht="15.75" hidden="false" customHeight="false" outlineLevel="0" collapsed="false">
      <c r="A425" s="11" t="n">
        <v>489.538</v>
      </c>
      <c r="B425" s="11" t="str">
        <f aca="false">IF(A425&gt;$N$4,"YES","NO")</f>
        <v>NO</v>
      </c>
      <c r="C425" s="9" t="n">
        <v>12</v>
      </c>
      <c r="D425" s="9" t="str">
        <f aca="false">IF(C425&gt;$N$5,"YES","NO")</f>
        <v>NO</v>
      </c>
      <c r="E425" s="9" t="n">
        <v>47</v>
      </c>
      <c r="F425" s="9" t="str">
        <f aca="false">IF(E425&gt;$N$6,"YES","NO")</f>
        <v>NO</v>
      </c>
      <c r="G425" s="13" t="s">
        <v>13</v>
      </c>
    </row>
    <row r="426" customFormat="false" ht="15.75" hidden="false" customHeight="false" outlineLevel="0" collapsed="false">
      <c r="A426" s="11" t="n">
        <v>813.001</v>
      </c>
      <c r="B426" s="11" t="str">
        <f aca="false">IF(A426&gt;$N$4,"YES","NO")</f>
        <v>NO</v>
      </c>
      <c r="C426" s="9" t="n">
        <v>21</v>
      </c>
      <c r="D426" s="9" t="str">
        <f aca="false">IF(C426&gt;$N$5,"YES","NO")</f>
        <v>NO</v>
      </c>
      <c r="E426" s="9" t="n">
        <v>34</v>
      </c>
      <c r="F426" s="9" t="str">
        <f aca="false">IF(E426&gt;$N$6,"YES","NO")</f>
        <v>NO</v>
      </c>
      <c r="G426" s="13" t="s">
        <v>13</v>
      </c>
    </row>
    <row r="427" customFormat="false" ht="15.75" hidden="false" customHeight="false" outlineLevel="0" collapsed="false">
      <c r="A427" s="11" t="n">
        <v>1411.382</v>
      </c>
      <c r="B427" s="11" t="str">
        <f aca="false">IF(A427&gt;$N$4,"YES","NO")</f>
        <v>NO</v>
      </c>
      <c r="C427" s="9" t="n">
        <v>12</v>
      </c>
      <c r="D427" s="9" t="str">
        <f aca="false">IF(C427&gt;$N$5,"YES","NO")</f>
        <v>NO</v>
      </c>
      <c r="E427" s="9" t="n">
        <v>25</v>
      </c>
      <c r="F427" s="9" t="str">
        <f aca="false">IF(E427&gt;$N$6,"YES","NO")</f>
        <v>NO</v>
      </c>
      <c r="G427" s="13" t="s">
        <v>16</v>
      </c>
    </row>
    <row r="428" customFormat="false" ht="15.75" hidden="false" customHeight="false" outlineLevel="0" collapsed="false">
      <c r="A428" s="11" t="n">
        <v>1420.069</v>
      </c>
      <c r="B428" s="11" t="str">
        <f aca="false">IF(A428&gt;$N$4,"YES","NO")</f>
        <v>NO</v>
      </c>
      <c r="C428" s="9" t="n">
        <v>18</v>
      </c>
      <c r="D428" s="9" t="str">
        <f aca="false">IF(C428&gt;$N$5,"YES","NO")</f>
        <v>NO</v>
      </c>
      <c r="E428" s="9" t="n">
        <v>21</v>
      </c>
      <c r="F428" s="9" t="str">
        <f aca="false">IF(E428&gt;$N$6,"YES","NO")</f>
        <v>NO</v>
      </c>
      <c r="G428" s="13" t="s">
        <v>13</v>
      </c>
    </row>
    <row r="429" customFormat="false" ht="15.75" hidden="false" customHeight="false" outlineLevel="0" collapsed="false">
      <c r="A429" s="11" t="n">
        <v>1401.673</v>
      </c>
      <c r="B429" s="11" t="str">
        <f aca="false">IF(A429&gt;$N$4,"YES","NO")</f>
        <v>NO</v>
      </c>
      <c r="C429" s="9" t="n">
        <v>28</v>
      </c>
      <c r="D429" s="9" t="str">
        <f aca="false">IF(C429&gt;$N$5,"YES","NO")</f>
        <v>NO</v>
      </c>
      <c r="E429" s="9" t="n">
        <v>29</v>
      </c>
      <c r="F429" s="9" t="str">
        <f aca="false">IF(E429&gt;$N$6,"YES","NO")</f>
        <v>NO</v>
      </c>
      <c r="G429" s="13" t="s">
        <v>13</v>
      </c>
    </row>
    <row r="430" customFormat="false" ht="15.75" hidden="false" customHeight="false" outlineLevel="0" collapsed="false">
      <c r="A430" s="11" t="n">
        <v>587.139</v>
      </c>
      <c r="B430" s="11" t="str">
        <f aca="false">IF(A430&gt;$N$4,"YES","NO")</f>
        <v>NO</v>
      </c>
      <c r="C430" s="9" t="n">
        <v>18</v>
      </c>
      <c r="D430" s="9" t="str">
        <f aca="false">IF(C430&gt;$N$5,"YES","NO")</f>
        <v>NO</v>
      </c>
      <c r="E430" s="9" t="n">
        <v>46</v>
      </c>
      <c r="F430" s="9" t="str">
        <f aca="false">IF(E430&gt;$N$6,"YES","NO")</f>
        <v>NO</v>
      </c>
      <c r="G430" s="13" t="s">
        <v>13</v>
      </c>
    </row>
    <row r="431" customFormat="false" ht="15.75" hidden="false" customHeight="false" outlineLevel="0" collapsed="false">
      <c r="A431" s="11" t="n">
        <v>670.943</v>
      </c>
      <c r="B431" s="11" t="str">
        <f aca="false">IF(A431&gt;$N$4,"YES","NO")</f>
        <v>NO</v>
      </c>
      <c r="C431" s="9" t="n">
        <v>9</v>
      </c>
      <c r="D431" s="9" t="str">
        <f aca="false">IF(C431&gt;$N$5,"YES","NO")</f>
        <v>NO</v>
      </c>
      <c r="E431" s="9" t="n">
        <v>20</v>
      </c>
      <c r="F431" s="9" t="str">
        <f aca="false">IF(E431&gt;$N$6,"YES","NO")</f>
        <v>NO</v>
      </c>
      <c r="G431" s="13" t="s">
        <v>13</v>
      </c>
    </row>
    <row r="432" customFormat="false" ht="15.75" hidden="false" customHeight="false" outlineLevel="0" collapsed="false">
      <c r="A432" s="11" t="n">
        <v>608.09</v>
      </c>
      <c r="B432" s="11" t="str">
        <f aca="false">IF(A432&gt;$N$4,"YES","NO")</f>
        <v>NO</v>
      </c>
      <c r="C432" s="9" t="n">
        <v>18</v>
      </c>
      <c r="D432" s="9" t="str">
        <f aca="false">IF(C432&gt;$N$5,"YES","NO")</f>
        <v>NO</v>
      </c>
      <c r="E432" s="9" t="n">
        <v>55</v>
      </c>
      <c r="F432" s="9" t="str">
        <f aca="false">IF(E432&gt;$N$6,"YES","NO")</f>
        <v>NO</v>
      </c>
      <c r="G432" s="13" t="s">
        <v>16</v>
      </c>
    </row>
    <row r="433" customFormat="false" ht="15.75" hidden="false" customHeight="false" outlineLevel="0" collapsed="false">
      <c r="A433" s="11" t="n">
        <v>1761.928</v>
      </c>
      <c r="B433" s="11" t="str">
        <f aca="false">IF(A433&gt;$N$4,"YES","NO")</f>
        <v>NO</v>
      </c>
      <c r="C433" s="9" t="n">
        <v>5</v>
      </c>
      <c r="D433" s="9" t="str">
        <f aca="false">IF(C433&gt;$N$5,"YES","NO")</f>
        <v>NO</v>
      </c>
      <c r="E433" s="9" t="n">
        <v>74</v>
      </c>
      <c r="F433" s="9" t="str">
        <f aca="false">IF(E433&gt;$N$6,"YES","NO")</f>
        <v>YES</v>
      </c>
      <c r="G433" s="13" t="s">
        <v>13</v>
      </c>
    </row>
    <row r="434" customFormat="false" ht="15.75" hidden="false" customHeight="false" outlineLevel="0" collapsed="false">
      <c r="A434" s="11" t="n">
        <v>5788.608</v>
      </c>
      <c r="B434" s="11" t="str">
        <f aca="false">IF(A434&gt;$N$4,"YES","NO")</f>
        <v>YES</v>
      </c>
      <c r="C434" s="9" t="n">
        <v>24</v>
      </c>
      <c r="D434" s="9" t="str">
        <f aca="false">IF(C434&gt;$N$5,"YES","NO")</f>
        <v>NO</v>
      </c>
      <c r="E434" s="9" t="n">
        <v>29</v>
      </c>
      <c r="F434" s="9" t="str">
        <f aca="false">IF(E434&gt;$N$6,"YES","NO")</f>
        <v>NO</v>
      </c>
      <c r="G434" s="13" t="s">
        <v>16</v>
      </c>
    </row>
    <row r="435" customFormat="false" ht="15.75" hidden="false" customHeight="false" outlineLevel="0" collapsed="false">
      <c r="A435" s="11" t="n">
        <v>956.592</v>
      </c>
      <c r="B435" s="11" t="str">
        <f aca="false">IF(A435&gt;$N$4,"YES","NO")</f>
        <v>NO</v>
      </c>
      <c r="C435" s="9" t="n">
        <v>6</v>
      </c>
      <c r="D435" s="9" t="str">
        <f aca="false">IF(C435&gt;$N$5,"YES","NO")</f>
        <v>NO</v>
      </c>
      <c r="E435" s="9" t="n">
        <v>36</v>
      </c>
      <c r="F435" s="9" t="str">
        <f aca="false">IF(E435&gt;$N$6,"YES","NO")</f>
        <v>NO</v>
      </c>
      <c r="G435" s="13" t="s">
        <v>13</v>
      </c>
    </row>
    <row r="436" customFormat="false" ht="15.75" hidden="false" customHeight="false" outlineLevel="0" collapsed="false">
      <c r="A436" s="11" t="n">
        <v>1051.638</v>
      </c>
      <c r="B436" s="11" t="str">
        <f aca="false">IF(A436&gt;$N$4,"YES","NO")</f>
        <v>NO</v>
      </c>
      <c r="C436" s="9" t="n">
        <v>24</v>
      </c>
      <c r="D436" s="9" t="str">
        <f aca="false">IF(C436&gt;$N$5,"YES","NO")</f>
        <v>NO</v>
      </c>
      <c r="E436" s="9" t="n">
        <v>33</v>
      </c>
      <c r="F436" s="9" t="str">
        <f aca="false">IF(E436&gt;$N$6,"YES","NO")</f>
        <v>NO</v>
      </c>
      <c r="G436" s="13" t="s">
        <v>13</v>
      </c>
    </row>
    <row r="437" customFormat="false" ht="15.75" hidden="false" customHeight="false" outlineLevel="0" collapsed="false">
      <c r="A437" s="11" t="n">
        <v>1091.496</v>
      </c>
      <c r="B437" s="11" t="str">
        <f aca="false">IF(A437&gt;$N$4,"YES","NO")</f>
        <v>NO</v>
      </c>
      <c r="C437" s="9" t="n">
        <v>9</v>
      </c>
      <c r="D437" s="9" t="str">
        <f aca="false">IF(C437&gt;$N$5,"YES","NO")</f>
        <v>NO</v>
      </c>
      <c r="E437" s="9" t="n">
        <v>25</v>
      </c>
      <c r="F437" s="9" t="str">
        <f aca="false">IF(E437&gt;$N$6,"YES","NO")</f>
        <v>NO</v>
      </c>
      <c r="G437" s="13" t="s">
        <v>13</v>
      </c>
    </row>
    <row r="438" customFormat="false" ht="15.75" hidden="false" customHeight="false" outlineLevel="0" collapsed="false">
      <c r="A438" s="11" t="n">
        <v>758.324</v>
      </c>
      <c r="B438" s="11" t="str">
        <f aca="false">IF(A438&gt;$N$4,"YES","NO")</f>
        <v>NO</v>
      </c>
      <c r="C438" s="9" t="n">
        <v>12</v>
      </c>
      <c r="D438" s="9" t="str">
        <f aca="false">IF(C438&gt;$N$5,"YES","NO")</f>
        <v>NO</v>
      </c>
      <c r="E438" s="9" t="n">
        <v>25</v>
      </c>
      <c r="F438" s="9" t="str">
        <f aca="false">IF(E438&gt;$N$6,"YES","NO")</f>
        <v>NO</v>
      </c>
      <c r="G438" s="13" t="s">
        <v>16</v>
      </c>
    </row>
    <row r="439" customFormat="false" ht="15.75" hidden="false" customHeight="false" outlineLevel="0" collapsed="false">
      <c r="A439" s="11" t="n">
        <v>337.26</v>
      </c>
      <c r="B439" s="11" t="str">
        <f aca="false">IF(A439&gt;$N$4,"YES","NO")</f>
        <v>NO</v>
      </c>
      <c r="C439" s="9" t="n">
        <v>6</v>
      </c>
      <c r="D439" s="9" t="str">
        <f aca="false">IF(C439&gt;$N$5,"YES","NO")</f>
        <v>NO</v>
      </c>
      <c r="E439" s="9" t="n">
        <v>23</v>
      </c>
      <c r="F439" s="9" t="str">
        <f aca="false">IF(E439&gt;$N$6,"YES","NO")</f>
        <v>NO</v>
      </c>
      <c r="G439" s="13" t="s">
        <v>13</v>
      </c>
    </row>
    <row r="440" customFormat="false" ht="15.75" hidden="false" customHeight="false" outlineLevel="0" collapsed="false">
      <c r="A440" s="11" t="n">
        <v>657.657</v>
      </c>
      <c r="B440" s="11" t="str">
        <f aca="false">IF(A440&gt;$N$4,"YES","NO")</f>
        <v>NO</v>
      </c>
      <c r="C440" s="9" t="n">
        <v>24</v>
      </c>
      <c r="D440" s="9" t="str">
        <f aca="false">IF(C440&gt;$N$5,"YES","NO")</f>
        <v>NO</v>
      </c>
      <c r="E440" s="9" t="n">
        <v>37</v>
      </c>
      <c r="F440" s="9" t="str">
        <f aca="false">IF(E440&gt;$N$6,"YES","NO")</f>
        <v>NO</v>
      </c>
      <c r="G440" s="13" t="s">
        <v>13</v>
      </c>
    </row>
    <row r="441" customFormat="false" ht="15.75" hidden="false" customHeight="false" outlineLevel="0" collapsed="false">
      <c r="A441" s="11" t="n">
        <v>1734.334</v>
      </c>
      <c r="B441" s="11" t="str">
        <f aca="false">IF(A441&gt;$N$4,"YES","NO")</f>
        <v>NO</v>
      </c>
      <c r="C441" s="9" t="n">
        <v>42</v>
      </c>
      <c r="D441" s="9" t="str">
        <f aca="false">IF(C441&gt;$N$5,"YES","NO")</f>
        <v>NO</v>
      </c>
      <c r="E441" s="9" t="n">
        <v>65</v>
      </c>
      <c r="F441" s="9" t="str">
        <f aca="false">IF(E441&gt;$N$6,"YES","NO")</f>
        <v>YES</v>
      </c>
      <c r="G441" s="13" t="s">
        <v>13</v>
      </c>
    </row>
    <row r="442" customFormat="false" ht="15.75" hidden="false" customHeight="false" outlineLevel="0" collapsed="false">
      <c r="A442" s="11" t="n">
        <v>311.199</v>
      </c>
      <c r="B442" s="11" t="str">
        <f aca="false">IF(A442&gt;$N$4,"YES","NO")</f>
        <v>NO</v>
      </c>
      <c r="C442" s="9" t="n">
        <v>12</v>
      </c>
      <c r="D442" s="9" t="str">
        <f aca="false">IF(C442&gt;$N$5,"YES","NO")</f>
        <v>NO</v>
      </c>
      <c r="E442" s="9" t="n">
        <v>26</v>
      </c>
      <c r="F442" s="9" t="str">
        <f aca="false">IF(E442&gt;$N$6,"YES","NO")</f>
        <v>NO</v>
      </c>
      <c r="G442" s="13" t="s">
        <v>16</v>
      </c>
    </row>
    <row r="443" customFormat="false" ht="15.75" hidden="false" customHeight="false" outlineLevel="0" collapsed="false">
      <c r="A443" s="11" t="n">
        <v>962.724</v>
      </c>
      <c r="B443" s="11" t="str">
        <f aca="false">IF(A443&gt;$N$4,"YES","NO")</f>
        <v>NO</v>
      </c>
      <c r="C443" s="9" t="n">
        <v>12</v>
      </c>
      <c r="D443" s="9" t="str">
        <f aca="false">IF(C443&gt;$N$5,"YES","NO")</f>
        <v>NO</v>
      </c>
      <c r="E443" s="9" t="n">
        <v>39</v>
      </c>
      <c r="F443" s="9" t="str">
        <f aca="false">IF(E443&gt;$N$6,"YES","NO")</f>
        <v>NO</v>
      </c>
      <c r="G443" s="13" t="s">
        <v>13</v>
      </c>
    </row>
    <row r="444" customFormat="false" ht="15.75" hidden="false" customHeight="false" outlineLevel="0" collapsed="false">
      <c r="A444" s="11" t="n">
        <v>827.82</v>
      </c>
      <c r="B444" s="11" t="str">
        <f aca="false">IF(A444&gt;$N$4,"YES","NO")</f>
        <v>NO</v>
      </c>
      <c r="C444" s="9" t="n">
        <v>12</v>
      </c>
      <c r="D444" s="9" t="str">
        <f aca="false">IF(C444&gt;$N$5,"YES","NO")</f>
        <v>NO</v>
      </c>
      <c r="E444" s="9" t="n">
        <v>30</v>
      </c>
      <c r="F444" s="9" t="str">
        <f aca="false">IF(E444&gt;$N$6,"YES","NO")</f>
        <v>NO</v>
      </c>
      <c r="G444" s="13" t="s">
        <v>13</v>
      </c>
    </row>
    <row r="445" customFormat="false" ht="15.75" hidden="false" customHeight="false" outlineLevel="0" collapsed="false">
      <c r="A445" s="11" t="n">
        <v>1343.419</v>
      </c>
      <c r="B445" s="11" t="str">
        <f aca="false">IF(A445&gt;$N$4,"YES","NO")</f>
        <v>NO</v>
      </c>
      <c r="C445" s="9" t="n">
        <v>20</v>
      </c>
      <c r="D445" s="9" t="str">
        <f aca="false">IF(C445&gt;$N$5,"YES","NO")</f>
        <v>NO</v>
      </c>
      <c r="E445" s="9" t="n">
        <v>29</v>
      </c>
      <c r="F445" s="9" t="str">
        <f aca="false">IF(E445&gt;$N$6,"YES","NO")</f>
        <v>NO</v>
      </c>
      <c r="G445" s="13" t="s">
        <v>13</v>
      </c>
    </row>
    <row r="446" customFormat="false" ht="15.75" hidden="false" customHeight="false" outlineLevel="0" collapsed="false">
      <c r="A446" s="11" t="n">
        <v>367.409</v>
      </c>
      <c r="B446" s="11" t="str">
        <f aca="false">IF(A446&gt;$N$4,"YES","NO")</f>
        <v>NO</v>
      </c>
      <c r="C446" s="9" t="n">
        <v>12</v>
      </c>
      <c r="D446" s="9" t="str">
        <f aca="false">IF(C446&gt;$N$5,"YES","NO")</f>
        <v>NO</v>
      </c>
      <c r="E446" s="9" t="n">
        <v>41</v>
      </c>
      <c r="F446" s="9" t="str">
        <f aca="false">IF(E446&gt;$N$6,"YES","NO")</f>
        <v>NO</v>
      </c>
      <c r="G446" s="13" t="s">
        <v>16</v>
      </c>
    </row>
    <row r="447" customFormat="false" ht="15.75" hidden="false" customHeight="false" outlineLevel="0" collapsed="false">
      <c r="A447" s="11" t="n">
        <v>2604.056</v>
      </c>
      <c r="B447" s="11" t="str">
        <f aca="false">IF(A447&gt;$N$4,"YES","NO")</f>
        <v>NO</v>
      </c>
      <c r="C447" s="9" t="n">
        <v>48</v>
      </c>
      <c r="D447" s="9" t="str">
        <f aca="false">IF(C447&gt;$N$5,"YES","NO")</f>
        <v>YES</v>
      </c>
      <c r="E447" s="9" t="n">
        <v>30</v>
      </c>
      <c r="F447" s="9" t="str">
        <f aca="false">IF(E447&gt;$N$6,"YES","NO")</f>
        <v>NO</v>
      </c>
      <c r="G447" s="13" t="s">
        <v>16</v>
      </c>
    </row>
    <row r="448" customFormat="false" ht="15.75" hidden="false" customHeight="false" outlineLevel="0" collapsed="false">
      <c r="A448" s="11" t="n">
        <v>635.684</v>
      </c>
      <c r="B448" s="11" t="str">
        <f aca="false">IF(A448&gt;$N$4,"YES","NO")</f>
        <v>NO</v>
      </c>
      <c r="C448" s="9" t="n">
        <v>9</v>
      </c>
      <c r="D448" s="9" t="str">
        <f aca="false">IF(C448&gt;$N$5,"YES","NO")</f>
        <v>NO</v>
      </c>
      <c r="E448" s="9" t="n">
        <v>41</v>
      </c>
      <c r="F448" s="9" t="str">
        <f aca="false">IF(E448&gt;$N$6,"YES","NO")</f>
        <v>NO</v>
      </c>
      <c r="G448" s="13" t="s">
        <v>13</v>
      </c>
    </row>
    <row r="449" customFormat="false" ht="15.75" hidden="false" customHeight="false" outlineLevel="0" collapsed="false">
      <c r="A449" s="11" t="n">
        <v>941.262</v>
      </c>
      <c r="B449" s="11" t="str">
        <f aca="false">IF(A449&gt;$N$4,"YES","NO")</f>
        <v>NO</v>
      </c>
      <c r="C449" s="9" t="n">
        <v>36</v>
      </c>
      <c r="D449" s="9" t="str">
        <f aca="false">IF(C449&gt;$N$5,"YES","NO")</f>
        <v>NO</v>
      </c>
      <c r="E449" s="9" t="n">
        <v>34</v>
      </c>
      <c r="F449" s="9" t="str">
        <f aca="false">IF(E449&gt;$N$6,"YES","NO")</f>
        <v>NO</v>
      </c>
      <c r="G449" s="13" t="s">
        <v>16</v>
      </c>
    </row>
    <row r="450" customFormat="false" ht="15.75" hidden="false" customHeight="false" outlineLevel="0" collapsed="false">
      <c r="A450" s="11" t="n">
        <v>1316.336</v>
      </c>
      <c r="B450" s="11" t="str">
        <f aca="false">IF(A450&gt;$N$4,"YES","NO")</f>
        <v>NO</v>
      </c>
      <c r="C450" s="9" t="n">
        <v>7</v>
      </c>
      <c r="D450" s="9" t="str">
        <f aca="false">IF(C450&gt;$N$5,"YES","NO")</f>
        <v>NO</v>
      </c>
      <c r="E450" s="9" t="n">
        <v>35</v>
      </c>
      <c r="F450" s="9" t="str">
        <f aca="false">IF(E450&gt;$N$6,"YES","NO")</f>
        <v>NO</v>
      </c>
      <c r="G450" s="13" t="s">
        <v>13</v>
      </c>
    </row>
    <row r="451" customFormat="false" ht="15.75" hidden="false" customHeight="false" outlineLevel="0" collapsed="false">
      <c r="A451" s="11" t="n">
        <v>727.664</v>
      </c>
      <c r="B451" s="11" t="str">
        <f aca="false">IF(A451&gt;$N$4,"YES","NO")</f>
        <v>NO</v>
      </c>
      <c r="C451" s="9" t="n">
        <v>12</v>
      </c>
      <c r="D451" s="9" t="str">
        <f aca="false">IF(C451&gt;$N$5,"YES","NO")</f>
        <v>NO</v>
      </c>
      <c r="E451" s="9" t="n">
        <v>55</v>
      </c>
      <c r="F451" s="9" t="str">
        <f aca="false">IF(E451&gt;$N$6,"YES","NO")</f>
        <v>NO</v>
      </c>
      <c r="G451" s="13" t="s">
        <v>13</v>
      </c>
    </row>
    <row r="452" customFormat="false" ht="15.75" hidden="false" customHeight="false" outlineLevel="0" collapsed="false">
      <c r="A452" s="11" t="n">
        <v>772.632</v>
      </c>
      <c r="B452" s="11" t="str">
        <f aca="false">IF(A452&gt;$N$4,"YES","NO")</f>
        <v>NO</v>
      </c>
      <c r="C452" s="9" t="n">
        <v>15</v>
      </c>
      <c r="D452" s="9" t="str">
        <f aca="false">IF(C452&gt;$N$5,"YES","NO")</f>
        <v>NO</v>
      </c>
      <c r="E452" s="9" t="n">
        <v>61</v>
      </c>
      <c r="F452" s="9" t="str">
        <f aca="false">IF(E452&gt;$N$6,"YES","NO")</f>
        <v>NO</v>
      </c>
      <c r="G452" s="13" t="s">
        <v>16</v>
      </c>
    </row>
    <row r="453" customFormat="false" ht="15.75" hidden="false" customHeight="false" outlineLevel="0" collapsed="false">
      <c r="A453" s="11" t="n">
        <v>5648.594</v>
      </c>
      <c r="B453" s="11" t="str">
        <f aca="false">IF(A453&gt;$N$4,"YES","NO")</f>
        <v>YES</v>
      </c>
      <c r="C453" s="9" t="n">
        <v>36</v>
      </c>
      <c r="D453" s="9" t="str">
        <f aca="false">IF(C453&gt;$N$5,"YES","NO")</f>
        <v>NO</v>
      </c>
      <c r="E453" s="9" t="n">
        <v>30</v>
      </c>
      <c r="F453" s="9" t="str">
        <f aca="false">IF(E453&gt;$N$6,"YES","NO")</f>
        <v>NO</v>
      </c>
      <c r="G453" s="13" t="s">
        <v>13</v>
      </c>
    </row>
    <row r="454" customFormat="false" ht="15.75" hidden="false" customHeight="false" outlineLevel="0" collapsed="false">
      <c r="A454" s="11" t="n">
        <v>264.698</v>
      </c>
      <c r="B454" s="11" t="str">
        <f aca="false">IF(A454&gt;$N$4,"YES","NO")</f>
        <v>NO</v>
      </c>
      <c r="C454" s="9" t="n">
        <v>6</v>
      </c>
      <c r="D454" s="9" t="str">
        <f aca="false">IF(C454&gt;$N$5,"YES","NO")</f>
        <v>NO</v>
      </c>
      <c r="E454" s="9" t="n">
        <v>29</v>
      </c>
      <c r="F454" s="9" t="str">
        <f aca="false">IF(E454&gt;$N$6,"YES","NO")</f>
        <v>NO</v>
      </c>
      <c r="G454" s="13" t="s">
        <v>13</v>
      </c>
    </row>
    <row r="455" customFormat="false" ht="15.75" hidden="false" customHeight="false" outlineLevel="0" collapsed="false">
      <c r="A455" s="11" t="n">
        <v>1409.849</v>
      </c>
      <c r="B455" s="11" t="str">
        <f aca="false">IF(A455&gt;$N$4,"YES","NO")</f>
        <v>NO</v>
      </c>
      <c r="C455" s="9" t="n">
        <v>12</v>
      </c>
      <c r="D455" s="9" t="str">
        <f aca="false">IF(C455&gt;$N$5,"YES","NO")</f>
        <v>NO</v>
      </c>
      <c r="E455" s="9" t="n">
        <v>34</v>
      </c>
      <c r="F455" s="9" t="str">
        <f aca="false">IF(E455&gt;$N$6,"YES","NO")</f>
        <v>NO</v>
      </c>
      <c r="G455" s="13" t="s">
        <v>13</v>
      </c>
    </row>
    <row r="456" customFormat="false" ht="15.75" hidden="false" customHeight="false" outlineLevel="0" collapsed="false">
      <c r="A456" s="11" t="n">
        <v>1364.37</v>
      </c>
      <c r="B456" s="11" t="str">
        <f aca="false">IF(A456&gt;$N$4,"YES","NO")</f>
        <v>NO</v>
      </c>
      <c r="C456" s="9" t="n">
        <v>24</v>
      </c>
      <c r="D456" s="9" t="str">
        <f aca="false">IF(C456&gt;$N$5,"YES","NO")</f>
        <v>NO</v>
      </c>
      <c r="E456" s="9" t="n">
        <v>35</v>
      </c>
      <c r="F456" s="9" t="str">
        <f aca="false">IF(E456&gt;$N$6,"YES","NO")</f>
        <v>NO</v>
      </c>
      <c r="G456" s="13" t="s">
        <v>13</v>
      </c>
    </row>
    <row r="457" customFormat="false" ht="15.75" hidden="false" customHeight="false" outlineLevel="0" collapsed="false">
      <c r="A457" s="11" t="n">
        <v>2461.487</v>
      </c>
      <c r="B457" s="11" t="str">
        <f aca="false">IF(A457&gt;$N$4,"YES","NO")</f>
        <v>NO</v>
      </c>
      <c r="C457" s="9" t="n">
        <v>24</v>
      </c>
      <c r="D457" s="9" t="str">
        <f aca="false">IF(C457&gt;$N$5,"YES","NO")</f>
        <v>NO</v>
      </c>
      <c r="E457" s="9" t="n">
        <v>31</v>
      </c>
      <c r="F457" s="9" t="str">
        <f aca="false">IF(E457&gt;$N$6,"YES","NO")</f>
        <v>NO</v>
      </c>
      <c r="G457" s="13" t="s">
        <v>16</v>
      </c>
    </row>
    <row r="458" customFormat="false" ht="15.75" hidden="false" customHeight="false" outlineLevel="0" collapsed="false">
      <c r="A458" s="11" t="n">
        <v>1368.969</v>
      </c>
      <c r="B458" s="11" t="str">
        <f aca="false">IF(A458&gt;$N$4,"YES","NO")</f>
        <v>NO</v>
      </c>
      <c r="C458" s="9" t="n">
        <v>24</v>
      </c>
      <c r="D458" s="9" t="str">
        <f aca="false">IF(C458&gt;$N$5,"YES","NO")</f>
        <v>NO</v>
      </c>
      <c r="E458" s="9" t="n">
        <v>29</v>
      </c>
      <c r="F458" s="9" t="str">
        <f aca="false">IF(E458&gt;$N$6,"YES","NO")</f>
        <v>NO</v>
      </c>
      <c r="G458" s="13" t="s">
        <v>13</v>
      </c>
    </row>
    <row r="459" customFormat="false" ht="15.75" hidden="false" customHeight="false" outlineLevel="0" collapsed="false">
      <c r="A459" s="11" t="n">
        <v>1995.455</v>
      </c>
      <c r="B459" s="11" t="str">
        <f aca="false">IF(A459&gt;$N$4,"YES","NO")</f>
        <v>NO</v>
      </c>
      <c r="C459" s="9" t="n">
        <v>11</v>
      </c>
      <c r="D459" s="9" t="str">
        <f aca="false">IF(C459&gt;$N$5,"YES","NO")</f>
        <v>NO</v>
      </c>
      <c r="E459" s="9" t="n">
        <v>36</v>
      </c>
      <c r="F459" s="9" t="str">
        <f aca="false">IF(E459&gt;$N$6,"YES","NO")</f>
        <v>NO</v>
      </c>
      <c r="G459" s="13" t="s">
        <v>13</v>
      </c>
    </row>
    <row r="460" customFormat="false" ht="15.75" hidden="false" customHeight="false" outlineLevel="0" collapsed="false">
      <c r="A460" s="11" t="n">
        <v>1730.246</v>
      </c>
      <c r="B460" s="11" t="str">
        <f aca="false">IF(A460&gt;$N$4,"YES","NO")</f>
        <v>NO</v>
      </c>
      <c r="C460" s="9" t="n">
        <v>12</v>
      </c>
      <c r="D460" s="9" t="str">
        <f aca="false">IF(C460&gt;$N$5,"YES","NO")</f>
        <v>NO</v>
      </c>
      <c r="E460" s="9" t="n">
        <v>35</v>
      </c>
      <c r="F460" s="9" t="str">
        <f aca="false">IF(E460&gt;$N$6,"YES","NO")</f>
        <v>NO</v>
      </c>
      <c r="G460" s="13" t="s">
        <v>16</v>
      </c>
    </row>
    <row r="461" customFormat="false" ht="15.75" hidden="false" customHeight="false" outlineLevel="0" collapsed="false">
      <c r="A461" s="11" t="n">
        <v>175.273</v>
      </c>
      <c r="B461" s="11" t="str">
        <f aca="false">IF(A461&gt;$N$4,"YES","NO")</f>
        <v>NO</v>
      </c>
      <c r="C461" s="9" t="n">
        <v>6</v>
      </c>
      <c r="D461" s="9" t="str">
        <f aca="false">IF(C461&gt;$N$5,"YES","NO")</f>
        <v>NO</v>
      </c>
      <c r="E461" s="9" t="n">
        <v>27</v>
      </c>
      <c r="F461" s="9" t="str">
        <f aca="false">IF(E461&gt;$N$6,"YES","NO")</f>
        <v>NO</v>
      </c>
      <c r="G461" s="13" t="s">
        <v>13</v>
      </c>
    </row>
    <row r="462" customFormat="false" ht="15.75" hidden="false" customHeight="false" outlineLevel="0" collapsed="false">
      <c r="A462" s="11" t="n">
        <v>2347.534</v>
      </c>
      <c r="B462" s="11" t="str">
        <f aca="false">IF(A462&gt;$N$4,"YES","NO")</f>
        <v>NO</v>
      </c>
      <c r="C462" s="9" t="n">
        <v>18</v>
      </c>
      <c r="D462" s="9" t="str">
        <f aca="false">IF(C462&gt;$N$5,"YES","NO")</f>
        <v>NO</v>
      </c>
      <c r="E462" s="9" t="n">
        <v>32</v>
      </c>
      <c r="F462" s="9" t="str">
        <f aca="false">IF(E462&gt;$N$6,"YES","NO")</f>
        <v>NO</v>
      </c>
      <c r="G462" s="13" t="s">
        <v>13</v>
      </c>
    </row>
    <row r="463" customFormat="false" ht="15.75" hidden="false" customHeight="false" outlineLevel="0" collapsed="false">
      <c r="A463" s="11" t="n">
        <v>1849.82</v>
      </c>
      <c r="B463" s="11" t="str">
        <f aca="false">IF(A463&gt;$N$4,"YES","NO")</f>
        <v>NO</v>
      </c>
      <c r="C463" s="9" t="n">
        <v>36</v>
      </c>
      <c r="D463" s="9" t="str">
        <f aca="false">IF(C463&gt;$N$5,"YES","NO")</f>
        <v>NO</v>
      </c>
      <c r="E463" s="9" t="n">
        <v>37</v>
      </c>
      <c r="F463" s="9" t="str">
        <f aca="false">IF(E463&gt;$N$6,"YES","NO")</f>
        <v>NO</v>
      </c>
      <c r="G463" s="13" t="s">
        <v>13</v>
      </c>
    </row>
    <row r="464" customFormat="false" ht="15.75" hidden="false" customHeight="false" outlineLevel="0" collapsed="false">
      <c r="A464" s="11" t="n">
        <v>879.431</v>
      </c>
      <c r="B464" s="11" t="str">
        <f aca="false">IF(A464&gt;$N$4,"YES","NO")</f>
        <v>NO</v>
      </c>
      <c r="C464" s="9" t="n">
        <v>15</v>
      </c>
      <c r="D464" s="9" t="str">
        <f aca="false">IF(C464&gt;$N$5,"YES","NO")</f>
        <v>NO</v>
      </c>
      <c r="E464" s="9" t="n">
        <v>36</v>
      </c>
      <c r="F464" s="9" t="str">
        <f aca="false">IF(E464&gt;$N$6,"YES","NO")</f>
        <v>NO</v>
      </c>
      <c r="G464" s="13" t="s">
        <v>13</v>
      </c>
    </row>
    <row r="465" customFormat="false" ht="15.75" hidden="false" customHeight="false" outlineLevel="0" collapsed="false">
      <c r="A465" s="11" t="n">
        <v>1541.687</v>
      </c>
      <c r="B465" s="11" t="str">
        <f aca="false">IF(A465&gt;$N$4,"YES","NO")</f>
        <v>NO</v>
      </c>
      <c r="C465" s="9" t="n">
        <v>12</v>
      </c>
      <c r="D465" s="9" t="str">
        <f aca="false">IF(C465&gt;$N$5,"YES","NO")</f>
        <v>NO</v>
      </c>
      <c r="E465" s="9" t="n">
        <v>34</v>
      </c>
      <c r="F465" s="9" t="str">
        <f aca="false">IF(E465&gt;$N$6,"YES","NO")</f>
        <v>NO</v>
      </c>
      <c r="G465" s="13" t="s">
        <v>13</v>
      </c>
    </row>
    <row r="466" customFormat="false" ht="15.75" hidden="false" customHeight="false" outlineLevel="0" collapsed="false">
      <c r="A466" s="11" t="n">
        <v>385.294</v>
      </c>
      <c r="B466" s="11" t="str">
        <f aca="false">IF(A466&gt;$N$4,"YES","NO")</f>
        <v>NO</v>
      </c>
      <c r="C466" s="9" t="n">
        <v>12</v>
      </c>
      <c r="D466" s="9" t="str">
        <f aca="false">IF(C466&gt;$N$5,"YES","NO")</f>
        <v>NO</v>
      </c>
      <c r="E466" s="9" t="n">
        <v>38</v>
      </c>
      <c r="F466" s="9" t="str">
        <f aca="false">IF(E466&gt;$N$6,"YES","NO")</f>
        <v>NO</v>
      </c>
      <c r="G466" s="13" t="s">
        <v>13</v>
      </c>
    </row>
    <row r="467" customFormat="false" ht="15.75" hidden="false" customHeight="false" outlineLevel="0" collapsed="false">
      <c r="A467" s="11" t="n">
        <v>996.45</v>
      </c>
      <c r="B467" s="11" t="str">
        <f aca="false">IF(A467&gt;$N$4,"YES","NO")</f>
        <v>NO</v>
      </c>
      <c r="C467" s="9" t="n">
        <v>18</v>
      </c>
      <c r="D467" s="9" t="str">
        <f aca="false">IF(C467&gt;$N$5,"YES","NO")</f>
        <v>NO</v>
      </c>
      <c r="E467" s="9" t="n">
        <v>34</v>
      </c>
      <c r="F467" s="9" t="str">
        <f aca="false">IF(E467&gt;$N$6,"YES","NO")</f>
        <v>NO</v>
      </c>
      <c r="G467" s="13" t="s">
        <v>13</v>
      </c>
    </row>
    <row r="468" customFormat="false" ht="15.75" hidden="false" customHeight="false" outlineLevel="0" collapsed="false">
      <c r="A468" s="11" t="n">
        <v>1494.164</v>
      </c>
      <c r="B468" s="11" t="str">
        <f aca="false">IF(A468&gt;$N$4,"YES","NO")</f>
        <v>NO</v>
      </c>
      <c r="C468" s="9" t="n">
        <v>24</v>
      </c>
      <c r="D468" s="9" t="str">
        <f aca="false">IF(C468&gt;$N$5,"YES","NO")</f>
        <v>NO</v>
      </c>
      <c r="E468" s="9" t="n">
        <v>63</v>
      </c>
      <c r="F468" s="9" t="str">
        <f aca="false">IF(E468&gt;$N$6,"YES","NO")</f>
        <v>NO</v>
      </c>
      <c r="G468" s="13" t="s">
        <v>13</v>
      </c>
    </row>
    <row r="469" customFormat="false" ht="15.75" hidden="false" customHeight="false" outlineLevel="0" collapsed="false">
      <c r="A469" s="11" t="n">
        <v>847.749</v>
      </c>
      <c r="B469" s="11" t="str">
        <f aca="false">IF(A469&gt;$N$4,"YES","NO")</f>
        <v>NO</v>
      </c>
      <c r="C469" s="9" t="n">
        <v>24</v>
      </c>
      <c r="D469" s="9" t="str">
        <f aca="false">IF(C469&gt;$N$5,"YES","NO")</f>
        <v>NO</v>
      </c>
      <c r="E469" s="9" t="n">
        <v>29</v>
      </c>
      <c r="F469" s="9" t="str">
        <f aca="false">IF(E469&gt;$N$6,"YES","NO")</f>
        <v>NO</v>
      </c>
      <c r="G469" s="13" t="s">
        <v>16</v>
      </c>
    </row>
    <row r="470" customFormat="false" ht="15.75" hidden="false" customHeight="false" outlineLevel="0" collapsed="false">
      <c r="A470" s="11" t="n">
        <v>3698.618</v>
      </c>
      <c r="B470" s="11" t="str">
        <f aca="false">IF(A470&gt;$N$4,"YES","NO")</f>
        <v>NO</v>
      </c>
      <c r="C470" s="9" t="n">
        <v>48</v>
      </c>
      <c r="D470" s="9" t="str">
        <f aca="false">IF(C470&gt;$N$5,"YES","NO")</f>
        <v>YES</v>
      </c>
      <c r="E470" s="9" t="n">
        <v>32</v>
      </c>
      <c r="F470" s="9" t="str">
        <f aca="false">IF(E470&gt;$N$6,"YES","NO")</f>
        <v>NO</v>
      </c>
      <c r="G470" s="13" t="s">
        <v>13</v>
      </c>
    </row>
    <row r="471" customFormat="false" ht="15.75" hidden="false" customHeight="false" outlineLevel="0" collapsed="false">
      <c r="A471" s="11" t="n">
        <v>1412.404</v>
      </c>
      <c r="B471" s="11" t="str">
        <f aca="false">IF(A471&gt;$N$4,"YES","NO")</f>
        <v>NO</v>
      </c>
      <c r="C471" s="9" t="n">
        <v>33</v>
      </c>
      <c r="D471" s="9" t="str">
        <f aca="false">IF(C471&gt;$N$5,"YES","NO")</f>
        <v>NO</v>
      </c>
      <c r="E471" s="9" t="n">
        <v>26</v>
      </c>
      <c r="F471" s="9" t="str">
        <f aca="false">IF(E471&gt;$N$6,"YES","NO")</f>
        <v>NO</v>
      </c>
      <c r="G471" s="13" t="s">
        <v>13</v>
      </c>
    </row>
    <row r="472" customFormat="false" ht="15.75" hidden="false" customHeight="false" outlineLevel="0" collapsed="false">
      <c r="A472" s="11" t="n">
        <v>2390.969</v>
      </c>
      <c r="B472" s="11" t="str">
        <f aca="false">IF(A472&gt;$N$4,"YES","NO")</f>
        <v>NO</v>
      </c>
      <c r="C472" s="9" t="n">
        <v>24</v>
      </c>
      <c r="D472" s="9" t="str">
        <f aca="false">IF(C472&gt;$N$5,"YES","NO")</f>
        <v>NO</v>
      </c>
      <c r="E472" s="9" t="n">
        <v>35</v>
      </c>
      <c r="F472" s="9" t="str">
        <f aca="false">IF(E472&gt;$N$6,"YES","NO")</f>
        <v>NO</v>
      </c>
      <c r="G472" s="13" t="s">
        <v>13</v>
      </c>
    </row>
    <row r="473" customFormat="false" ht="15.75" hidden="false" customHeight="false" outlineLevel="0" collapsed="false">
      <c r="A473" s="11" t="n">
        <v>1580.012</v>
      </c>
      <c r="B473" s="11" t="str">
        <f aca="false">IF(A473&gt;$N$4,"YES","NO")</f>
        <v>NO</v>
      </c>
      <c r="C473" s="9" t="n">
        <v>24</v>
      </c>
      <c r="D473" s="9" t="str">
        <f aca="false">IF(C473&gt;$N$5,"YES","NO")</f>
        <v>NO</v>
      </c>
      <c r="E473" s="9" t="n">
        <v>22</v>
      </c>
      <c r="F473" s="9" t="str">
        <f aca="false">IF(E473&gt;$N$6,"YES","NO")</f>
        <v>NO</v>
      </c>
      <c r="G473" s="13" t="s">
        <v>16</v>
      </c>
    </row>
    <row r="474" customFormat="false" ht="15.75" hidden="false" customHeight="false" outlineLevel="0" collapsed="false">
      <c r="A474" s="11" t="n">
        <v>228.928</v>
      </c>
      <c r="B474" s="11" t="str">
        <f aca="false">IF(A474&gt;$N$4,"YES","NO")</f>
        <v>NO</v>
      </c>
      <c r="C474" s="9" t="n">
        <v>6</v>
      </c>
      <c r="D474" s="9" t="str">
        <f aca="false">IF(C474&gt;$N$5,"YES","NO")</f>
        <v>NO</v>
      </c>
      <c r="E474" s="9" t="n">
        <v>23</v>
      </c>
      <c r="F474" s="9" t="str">
        <f aca="false">IF(E474&gt;$N$6,"YES","NO")</f>
        <v>NO</v>
      </c>
      <c r="G474" s="13" t="s">
        <v>16</v>
      </c>
    </row>
    <row r="475" customFormat="false" ht="15.75" hidden="false" customHeight="false" outlineLevel="0" collapsed="false">
      <c r="A475" s="11" t="n">
        <v>334.194</v>
      </c>
      <c r="B475" s="11" t="str">
        <f aca="false">IF(A475&gt;$N$4,"YES","NO")</f>
        <v>NO</v>
      </c>
      <c r="C475" s="9" t="n">
        <v>9</v>
      </c>
      <c r="D475" s="9" t="str">
        <f aca="false">IF(C475&gt;$N$5,"YES","NO")</f>
        <v>NO</v>
      </c>
      <c r="E475" s="9" t="n">
        <v>28</v>
      </c>
      <c r="F475" s="9" t="str">
        <f aca="false">IF(E475&gt;$N$6,"YES","NO")</f>
        <v>NO</v>
      </c>
      <c r="G475" s="13" t="s">
        <v>16</v>
      </c>
    </row>
    <row r="476" customFormat="false" ht="15.75" hidden="false" customHeight="false" outlineLevel="0" collapsed="false">
      <c r="A476" s="11" t="n">
        <v>632.618</v>
      </c>
      <c r="B476" s="11" t="str">
        <f aca="false">IF(A476&gt;$N$4,"YES","NO")</f>
        <v>NO</v>
      </c>
      <c r="C476" s="9" t="n">
        <v>6</v>
      </c>
      <c r="D476" s="9" t="str">
        <f aca="false">IF(C476&gt;$N$5,"YES","NO")</f>
        <v>NO</v>
      </c>
      <c r="E476" s="9" t="n">
        <v>36</v>
      </c>
      <c r="F476" s="9" t="str">
        <f aca="false">IF(E476&gt;$N$6,"YES","NO")</f>
        <v>NO</v>
      </c>
      <c r="G476" s="13" t="s">
        <v>13</v>
      </c>
    </row>
    <row r="477" customFormat="false" ht="15.75" hidden="false" customHeight="false" outlineLevel="0" collapsed="false">
      <c r="A477" s="11" t="n">
        <v>636.195</v>
      </c>
      <c r="B477" s="11" t="str">
        <f aca="false">IF(A477&gt;$N$4,"YES","NO")</f>
        <v>NO</v>
      </c>
      <c r="C477" s="9" t="n">
        <v>18</v>
      </c>
      <c r="D477" s="9" t="str">
        <f aca="false">IF(C477&gt;$N$5,"YES","NO")</f>
        <v>NO</v>
      </c>
      <c r="E477" s="9" t="n">
        <v>33</v>
      </c>
      <c r="F477" s="9" t="str">
        <f aca="false">IF(E477&gt;$N$6,"YES","NO")</f>
        <v>NO</v>
      </c>
      <c r="G477" s="13" t="s">
        <v>16</v>
      </c>
    </row>
    <row r="478" customFormat="false" ht="15.75" hidden="false" customHeight="false" outlineLevel="0" collapsed="false">
      <c r="A478" s="11" t="n">
        <v>1591.254</v>
      </c>
      <c r="B478" s="11" t="str">
        <f aca="false">IF(A478&gt;$N$4,"YES","NO")</f>
        <v>NO</v>
      </c>
      <c r="C478" s="9" t="n">
        <v>18</v>
      </c>
      <c r="D478" s="9" t="str">
        <f aca="false">IF(C478&gt;$N$5,"YES","NO")</f>
        <v>NO</v>
      </c>
      <c r="E478" s="9" t="n">
        <v>26</v>
      </c>
      <c r="F478" s="9" t="str">
        <f aca="false">IF(E478&gt;$N$6,"YES","NO")</f>
        <v>NO</v>
      </c>
      <c r="G478" s="13" t="s">
        <v>16</v>
      </c>
    </row>
    <row r="479" customFormat="false" ht="15.75" hidden="false" customHeight="false" outlineLevel="0" collapsed="false">
      <c r="A479" s="11" t="n">
        <v>1312.759</v>
      </c>
      <c r="B479" s="11" t="str">
        <f aca="false">IF(A479&gt;$N$4,"YES","NO")</f>
        <v>NO</v>
      </c>
      <c r="C479" s="9" t="n">
        <v>39</v>
      </c>
      <c r="D479" s="9" t="str">
        <f aca="false">IF(C479&gt;$N$5,"YES","NO")</f>
        <v>NO</v>
      </c>
      <c r="E479" s="9" t="n">
        <v>24</v>
      </c>
      <c r="F479" s="9" t="str">
        <f aca="false">IF(E479&gt;$N$6,"YES","NO")</f>
        <v>NO</v>
      </c>
      <c r="G479" s="13" t="s">
        <v>13</v>
      </c>
    </row>
    <row r="480" customFormat="false" ht="15.75" hidden="false" customHeight="false" outlineLevel="0" collapsed="false">
      <c r="A480" s="11" t="n">
        <v>2632.672</v>
      </c>
      <c r="B480" s="11" t="str">
        <f aca="false">IF(A480&gt;$N$4,"YES","NO")</f>
        <v>NO</v>
      </c>
      <c r="C480" s="9" t="n">
        <v>24</v>
      </c>
      <c r="D480" s="9" t="str">
        <f aca="false">IF(C480&gt;$N$5,"YES","NO")</f>
        <v>NO</v>
      </c>
      <c r="E480" s="9" t="n">
        <v>25</v>
      </c>
      <c r="F480" s="9" t="str">
        <f aca="false">IF(E480&gt;$N$6,"YES","NO")</f>
        <v>NO</v>
      </c>
      <c r="G480" s="13" t="s">
        <v>13</v>
      </c>
    </row>
    <row r="481" customFormat="false" ht="15.75" hidden="false" customHeight="false" outlineLevel="0" collapsed="false">
      <c r="A481" s="11" t="n">
        <v>529.907</v>
      </c>
      <c r="B481" s="11" t="str">
        <f aca="false">IF(A481&gt;$N$4,"YES","NO")</f>
        <v>NO</v>
      </c>
      <c r="C481" s="9" t="n">
        <v>12</v>
      </c>
      <c r="D481" s="9" t="str">
        <f aca="false">IF(C481&gt;$N$5,"YES","NO")</f>
        <v>NO</v>
      </c>
      <c r="E481" s="9" t="n">
        <v>39</v>
      </c>
      <c r="F481" s="9" t="str">
        <f aca="false">IF(E481&gt;$N$6,"YES","NO")</f>
        <v>NO</v>
      </c>
      <c r="G481" s="13" t="s">
        <v>13</v>
      </c>
    </row>
    <row r="482" customFormat="false" ht="15.75" hidden="false" customHeight="false" outlineLevel="0" collapsed="false">
      <c r="A482" s="11" t="n">
        <v>755.258</v>
      </c>
      <c r="B482" s="11" t="str">
        <f aca="false">IF(A482&gt;$N$4,"YES","NO")</f>
        <v>NO</v>
      </c>
      <c r="C482" s="9" t="n">
        <v>15</v>
      </c>
      <c r="D482" s="9" t="str">
        <f aca="false">IF(C482&gt;$N$5,"YES","NO")</f>
        <v>NO</v>
      </c>
      <c r="E482" s="9" t="n">
        <v>44</v>
      </c>
      <c r="F482" s="9" t="str">
        <f aca="false">IF(E482&gt;$N$6,"YES","NO")</f>
        <v>NO</v>
      </c>
      <c r="G482" s="13" t="s">
        <v>13</v>
      </c>
    </row>
    <row r="483" customFormat="false" ht="15.75" hidden="false" customHeight="false" outlineLevel="0" collapsed="false">
      <c r="A483" s="11" t="n">
        <v>1825.803</v>
      </c>
      <c r="B483" s="11" t="str">
        <f aca="false">IF(A483&gt;$N$4,"YES","NO")</f>
        <v>NO</v>
      </c>
      <c r="C483" s="9" t="n">
        <v>12</v>
      </c>
      <c r="D483" s="9" t="str">
        <f aca="false">IF(C483&gt;$N$5,"YES","NO")</f>
        <v>NO</v>
      </c>
      <c r="E483" s="9" t="n">
        <v>23</v>
      </c>
      <c r="F483" s="9" t="str">
        <f aca="false">IF(E483&gt;$N$6,"YES","NO")</f>
        <v>NO</v>
      </c>
      <c r="G483" s="13" t="s">
        <v>13</v>
      </c>
    </row>
    <row r="484" customFormat="false" ht="15.75" hidden="false" customHeight="false" outlineLevel="0" collapsed="false">
      <c r="A484" s="11" t="n">
        <v>613.711</v>
      </c>
      <c r="B484" s="11" t="str">
        <f aca="false">IF(A484&gt;$N$4,"YES","NO")</f>
        <v>NO</v>
      </c>
      <c r="C484" s="9" t="n">
        <v>24</v>
      </c>
      <c r="D484" s="9" t="str">
        <f aca="false">IF(C484&gt;$N$5,"YES","NO")</f>
        <v>NO</v>
      </c>
      <c r="E484" s="9" t="n">
        <v>26</v>
      </c>
      <c r="F484" s="9" t="str">
        <f aca="false">IF(E484&gt;$N$6,"YES","NO")</f>
        <v>NO</v>
      </c>
      <c r="G484" s="13" t="s">
        <v>13</v>
      </c>
    </row>
    <row r="485" customFormat="false" ht="15.75" hidden="false" customHeight="false" outlineLevel="0" collapsed="false">
      <c r="A485" s="11" t="n">
        <v>1850.842</v>
      </c>
      <c r="B485" s="11" t="str">
        <f aca="false">IF(A485&gt;$N$4,"YES","NO")</f>
        <v>NO</v>
      </c>
      <c r="C485" s="9" t="n">
        <v>30</v>
      </c>
      <c r="D485" s="9" t="str">
        <f aca="false">IF(C485&gt;$N$5,"YES","NO")</f>
        <v>NO</v>
      </c>
      <c r="E485" s="9" t="n">
        <v>57</v>
      </c>
      <c r="F485" s="9" t="str">
        <f aca="false">IF(E485&gt;$N$6,"YES","NO")</f>
        <v>NO</v>
      </c>
      <c r="G485" s="13" t="s">
        <v>13</v>
      </c>
    </row>
    <row r="486" customFormat="false" ht="15.75" hidden="false" customHeight="false" outlineLevel="0" collapsed="false">
      <c r="A486" s="11" t="n">
        <v>490.56</v>
      </c>
      <c r="B486" s="11" t="str">
        <f aca="false">IF(A486&gt;$N$4,"YES","NO")</f>
        <v>NO</v>
      </c>
      <c r="C486" s="9" t="n">
        <v>15</v>
      </c>
      <c r="D486" s="9" t="str">
        <f aca="false">IF(C486&gt;$N$5,"YES","NO")</f>
        <v>NO</v>
      </c>
      <c r="E486" s="9" t="n">
        <v>30</v>
      </c>
      <c r="F486" s="9" t="str">
        <f aca="false">IF(E486&gt;$N$6,"YES","NO")</f>
        <v>NO</v>
      </c>
      <c r="G486" s="13" t="s">
        <v>13</v>
      </c>
    </row>
    <row r="487" customFormat="false" ht="15.75" hidden="false" customHeight="false" outlineLevel="0" collapsed="false">
      <c r="A487" s="11" t="n">
        <v>594.293</v>
      </c>
      <c r="B487" s="11" t="str">
        <f aca="false">IF(A487&gt;$N$4,"YES","NO")</f>
        <v>NO</v>
      </c>
      <c r="C487" s="9" t="n">
        <v>12</v>
      </c>
      <c r="D487" s="9" t="str">
        <f aca="false">IF(C487&gt;$N$5,"YES","NO")</f>
        <v>NO</v>
      </c>
      <c r="E487" s="9" t="n">
        <v>44</v>
      </c>
      <c r="F487" s="9" t="str">
        <f aca="false">IF(E487&gt;$N$6,"YES","NO")</f>
        <v>NO</v>
      </c>
      <c r="G487" s="13" t="s">
        <v>13</v>
      </c>
    </row>
    <row r="488" customFormat="false" ht="15.75" hidden="false" customHeight="false" outlineLevel="0" collapsed="false">
      <c r="A488" s="11" t="n">
        <v>617.799</v>
      </c>
      <c r="B488" s="11" t="str">
        <f aca="false">IF(A488&gt;$N$4,"YES","NO")</f>
        <v>NO</v>
      </c>
      <c r="C488" s="9" t="n">
        <v>6</v>
      </c>
      <c r="D488" s="9" t="str">
        <f aca="false">IF(C488&gt;$N$5,"YES","NO")</f>
        <v>NO</v>
      </c>
      <c r="E488" s="9" t="n">
        <v>47</v>
      </c>
      <c r="F488" s="9" t="str">
        <f aca="false">IF(E488&gt;$N$6,"YES","NO")</f>
        <v>NO</v>
      </c>
      <c r="G488" s="13" t="s">
        <v>16</v>
      </c>
    </row>
    <row r="489" customFormat="false" ht="15.75" hidden="false" customHeight="false" outlineLevel="0" collapsed="false">
      <c r="A489" s="11" t="n">
        <v>1572.347</v>
      </c>
      <c r="B489" s="11" t="str">
        <f aca="false">IF(A489&gt;$N$4,"YES","NO")</f>
        <v>NO</v>
      </c>
      <c r="C489" s="9" t="n">
        <v>12</v>
      </c>
      <c r="D489" s="9" t="str">
        <f aca="false">IF(C489&gt;$N$5,"YES","NO")</f>
        <v>NO</v>
      </c>
      <c r="E489" s="9" t="n">
        <v>52</v>
      </c>
      <c r="F489" s="9" t="str">
        <f aca="false">IF(E489&gt;$N$6,"YES","NO")</f>
        <v>NO</v>
      </c>
      <c r="G489" s="13" t="s">
        <v>13</v>
      </c>
    </row>
    <row r="490" customFormat="false" ht="15.75" hidden="false" customHeight="false" outlineLevel="0" collapsed="false">
      <c r="A490" s="11" t="n">
        <v>1919.827</v>
      </c>
      <c r="B490" s="11" t="str">
        <f aca="false">IF(A490&gt;$N$4,"YES","NO")</f>
        <v>NO</v>
      </c>
      <c r="C490" s="9" t="n">
        <v>24</v>
      </c>
      <c r="D490" s="9" t="str">
        <f aca="false">IF(C490&gt;$N$5,"YES","NO")</f>
        <v>NO</v>
      </c>
      <c r="E490" s="9" t="n">
        <v>62</v>
      </c>
      <c r="F490" s="9" t="str">
        <f aca="false">IF(E490&gt;$N$6,"YES","NO")</f>
        <v>NO</v>
      </c>
      <c r="G490" s="13" t="s">
        <v>13</v>
      </c>
    </row>
    <row r="491" customFormat="false" ht="15.75" hidden="false" customHeight="false" outlineLevel="0" collapsed="false">
      <c r="A491" s="11" t="n">
        <v>724.598</v>
      </c>
      <c r="B491" s="11" t="str">
        <f aca="false">IF(A491&gt;$N$4,"YES","NO")</f>
        <v>NO</v>
      </c>
      <c r="C491" s="9" t="n">
        <v>10</v>
      </c>
      <c r="D491" s="9" t="str">
        <f aca="false">IF(C491&gt;$N$5,"YES","NO")</f>
        <v>NO</v>
      </c>
      <c r="E491" s="9" t="n">
        <v>35</v>
      </c>
      <c r="F491" s="9" t="str">
        <f aca="false">IF(E491&gt;$N$6,"YES","NO")</f>
        <v>NO</v>
      </c>
      <c r="G491" s="13" t="s">
        <v>13</v>
      </c>
    </row>
    <row r="492" customFormat="false" ht="15.75" hidden="false" customHeight="false" outlineLevel="0" collapsed="false">
      <c r="A492" s="11" t="n">
        <v>1797.698</v>
      </c>
      <c r="B492" s="11" t="str">
        <f aca="false">IF(A492&gt;$N$4,"YES","NO")</f>
        <v>NO</v>
      </c>
      <c r="C492" s="9" t="n">
        <v>6</v>
      </c>
      <c r="D492" s="9" t="str">
        <f aca="false">IF(C492&gt;$N$5,"YES","NO")</f>
        <v>NO</v>
      </c>
      <c r="E492" s="9" t="n">
        <v>26</v>
      </c>
      <c r="F492" s="9" t="str">
        <f aca="false">IF(E492&gt;$N$6,"YES","NO")</f>
        <v>NO</v>
      </c>
      <c r="G492" s="13" t="s">
        <v>13</v>
      </c>
    </row>
    <row r="493" customFormat="false" ht="15.75" hidden="false" customHeight="false" outlineLevel="0" collapsed="false">
      <c r="A493" s="11" t="n">
        <v>988.274</v>
      </c>
      <c r="B493" s="11" t="str">
        <f aca="false">IF(A493&gt;$N$4,"YES","NO")</f>
        <v>NO</v>
      </c>
      <c r="C493" s="9" t="n">
        <v>12</v>
      </c>
      <c r="D493" s="9" t="str">
        <f aca="false">IF(C493&gt;$N$5,"YES","NO")</f>
        <v>NO</v>
      </c>
      <c r="E493" s="9" t="n">
        <v>26</v>
      </c>
      <c r="F493" s="9" t="str">
        <f aca="false">IF(E493&gt;$N$6,"YES","NO")</f>
        <v>NO</v>
      </c>
      <c r="G493" s="13" t="s">
        <v>13</v>
      </c>
    </row>
    <row r="494" customFormat="false" ht="15.75" hidden="false" customHeight="false" outlineLevel="0" collapsed="false">
      <c r="A494" s="11" t="n">
        <v>4250.498</v>
      </c>
      <c r="B494" s="11" t="str">
        <f aca="false">IF(A494&gt;$N$4,"YES","NO")</f>
        <v>YES</v>
      </c>
      <c r="C494" s="9" t="n">
        <v>27</v>
      </c>
      <c r="D494" s="9" t="str">
        <f aca="false">IF(C494&gt;$N$5,"YES","NO")</f>
        <v>NO</v>
      </c>
      <c r="E494" s="9" t="n">
        <v>42</v>
      </c>
      <c r="F494" s="9" t="str">
        <f aca="false">IF(E494&gt;$N$6,"YES","NO")</f>
        <v>NO</v>
      </c>
      <c r="G494" s="13" t="s">
        <v>16</v>
      </c>
    </row>
    <row r="495" customFormat="false" ht="15.75" hidden="false" customHeight="false" outlineLevel="0" collapsed="false">
      <c r="A495" s="11" t="n">
        <v>632.107</v>
      </c>
      <c r="B495" s="11" t="str">
        <f aca="false">IF(A495&gt;$N$4,"YES","NO")</f>
        <v>NO</v>
      </c>
      <c r="C495" s="9" t="n">
        <v>6</v>
      </c>
      <c r="D495" s="9" t="str">
        <f aca="false">IF(C495&gt;$N$5,"YES","NO")</f>
        <v>NO</v>
      </c>
      <c r="E495" s="9" t="n">
        <v>27</v>
      </c>
      <c r="F495" s="9" t="str">
        <f aca="false">IF(E495&gt;$N$6,"YES","NO")</f>
        <v>NO</v>
      </c>
      <c r="G495" s="13" t="s">
        <v>13</v>
      </c>
    </row>
    <row r="496" customFormat="false" ht="15.75" hidden="false" customHeight="false" outlineLevel="0" collapsed="false">
      <c r="A496" s="11" t="n">
        <v>188.048</v>
      </c>
      <c r="B496" s="11" t="str">
        <f aca="false">IF(A496&gt;$N$4,"YES","NO")</f>
        <v>NO</v>
      </c>
      <c r="C496" s="9" t="n">
        <v>6</v>
      </c>
      <c r="D496" s="9" t="str">
        <f aca="false">IF(C496&gt;$N$5,"YES","NO")</f>
        <v>NO</v>
      </c>
      <c r="E496" s="9" t="n">
        <v>38</v>
      </c>
      <c r="F496" s="9" t="str">
        <f aca="false">IF(E496&gt;$N$6,"YES","NO")</f>
        <v>NO</v>
      </c>
      <c r="G496" s="13" t="s">
        <v>13</v>
      </c>
    </row>
    <row r="497" customFormat="false" ht="15.75" hidden="false" customHeight="false" outlineLevel="0" collapsed="false">
      <c r="A497" s="11" t="n">
        <v>1084.342</v>
      </c>
      <c r="B497" s="11" t="str">
        <f aca="false">IF(A497&gt;$N$4,"YES","NO")</f>
        <v>NO</v>
      </c>
      <c r="C497" s="9" t="n">
        <v>12</v>
      </c>
      <c r="D497" s="9" t="str">
        <f aca="false">IF(C497&gt;$N$5,"YES","NO")</f>
        <v>NO</v>
      </c>
      <c r="E497" s="9" t="n">
        <v>39</v>
      </c>
      <c r="F497" s="9" t="str">
        <f aca="false">IF(E497&gt;$N$6,"YES","NO")</f>
        <v>NO</v>
      </c>
      <c r="G497" s="13" t="s">
        <v>13</v>
      </c>
    </row>
    <row r="498" customFormat="false" ht="15.75" hidden="false" customHeight="false" outlineLevel="0" collapsed="false">
      <c r="A498" s="11" t="n">
        <v>1530.956</v>
      </c>
      <c r="B498" s="11" t="str">
        <f aca="false">IF(A498&gt;$N$4,"YES","NO")</f>
        <v>NO</v>
      </c>
      <c r="C498" s="9" t="n">
        <v>24</v>
      </c>
      <c r="D498" s="9" t="str">
        <f aca="false">IF(C498&gt;$N$5,"YES","NO")</f>
        <v>NO</v>
      </c>
      <c r="E498" s="9" t="n">
        <v>20</v>
      </c>
      <c r="F498" s="9" t="str">
        <f aca="false">IF(E498&gt;$N$6,"YES","NO")</f>
        <v>NO</v>
      </c>
      <c r="G498" s="13" t="s">
        <v>16</v>
      </c>
    </row>
    <row r="499" customFormat="false" ht="15.75" hidden="false" customHeight="false" outlineLevel="0" collapsed="false">
      <c r="A499" s="11" t="n">
        <v>4616.374</v>
      </c>
      <c r="B499" s="11" t="str">
        <f aca="false">IF(A499&gt;$N$4,"YES","NO")</f>
        <v>YES</v>
      </c>
      <c r="C499" s="9" t="n">
        <v>36</v>
      </c>
      <c r="D499" s="9" t="str">
        <f aca="false">IF(C499&gt;$N$5,"YES","NO")</f>
        <v>NO</v>
      </c>
      <c r="E499" s="9" t="n">
        <v>29</v>
      </c>
      <c r="F499" s="9" t="str">
        <f aca="false">IF(E499&gt;$N$6,"YES","NO")</f>
        <v>NO</v>
      </c>
      <c r="G499" s="13" t="s">
        <v>16</v>
      </c>
    </row>
    <row r="500" customFormat="false" ht="15.75" hidden="false" customHeight="false" outlineLevel="0" collapsed="false">
      <c r="A500" s="11" t="n">
        <v>809.935</v>
      </c>
      <c r="B500" s="11" t="str">
        <f aca="false">IF(A500&gt;$N$4,"YES","NO")</f>
        <v>NO</v>
      </c>
      <c r="C500" s="9" t="n">
        <v>24</v>
      </c>
      <c r="D500" s="9" t="str">
        <f aca="false">IF(C500&gt;$N$5,"YES","NO")</f>
        <v>NO</v>
      </c>
      <c r="E500" s="9" t="n">
        <v>40</v>
      </c>
      <c r="F500" s="9" t="str">
        <f aca="false">IF(E500&gt;$N$6,"YES","NO")</f>
        <v>NO</v>
      </c>
      <c r="G500" s="13" t="s">
        <v>13</v>
      </c>
    </row>
    <row r="501" customFormat="false" ht="15.75" hidden="false" customHeight="false" outlineLevel="0" collapsed="false">
      <c r="A501" s="11" t="n">
        <v>664.811</v>
      </c>
      <c r="B501" s="11" t="str">
        <f aca="false">IF(A501&gt;$N$4,"YES","NO")</f>
        <v>NO</v>
      </c>
      <c r="C501" s="9" t="n">
        <v>18</v>
      </c>
      <c r="D501" s="9" t="str">
        <f aca="false">IF(C501&gt;$N$5,"YES","NO")</f>
        <v>NO</v>
      </c>
      <c r="E501" s="9" t="n">
        <v>32</v>
      </c>
      <c r="F501" s="9" t="str">
        <f aca="false">IF(E501&gt;$N$6,"YES","NO")</f>
        <v>NO</v>
      </c>
      <c r="G501" s="13" t="s">
        <v>13</v>
      </c>
    </row>
    <row r="502" customFormat="false" ht="15.75" hidden="false" customHeight="false" outlineLevel="0" collapsed="false">
      <c r="A502" s="11" t="n">
        <v>676.053</v>
      </c>
      <c r="B502" s="11" t="str">
        <f aca="false">IF(A502&gt;$N$4,"YES","NO")</f>
        <v>NO</v>
      </c>
      <c r="C502" s="9" t="n">
        <v>6</v>
      </c>
      <c r="D502" s="9" t="str">
        <f aca="false">IF(C502&gt;$N$5,"YES","NO")</f>
        <v>NO</v>
      </c>
      <c r="E502" s="9" t="n">
        <v>28</v>
      </c>
      <c r="F502" s="9" t="str">
        <f aca="false">IF(E502&gt;$N$6,"YES","NO")</f>
        <v>NO</v>
      </c>
      <c r="G502" s="13" t="s">
        <v>13</v>
      </c>
    </row>
    <row r="503" customFormat="false" ht="15.75" hidden="false" customHeight="false" outlineLevel="0" collapsed="false">
      <c r="A503" s="11" t="n">
        <v>1595.853</v>
      </c>
      <c r="B503" s="11" t="str">
        <f aca="false">IF(A503&gt;$N$4,"YES","NO")</f>
        <v>NO</v>
      </c>
      <c r="C503" s="9" t="n">
        <v>24</v>
      </c>
      <c r="D503" s="9" t="str">
        <f aca="false">IF(C503&gt;$N$5,"YES","NO")</f>
        <v>NO</v>
      </c>
      <c r="E503" s="9" t="n">
        <v>27</v>
      </c>
      <c r="F503" s="9" t="str">
        <f aca="false">IF(E503&gt;$N$6,"YES","NO")</f>
        <v>NO</v>
      </c>
      <c r="G503" s="13" t="s">
        <v>16</v>
      </c>
    </row>
    <row r="504" customFormat="false" ht="15.75" hidden="false" customHeight="false" outlineLevel="0" collapsed="false">
      <c r="A504" s="11" t="n">
        <v>2806.923</v>
      </c>
      <c r="B504" s="11" t="str">
        <f aca="false">IF(A504&gt;$N$4,"YES","NO")</f>
        <v>NO</v>
      </c>
      <c r="C504" s="9" t="n">
        <v>36</v>
      </c>
      <c r="D504" s="9" t="str">
        <f aca="false">IF(C504&gt;$N$5,"YES","NO")</f>
        <v>NO</v>
      </c>
      <c r="E504" s="9" t="n">
        <v>42</v>
      </c>
      <c r="F504" s="9" t="str">
        <f aca="false">IF(E504&gt;$N$6,"YES","NO")</f>
        <v>NO</v>
      </c>
      <c r="G504" s="13" t="s">
        <v>13</v>
      </c>
    </row>
    <row r="505" customFormat="false" ht="15.75" hidden="false" customHeight="false" outlineLevel="0" collapsed="false">
      <c r="A505" s="11" t="n">
        <v>575.386</v>
      </c>
      <c r="B505" s="11" t="str">
        <f aca="false">IF(A505&gt;$N$4,"YES","NO")</f>
        <v>NO</v>
      </c>
      <c r="C505" s="9" t="n">
        <v>9</v>
      </c>
      <c r="D505" s="9" t="str">
        <f aca="false">IF(C505&gt;$N$5,"YES","NO")</f>
        <v>NO</v>
      </c>
      <c r="E505" s="9" t="n">
        <v>49</v>
      </c>
      <c r="F505" s="9" t="str">
        <f aca="false">IF(E505&gt;$N$6,"YES","NO")</f>
        <v>NO</v>
      </c>
      <c r="G505" s="13" t="s">
        <v>13</v>
      </c>
    </row>
    <row r="506" customFormat="false" ht="15.75" hidden="false" customHeight="false" outlineLevel="0" collapsed="false">
      <c r="A506" s="11" t="n">
        <v>621.376</v>
      </c>
      <c r="B506" s="11" t="str">
        <f aca="false">IF(A506&gt;$N$4,"YES","NO")</f>
        <v>NO</v>
      </c>
      <c r="C506" s="9" t="n">
        <v>24</v>
      </c>
      <c r="D506" s="9" t="str">
        <f aca="false">IF(C506&gt;$N$5,"YES","NO")</f>
        <v>NO</v>
      </c>
      <c r="E506" s="9" t="n">
        <v>38</v>
      </c>
      <c r="F506" s="9" t="str">
        <f aca="false">IF(E506&gt;$N$6,"YES","NO")</f>
        <v>NO</v>
      </c>
      <c r="G506" s="13" t="s">
        <v>16</v>
      </c>
    </row>
    <row r="507" customFormat="false" ht="15.75" hidden="false" customHeight="false" outlineLevel="0" collapsed="false">
      <c r="A507" s="11" t="n">
        <v>616.777</v>
      </c>
      <c r="B507" s="11" t="str">
        <f aca="false">IF(A507&gt;$N$4,"YES","NO")</f>
        <v>NO</v>
      </c>
      <c r="C507" s="9" t="n">
        <v>24</v>
      </c>
      <c r="D507" s="9" t="str">
        <f aca="false">IF(C507&gt;$N$5,"YES","NO")</f>
        <v>NO</v>
      </c>
      <c r="E507" s="9" t="n">
        <v>24</v>
      </c>
      <c r="F507" s="9" t="str">
        <f aca="false">IF(E507&gt;$N$6,"YES","NO")</f>
        <v>NO</v>
      </c>
      <c r="G507" s="13" t="s">
        <v>16</v>
      </c>
    </row>
    <row r="508" customFormat="false" ht="15.75" hidden="false" customHeight="false" outlineLevel="0" collapsed="false">
      <c r="A508" s="11" t="n">
        <v>668.899</v>
      </c>
      <c r="B508" s="11" t="str">
        <f aca="false">IF(A508&gt;$N$4,"YES","NO")</f>
        <v>NO</v>
      </c>
      <c r="C508" s="9" t="n">
        <v>10</v>
      </c>
      <c r="D508" s="9" t="str">
        <f aca="false">IF(C508&gt;$N$5,"YES","NO")</f>
        <v>NO</v>
      </c>
      <c r="E508" s="9" t="n">
        <v>27</v>
      </c>
      <c r="F508" s="9" t="str">
        <f aca="false">IF(E508&gt;$N$6,"YES","NO")</f>
        <v>NO</v>
      </c>
      <c r="G508" s="13" t="s">
        <v>16</v>
      </c>
    </row>
    <row r="509" customFormat="false" ht="15.75" hidden="false" customHeight="false" outlineLevel="0" collapsed="false">
      <c r="A509" s="11" t="n">
        <v>1205.96</v>
      </c>
      <c r="B509" s="11" t="str">
        <f aca="false">IF(A509&gt;$N$4,"YES","NO")</f>
        <v>NO</v>
      </c>
      <c r="C509" s="9" t="n">
        <v>15</v>
      </c>
      <c r="D509" s="9" t="str">
        <f aca="false">IF(C509&gt;$N$5,"YES","NO")</f>
        <v>NO</v>
      </c>
      <c r="E509" s="9" t="n">
        <v>36</v>
      </c>
      <c r="F509" s="9" t="str">
        <f aca="false">IF(E509&gt;$N$6,"YES","NO")</f>
        <v>NO</v>
      </c>
      <c r="G509" s="13" t="s">
        <v>13</v>
      </c>
    </row>
    <row r="510" customFormat="false" ht="15.75" hidden="false" customHeight="false" outlineLevel="0" collapsed="false">
      <c r="A510" s="11" t="n">
        <v>3500.35</v>
      </c>
      <c r="B510" s="11" t="str">
        <f aca="false">IF(A510&gt;$N$4,"YES","NO")</f>
        <v>NO</v>
      </c>
      <c r="C510" s="9" t="n">
        <v>15</v>
      </c>
      <c r="D510" s="9" t="str">
        <f aca="false">IF(C510&gt;$N$5,"YES","NO")</f>
        <v>NO</v>
      </c>
      <c r="E510" s="9" t="n">
        <v>34</v>
      </c>
      <c r="F510" s="9" t="str">
        <f aca="false">IF(E510&gt;$N$6,"YES","NO")</f>
        <v>NO</v>
      </c>
      <c r="G510" s="13" t="s">
        <v>16</v>
      </c>
    </row>
    <row r="511" customFormat="false" ht="15.75" hidden="false" customHeight="false" outlineLevel="0" collapsed="false">
      <c r="A511" s="11" t="n">
        <v>722.043</v>
      </c>
      <c r="B511" s="11" t="str">
        <f aca="false">IF(A511&gt;$N$4,"YES","NO")</f>
        <v>NO</v>
      </c>
      <c r="C511" s="9" t="n">
        <v>24</v>
      </c>
      <c r="D511" s="9" t="str">
        <f aca="false">IF(C511&gt;$N$5,"YES","NO")</f>
        <v>NO</v>
      </c>
      <c r="E511" s="9" t="n">
        <v>28</v>
      </c>
      <c r="F511" s="9" t="str">
        <f aca="false">IF(E511&gt;$N$6,"YES","NO")</f>
        <v>NO</v>
      </c>
      <c r="G511" s="13" t="s">
        <v>13</v>
      </c>
    </row>
    <row r="512" customFormat="false" ht="15.75" hidden="false" customHeight="false" outlineLevel="0" collapsed="false">
      <c r="A512" s="11" t="n">
        <v>4388.468</v>
      </c>
      <c r="B512" s="11" t="str">
        <f aca="false">IF(A512&gt;$N$4,"YES","NO")</f>
        <v>YES</v>
      </c>
      <c r="C512" s="9" t="n">
        <v>39</v>
      </c>
      <c r="D512" s="9" t="str">
        <f aca="false">IF(C512&gt;$N$5,"YES","NO")</f>
        <v>NO</v>
      </c>
      <c r="E512" s="9" t="n">
        <v>45</v>
      </c>
      <c r="F512" s="9" t="str">
        <f aca="false">IF(E512&gt;$N$6,"YES","NO")</f>
        <v>NO</v>
      </c>
      <c r="G512" s="13" t="s">
        <v>13</v>
      </c>
    </row>
    <row r="513" customFormat="false" ht="15.75" hidden="false" customHeight="false" outlineLevel="0" collapsed="false">
      <c r="A513" s="11" t="n">
        <v>387.849</v>
      </c>
      <c r="B513" s="11" t="str">
        <f aca="false">IF(A513&gt;$N$4,"YES","NO")</f>
        <v>NO</v>
      </c>
      <c r="C513" s="9" t="n">
        <v>12</v>
      </c>
      <c r="D513" s="9" t="str">
        <f aca="false">IF(C513&gt;$N$5,"YES","NO")</f>
        <v>NO</v>
      </c>
      <c r="E513" s="9" t="n">
        <v>26</v>
      </c>
      <c r="F513" s="9" t="str">
        <f aca="false">IF(E513&gt;$N$6,"YES","NO")</f>
        <v>NO</v>
      </c>
      <c r="G513" s="13" t="s">
        <v>16</v>
      </c>
    </row>
    <row r="514" customFormat="false" ht="15.75" hidden="false" customHeight="false" outlineLevel="0" collapsed="false">
      <c r="A514" s="11" t="n">
        <v>2394.546</v>
      </c>
      <c r="B514" s="11" t="str">
        <f aca="false">IF(A514&gt;$N$4,"YES","NO")</f>
        <v>NO</v>
      </c>
      <c r="C514" s="9" t="n">
        <v>36</v>
      </c>
      <c r="D514" s="9" t="str">
        <f aca="false">IF(C514&gt;$N$5,"YES","NO")</f>
        <v>NO</v>
      </c>
      <c r="E514" s="9" t="n">
        <v>32</v>
      </c>
      <c r="F514" s="9" t="str">
        <f aca="false">IF(E514&gt;$N$6,"YES","NO")</f>
        <v>NO</v>
      </c>
      <c r="G514" s="13" t="s">
        <v>13</v>
      </c>
    </row>
    <row r="515" customFormat="false" ht="15.75" hidden="false" customHeight="false" outlineLevel="0" collapsed="false">
      <c r="A515" s="11" t="n">
        <v>1373.057</v>
      </c>
      <c r="B515" s="11" t="str">
        <f aca="false">IF(A515&gt;$N$4,"YES","NO")</f>
        <v>NO</v>
      </c>
      <c r="C515" s="9" t="n">
        <v>15</v>
      </c>
      <c r="D515" s="9" t="str">
        <f aca="false">IF(C515&gt;$N$5,"YES","NO")</f>
        <v>NO</v>
      </c>
      <c r="E515" s="9" t="n">
        <v>26</v>
      </c>
      <c r="F515" s="9" t="str">
        <f aca="false">IF(E515&gt;$N$6,"YES","NO")</f>
        <v>NO</v>
      </c>
      <c r="G515" s="13" t="s">
        <v>13</v>
      </c>
    </row>
    <row r="516" customFormat="false" ht="15.75" hidden="false" customHeight="false" outlineLevel="0" collapsed="false">
      <c r="A516" s="11" t="n">
        <v>298.935</v>
      </c>
      <c r="B516" s="11" t="str">
        <f aca="false">IF(A516&gt;$N$4,"YES","NO")</f>
        <v>NO</v>
      </c>
      <c r="C516" s="9" t="n">
        <v>12</v>
      </c>
      <c r="D516" s="9" t="str">
        <f aca="false">IF(C516&gt;$N$5,"YES","NO")</f>
        <v>NO</v>
      </c>
      <c r="E516" s="9" t="n">
        <v>20</v>
      </c>
      <c r="F516" s="9" t="str">
        <f aca="false">IF(E516&gt;$N$6,"YES","NO")</f>
        <v>NO</v>
      </c>
      <c r="G516" s="13" t="s">
        <v>13</v>
      </c>
    </row>
    <row r="517" customFormat="false" ht="15.75" hidden="false" customHeight="false" outlineLevel="0" collapsed="false">
      <c r="A517" s="11" t="n">
        <v>1152.305</v>
      </c>
      <c r="B517" s="11" t="str">
        <f aca="false">IF(A517&gt;$N$4,"YES","NO")</f>
        <v>NO</v>
      </c>
      <c r="C517" s="9" t="n">
        <v>24</v>
      </c>
      <c r="D517" s="9" t="str">
        <f aca="false">IF(C517&gt;$N$5,"YES","NO")</f>
        <v>NO</v>
      </c>
      <c r="E517" s="9" t="n">
        <v>54</v>
      </c>
      <c r="F517" s="9" t="str">
        <f aca="false">IF(E517&gt;$N$6,"YES","NO")</f>
        <v>NO</v>
      </c>
      <c r="G517" s="13" t="s">
        <v>13</v>
      </c>
    </row>
    <row r="518" customFormat="false" ht="15.75" hidden="false" customHeight="false" outlineLevel="0" collapsed="false">
      <c r="A518" s="11" t="n">
        <v>311.199</v>
      </c>
      <c r="B518" s="11" t="str">
        <f aca="false">IF(A518&gt;$N$4,"YES","NO")</f>
        <v>NO</v>
      </c>
      <c r="C518" s="9" t="n">
        <v>6</v>
      </c>
      <c r="D518" s="9" t="str">
        <f aca="false">IF(C518&gt;$N$5,"YES","NO")</f>
        <v>NO</v>
      </c>
      <c r="E518" s="9" t="n">
        <v>37</v>
      </c>
      <c r="F518" s="9" t="str">
        <f aca="false">IF(E518&gt;$N$6,"YES","NO")</f>
        <v>NO</v>
      </c>
      <c r="G518" s="13" t="s">
        <v>13</v>
      </c>
    </row>
    <row r="519" customFormat="false" ht="15.75" hidden="false" customHeight="false" outlineLevel="0" collapsed="false">
      <c r="A519" s="11" t="n">
        <v>695.471</v>
      </c>
      <c r="B519" s="11" t="str">
        <f aca="false">IF(A519&gt;$N$4,"YES","NO")</f>
        <v>NO</v>
      </c>
      <c r="C519" s="9" t="n">
        <v>6</v>
      </c>
      <c r="D519" s="9" t="str">
        <f aca="false">IF(C519&gt;$N$5,"YES","NO")</f>
        <v>NO</v>
      </c>
      <c r="E519" s="9" t="n">
        <v>40</v>
      </c>
      <c r="F519" s="9" t="str">
        <f aca="false">IF(E519&gt;$N$6,"YES","NO")</f>
        <v>NO</v>
      </c>
      <c r="G519" s="13" t="s">
        <v>13</v>
      </c>
    </row>
    <row r="520" customFormat="false" ht="15.75" hidden="false" customHeight="false" outlineLevel="0" collapsed="false">
      <c r="A520" s="11" t="n">
        <v>3641.897</v>
      </c>
      <c r="B520" s="11" t="str">
        <f aca="false">IF(A520&gt;$N$4,"YES","NO")</f>
        <v>NO</v>
      </c>
      <c r="C520" s="9" t="n">
        <v>36</v>
      </c>
      <c r="D520" s="9" t="str">
        <f aca="false">IF(C520&gt;$N$5,"YES","NO")</f>
        <v>NO</v>
      </c>
      <c r="E520" s="9" t="n">
        <v>23</v>
      </c>
      <c r="F520" s="9" t="str">
        <f aca="false">IF(E520&gt;$N$6,"YES","NO")</f>
        <v>NO</v>
      </c>
      <c r="G520" s="13" t="s">
        <v>16</v>
      </c>
    </row>
    <row r="521" customFormat="false" ht="15.75" hidden="false" customHeight="false" outlineLevel="0" collapsed="false">
      <c r="A521" s="11" t="n">
        <v>614.733</v>
      </c>
      <c r="B521" s="11" t="str">
        <f aca="false">IF(A521&gt;$N$4,"YES","NO")</f>
        <v>NO</v>
      </c>
      <c r="C521" s="9" t="n">
        <v>6</v>
      </c>
      <c r="D521" s="9" t="str">
        <f aca="false">IF(C521&gt;$N$5,"YES","NO")</f>
        <v>NO</v>
      </c>
      <c r="E521" s="9" t="n">
        <v>43</v>
      </c>
      <c r="F521" s="9" t="str">
        <f aca="false">IF(E521&gt;$N$6,"YES","NO")</f>
        <v>NO</v>
      </c>
      <c r="G521" s="13" t="s">
        <v>13</v>
      </c>
    </row>
    <row r="522" customFormat="false" ht="15.75" hidden="false" customHeight="false" outlineLevel="0" collapsed="false">
      <c r="A522" s="11" t="n">
        <v>357.7</v>
      </c>
      <c r="B522" s="11" t="str">
        <f aca="false">IF(A522&gt;$N$4,"YES","NO")</f>
        <v>NO</v>
      </c>
      <c r="C522" s="9" t="n">
        <v>6</v>
      </c>
      <c r="D522" s="9" t="str">
        <f aca="false">IF(C522&gt;$N$5,"YES","NO")</f>
        <v>NO</v>
      </c>
      <c r="E522" s="9" t="n">
        <v>36</v>
      </c>
      <c r="F522" s="9" t="str">
        <f aca="false">IF(E522&gt;$N$6,"YES","NO")</f>
        <v>NO</v>
      </c>
      <c r="G522" s="13" t="s">
        <v>13</v>
      </c>
    </row>
    <row r="523" customFormat="false" ht="15.75" hidden="false" customHeight="false" outlineLevel="0" collapsed="false">
      <c r="A523" s="11" t="n">
        <v>2814.077</v>
      </c>
      <c r="B523" s="11" t="str">
        <f aca="false">IF(A523&gt;$N$4,"YES","NO")</f>
        <v>NO</v>
      </c>
      <c r="C523" s="9" t="n">
        <v>24</v>
      </c>
      <c r="D523" s="9" t="str">
        <f aca="false">IF(C523&gt;$N$5,"YES","NO")</f>
        <v>NO</v>
      </c>
      <c r="E523" s="9" t="n">
        <v>44</v>
      </c>
      <c r="F523" s="9" t="str">
        <f aca="false">IF(E523&gt;$N$6,"YES","NO")</f>
        <v>NO</v>
      </c>
      <c r="G523" s="13" t="s">
        <v>13</v>
      </c>
    </row>
    <row r="524" customFormat="false" ht="15.75" hidden="false" customHeight="false" outlineLevel="0" collapsed="false">
      <c r="A524" s="11" t="n">
        <v>1630.09</v>
      </c>
      <c r="B524" s="11" t="str">
        <f aca="false">IF(A524&gt;$N$4,"YES","NO")</f>
        <v>NO</v>
      </c>
      <c r="C524" s="9" t="n">
        <v>18</v>
      </c>
      <c r="D524" s="9" t="str">
        <f aca="false">IF(C524&gt;$N$5,"YES","NO")</f>
        <v>NO</v>
      </c>
      <c r="E524" s="9" t="n">
        <v>24</v>
      </c>
      <c r="F524" s="9" t="str">
        <f aca="false">IF(E524&gt;$N$6,"YES","NO")</f>
        <v>NO</v>
      </c>
      <c r="G524" s="13" t="s">
        <v>16</v>
      </c>
    </row>
    <row r="525" customFormat="false" ht="15.75" hidden="false" customHeight="false" outlineLevel="0" collapsed="false">
      <c r="A525" s="11" t="n">
        <v>3637.809</v>
      </c>
      <c r="B525" s="11" t="str">
        <f aca="false">IF(A525&gt;$N$4,"YES","NO")</f>
        <v>NO</v>
      </c>
      <c r="C525" s="9" t="n">
        <v>48</v>
      </c>
      <c r="D525" s="9" t="str">
        <f aca="false">IF(C525&gt;$N$5,"YES","NO")</f>
        <v>YES</v>
      </c>
      <c r="E525" s="9" t="n">
        <v>53</v>
      </c>
      <c r="F525" s="9" t="str">
        <f aca="false">IF(E525&gt;$N$6,"YES","NO")</f>
        <v>NO</v>
      </c>
      <c r="G525" s="13" t="s">
        <v>16</v>
      </c>
    </row>
    <row r="526" customFormat="false" ht="15.75" hidden="false" customHeight="false" outlineLevel="0" collapsed="false">
      <c r="A526" s="11" t="n">
        <v>1782.368</v>
      </c>
      <c r="B526" s="11" t="str">
        <f aca="false">IF(A526&gt;$N$4,"YES","NO")</f>
        <v>NO</v>
      </c>
      <c r="C526" s="9" t="n">
        <v>24</v>
      </c>
      <c r="D526" s="9" t="str">
        <f aca="false">IF(C526&gt;$N$5,"YES","NO")</f>
        <v>NO</v>
      </c>
      <c r="E526" s="9" t="n">
        <v>23</v>
      </c>
      <c r="F526" s="9" t="str">
        <f aca="false">IF(E526&gt;$N$6,"YES","NO")</f>
        <v>NO</v>
      </c>
      <c r="G526" s="13" t="s">
        <v>13</v>
      </c>
    </row>
    <row r="527" customFormat="false" ht="15.75" hidden="false" customHeight="false" outlineLevel="0" collapsed="false">
      <c r="A527" s="11" t="n">
        <v>568.743</v>
      </c>
      <c r="B527" s="11" t="str">
        <f aca="false">IF(A527&gt;$N$4,"YES","NO")</f>
        <v>NO</v>
      </c>
      <c r="C527" s="9" t="n">
        <v>18</v>
      </c>
      <c r="D527" s="9" t="str">
        <f aca="false">IF(C527&gt;$N$5,"YES","NO")</f>
        <v>NO</v>
      </c>
      <c r="E527" s="9" t="n">
        <v>26</v>
      </c>
      <c r="F527" s="9" t="str">
        <f aca="false">IF(E527&gt;$N$6,"YES","NO")</f>
        <v>NO</v>
      </c>
      <c r="G527" s="13" t="s">
        <v>13</v>
      </c>
    </row>
    <row r="528" customFormat="false" ht="15.75" hidden="false" customHeight="false" outlineLevel="0" collapsed="false">
      <c r="A528" s="11" t="n">
        <v>4070.626</v>
      </c>
      <c r="B528" s="11" t="str">
        <f aca="false">IF(A528&gt;$N$4,"YES","NO")</f>
        <v>YES</v>
      </c>
      <c r="C528" s="9" t="n">
        <v>26</v>
      </c>
      <c r="D528" s="9" t="str">
        <f aca="false">IF(C528&gt;$N$5,"YES","NO")</f>
        <v>NO</v>
      </c>
      <c r="E528" s="9" t="n">
        <v>30</v>
      </c>
      <c r="F528" s="9" t="str">
        <f aca="false">IF(E528&gt;$N$6,"YES","NO")</f>
        <v>NO</v>
      </c>
      <c r="G528" s="13" t="s">
        <v>13</v>
      </c>
    </row>
    <row r="529" customFormat="false" ht="15.75" hidden="false" customHeight="false" outlineLevel="0" collapsed="false">
      <c r="A529" s="11" t="n">
        <v>782.852</v>
      </c>
      <c r="B529" s="11" t="str">
        <f aca="false">IF(A529&gt;$N$4,"YES","NO")</f>
        <v>NO</v>
      </c>
      <c r="C529" s="9" t="n">
        <v>15</v>
      </c>
      <c r="D529" s="9" t="str">
        <f aca="false">IF(C529&gt;$N$5,"YES","NO")</f>
        <v>NO</v>
      </c>
      <c r="E529" s="9" t="n">
        <v>31</v>
      </c>
      <c r="F529" s="9" t="str">
        <f aca="false">IF(E529&gt;$N$6,"YES","NO")</f>
        <v>NO</v>
      </c>
      <c r="G529" s="13" t="s">
        <v>13</v>
      </c>
    </row>
    <row r="530" customFormat="false" ht="15.75" hidden="false" customHeight="false" outlineLevel="0" collapsed="false">
      <c r="A530" s="11" t="n">
        <v>768.033</v>
      </c>
      <c r="B530" s="11" t="str">
        <f aca="false">IF(A530&gt;$N$4,"YES","NO")</f>
        <v>NO</v>
      </c>
      <c r="C530" s="9" t="n">
        <v>4</v>
      </c>
      <c r="D530" s="9" t="str">
        <f aca="false">IF(C530&gt;$N$5,"YES","NO")</f>
        <v>NO</v>
      </c>
      <c r="E530" s="9" t="n">
        <v>42</v>
      </c>
      <c r="F530" s="9" t="str">
        <f aca="false">IF(E530&gt;$N$6,"YES","NO")</f>
        <v>NO</v>
      </c>
      <c r="G530" s="13" t="s">
        <v>13</v>
      </c>
    </row>
    <row r="531" customFormat="false" ht="15.75" hidden="false" customHeight="false" outlineLevel="0" collapsed="false">
      <c r="A531" s="11" t="n">
        <v>1176.322</v>
      </c>
      <c r="B531" s="11" t="str">
        <f aca="false">IF(A531&gt;$N$4,"YES","NO")</f>
        <v>NO</v>
      </c>
      <c r="C531" s="9" t="n">
        <v>36</v>
      </c>
      <c r="D531" s="9" t="str">
        <f aca="false">IF(C531&gt;$N$5,"YES","NO")</f>
        <v>NO</v>
      </c>
      <c r="E531" s="9" t="n">
        <v>31</v>
      </c>
      <c r="F531" s="9" t="str">
        <f aca="false">IF(E531&gt;$N$6,"YES","NO")</f>
        <v>NO</v>
      </c>
      <c r="G531" s="13" t="s">
        <v>16</v>
      </c>
    </row>
    <row r="532" customFormat="false" ht="15.75" hidden="false" customHeight="false" outlineLevel="0" collapsed="false">
      <c r="A532" s="11" t="n">
        <v>338.282</v>
      </c>
      <c r="B532" s="11" t="str">
        <f aca="false">IF(A532&gt;$N$4,"YES","NO")</f>
        <v>NO</v>
      </c>
      <c r="C532" s="9" t="n">
        <v>6</v>
      </c>
      <c r="D532" s="9" t="str">
        <f aca="false">IF(C532&gt;$N$5,"YES","NO")</f>
        <v>NO</v>
      </c>
      <c r="E532" s="9" t="n">
        <v>41</v>
      </c>
      <c r="F532" s="9" t="str">
        <f aca="false">IF(E532&gt;$N$6,"YES","NO")</f>
        <v>NO</v>
      </c>
      <c r="G532" s="13" t="s">
        <v>13</v>
      </c>
    </row>
    <row r="533" customFormat="false" ht="15.75" hidden="false" customHeight="false" outlineLevel="0" collapsed="false">
      <c r="A533" s="11" t="n">
        <v>1161.503</v>
      </c>
      <c r="B533" s="11" t="str">
        <f aca="false">IF(A533&gt;$N$4,"YES","NO")</f>
        <v>NO</v>
      </c>
      <c r="C533" s="9" t="n">
        <v>36</v>
      </c>
      <c r="D533" s="9" t="str">
        <f aca="false">IF(C533&gt;$N$5,"YES","NO")</f>
        <v>NO</v>
      </c>
      <c r="E533" s="9" t="n">
        <v>32</v>
      </c>
      <c r="F533" s="9" t="str">
        <f aca="false">IF(E533&gt;$N$6,"YES","NO")</f>
        <v>NO</v>
      </c>
      <c r="G533" s="13" t="s">
        <v>13</v>
      </c>
    </row>
    <row r="534" customFormat="false" ht="15.75" hidden="false" customHeight="false" outlineLevel="0" collapsed="false">
      <c r="A534" s="11" t="n">
        <v>1344.441</v>
      </c>
      <c r="B534" s="11" t="str">
        <f aca="false">IF(A534&gt;$N$4,"YES","NO")</f>
        <v>NO</v>
      </c>
      <c r="C534" s="9" t="n">
        <v>15</v>
      </c>
      <c r="D534" s="9" t="str">
        <f aca="false">IF(C534&gt;$N$5,"YES","NO")</f>
        <v>NO</v>
      </c>
      <c r="E534" s="9" t="n">
        <v>28</v>
      </c>
      <c r="F534" s="9" t="str">
        <f aca="false">IF(E534&gt;$N$6,"YES","NO")</f>
        <v>NO</v>
      </c>
      <c r="G534" s="13" t="s">
        <v>16</v>
      </c>
    </row>
    <row r="535" customFormat="false" ht="15.75" hidden="false" customHeight="false" outlineLevel="0" collapsed="false">
      <c r="A535" s="11" t="n">
        <v>768.033</v>
      </c>
      <c r="B535" s="11" t="str">
        <f aca="false">IF(A535&gt;$N$4,"YES","NO")</f>
        <v>NO</v>
      </c>
      <c r="C535" s="9" t="n">
        <v>12</v>
      </c>
      <c r="D535" s="9" t="str">
        <f aca="false">IF(C535&gt;$N$5,"YES","NO")</f>
        <v>NO</v>
      </c>
      <c r="E535" s="9" t="n">
        <v>41</v>
      </c>
      <c r="F535" s="9" t="str">
        <f aca="false">IF(E535&gt;$N$6,"YES","NO")</f>
        <v>NO</v>
      </c>
      <c r="G535" s="13" t="s">
        <v>13</v>
      </c>
    </row>
    <row r="536" customFormat="false" ht="15.75" hidden="false" customHeight="false" outlineLevel="0" collapsed="false">
      <c r="A536" s="11" t="n">
        <v>669.921</v>
      </c>
      <c r="B536" s="11" t="str">
        <f aca="false">IF(A536&gt;$N$4,"YES","NO")</f>
        <v>NO</v>
      </c>
      <c r="C536" s="9" t="n">
        <v>24</v>
      </c>
      <c r="D536" s="9" t="str">
        <f aca="false">IF(C536&gt;$N$5,"YES","NO")</f>
        <v>NO</v>
      </c>
      <c r="E536" s="9" t="n">
        <v>26</v>
      </c>
      <c r="F536" s="9" t="str">
        <f aca="false">IF(E536&gt;$N$6,"YES","NO")</f>
        <v>NO</v>
      </c>
      <c r="G536" s="13" t="s">
        <v>13</v>
      </c>
    </row>
    <row r="537" customFormat="false" ht="15.75" hidden="false" customHeight="false" outlineLevel="0" collapsed="false">
      <c r="A537" s="11" t="n">
        <v>1586.655</v>
      </c>
      <c r="B537" s="11" t="str">
        <f aca="false">IF(A537&gt;$N$4,"YES","NO")</f>
        <v>NO</v>
      </c>
      <c r="C537" s="9" t="n">
        <v>24</v>
      </c>
      <c r="D537" s="9" t="str">
        <f aca="false">IF(C537&gt;$N$5,"YES","NO")</f>
        <v>NO</v>
      </c>
      <c r="E537" s="9" t="n">
        <v>25</v>
      </c>
      <c r="F537" s="9" t="str">
        <f aca="false">IF(E537&gt;$N$6,"YES","NO")</f>
        <v>NO</v>
      </c>
      <c r="G537" s="13" t="s">
        <v>13</v>
      </c>
    </row>
    <row r="538" customFormat="false" ht="15.75" hidden="false" customHeight="false" outlineLevel="0" collapsed="false">
      <c r="A538" s="11" t="n">
        <v>1185.009</v>
      </c>
      <c r="B538" s="11" t="str">
        <f aca="false">IF(A538&gt;$N$4,"YES","NO")</f>
        <v>NO</v>
      </c>
      <c r="C538" s="9" t="n">
        <v>21</v>
      </c>
      <c r="D538" s="9" t="str">
        <f aca="false">IF(C538&gt;$N$5,"YES","NO")</f>
        <v>NO</v>
      </c>
      <c r="E538" s="9" t="n">
        <v>33</v>
      </c>
      <c r="F538" s="9" t="str">
        <f aca="false">IF(E538&gt;$N$6,"YES","NO")</f>
        <v>NO</v>
      </c>
      <c r="G538" s="13" t="s">
        <v>16</v>
      </c>
    </row>
    <row r="539" customFormat="false" ht="15.75" hidden="false" customHeight="false" outlineLevel="0" collapsed="false">
      <c r="A539" s="11" t="n">
        <v>702.114</v>
      </c>
      <c r="B539" s="11" t="str">
        <f aca="false">IF(A539&gt;$N$4,"YES","NO")</f>
        <v>NO</v>
      </c>
      <c r="C539" s="9" t="n">
        <v>6</v>
      </c>
      <c r="D539" s="9" t="str">
        <f aca="false">IF(C539&gt;$N$5,"YES","NO")</f>
        <v>NO</v>
      </c>
      <c r="E539" s="9" t="n">
        <v>75</v>
      </c>
      <c r="F539" s="9" t="str">
        <f aca="false">IF(E539&gt;$N$6,"YES","NO")</f>
        <v>YES</v>
      </c>
      <c r="G539" s="13" t="s">
        <v>13</v>
      </c>
    </row>
    <row r="540" customFormat="false" ht="15.75" hidden="false" customHeight="false" outlineLevel="0" collapsed="false">
      <c r="A540" s="11" t="n">
        <v>1845.732</v>
      </c>
      <c r="B540" s="11" t="str">
        <f aca="false">IF(A540&gt;$N$4,"YES","NO")</f>
        <v>NO</v>
      </c>
      <c r="C540" s="9" t="n">
        <v>18</v>
      </c>
      <c r="D540" s="9" t="str">
        <f aca="false">IF(C540&gt;$N$5,"YES","NO")</f>
        <v>NO</v>
      </c>
      <c r="E540" s="9" t="n">
        <v>37</v>
      </c>
      <c r="F540" s="9" t="str">
        <f aca="false">IF(E540&gt;$N$6,"YES","NO")</f>
        <v>NO</v>
      </c>
      <c r="G540" s="13" t="s">
        <v>13</v>
      </c>
    </row>
    <row r="541" customFormat="false" ht="15.75" hidden="false" customHeight="false" outlineLevel="0" collapsed="false">
      <c r="A541" s="11" t="n">
        <v>3966.893</v>
      </c>
      <c r="B541" s="11" t="str">
        <f aca="false">IF(A541&gt;$N$4,"YES","NO")</f>
        <v>NO</v>
      </c>
      <c r="C541" s="9" t="n">
        <v>48</v>
      </c>
      <c r="D541" s="9" t="str">
        <f aca="false">IF(C541&gt;$N$5,"YES","NO")</f>
        <v>YES</v>
      </c>
      <c r="E541" s="9" t="n">
        <v>42</v>
      </c>
      <c r="F541" s="9" t="str">
        <f aca="false">IF(E541&gt;$N$6,"YES","NO")</f>
        <v>NO</v>
      </c>
      <c r="G541" s="13" t="s">
        <v>16</v>
      </c>
    </row>
    <row r="542" customFormat="false" ht="15.75" hidden="false" customHeight="false" outlineLevel="0" collapsed="false">
      <c r="A542" s="11" t="n">
        <v>1558.039</v>
      </c>
      <c r="B542" s="11" t="str">
        <f aca="false">IF(A542&gt;$N$4,"YES","NO")</f>
        <v>NO</v>
      </c>
      <c r="C542" s="9" t="n">
        <v>18</v>
      </c>
      <c r="D542" s="9" t="str">
        <f aca="false">IF(C542&gt;$N$5,"YES","NO")</f>
        <v>NO</v>
      </c>
      <c r="E542" s="9" t="n">
        <v>45</v>
      </c>
      <c r="F542" s="9" t="str">
        <f aca="false">IF(E542&gt;$N$6,"YES","NO")</f>
        <v>NO</v>
      </c>
      <c r="G542" s="13" t="s">
        <v>13</v>
      </c>
    </row>
    <row r="543" customFormat="false" ht="15.75" hidden="false" customHeight="false" outlineLevel="0" collapsed="false">
      <c r="A543" s="11" t="n">
        <v>783.874</v>
      </c>
      <c r="B543" s="11" t="str">
        <f aca="false">IF(A543&gt;$N$4,"YES","NO")</f>
        <v>NO</v>
      </c>
      <c r="C543" s="9" t="n">
        <v>12</v>
      </c>
      <c r="D543" s="9" t="str">
        <f aca="false">IF(C543&gt;$N$5,"YES","NO")</f>
        <v>NO</v>
      </c>
      <c r="E543" s="9" t="n">
        <v>23</v>
      </c>
      <c r="F543" s="9" t="str">
        <f aca="false">IF(E543&gt;$N$6,"YES","NO")</f>
        <v>NO</v>
      </c>
      <c r="G543" s="13" t="s">
        <v>16</v>
      </c>
    </row>
    <row r="544" customFormat="false" ht="15.75" hidden="false" customHeight="false" outlineLevel="0" collapsed="false">
      <c r="A544" s="11" t="n">
        <v>1038.352</v>
      </c>
      <c r="B544" s="11" t="str">
        <f aca="false">IF(A544&gt;$N$4,"YES","NO")</f>
        <v>NO</v>
      </c>
      <c r="C544" s="9" t="n">
        <v>24</v>
      </c>
      <c r="D544" s="9" t="str">
        <f aca="false">IF(C544&gt;$N$5,"YES","NO")</f>
        <v>NO</v>
      </c>
      <c r="E544" s="9" t="n">
        <v>60</v>
      </c>
      <c r="F544" s="9" t="str">
        <f aca="false">IF(E544&gt;$N$6,"YES","NO")</f>
        <v>NO</v>
      </c>
      <c r="G544" s="13" t="s">
        <v>13</v>
      </c>
    </row>
    <row r="545" customFormat="false" ht="15.75" hidden="false" customHeight="false" outlineLevel="0" collapsed="false">
      <c r="A545" s="11" t="n">
        <v>3244.85</v>
      </c>
      <c r="B545" s="11" t="str">
        <f aca="false">IF(A545&gt;$N$4,"YES","NO")</f>
        <v>NO</v>
      </c>
      <c r="C545" s="9" t="n">
        <v>30</v>
      </c>
      <c r="D545" s="9" t="str">
        <f aca="false">IF(C545&gt;$N$5,"YES","NO")</f>
        <v>NO</v>
      </c>
      <c r="E545" s="9" t="n">
        <v>31</v>
      </c>
      <c r="F545" s="9" t="str">
        <f aca="false">IF(E545&gt;$N$6,"YES","NO")</f>
        <v>NO</v>
      </c>
      <c r="G545" s="13" t="s">
        <v>16</v>
      </c>
    </row>
    <row r="546" customFormat="false" ht="15.75" hidden="false" customHeight="false" outlineLevel="0" collapsed="false">
      <c r="A546" s="11" t="n">
        <v>1463.504</v>
      </c>
      <c r="B546" s="11" t="str">
        <f aca="false">IF(A546&gt;$N$4,"YES","NO")</f>
        <v>NO</v>
      </c>
      <c r="C546" s="9" t="n">
        <v>18</v>
      </c>
      <c r="D546" s="9" t="str">
        <f aca="false">IF(C546&gt;$N$5,"YES","NO")</f>
        <v>NO</v>
      </c>
      <c r="E546" s="9" t="n">
        <v>34</v>
      </c>
      <c r="F546" s="9" t="str">
        <f aca="false">IF(E546&gt;$N$6,"YES","NO")</f>
        <v>NO</v>
      </c>
      <c r="G546" s="13" t="s">
        <v>16</v>
      </c>
    </row>
    <row r="547" customFormat="false" ht="15.75" hidden="false" customHeight="false" outlineLevel="0" collapsed="false">
      <c r="A547" s="11" t="n">
        <v>641.305</v>
      </c>
      <c r="B547" s="11" t="str">
        <f aca="false">IF(A547&gt;$N$4,"YES","NO")</f>
        <v>NO</v>
      </c>
      <c r="C547" s="9" t="n">
        <v>12</v>
      </c>
      <c r="D547" s="9" t="str">
        <f aca="false">IF(C547&gt;$N$5,"YES","NO")</f>
        <v>NO</v>
      </c>
      <c r="E547" s="9" t="n">
        <v>61</v>
      </c>
      <c r="F547" s="9" t="str">
        <f aca="false">IF(E547&gt;$N$6,"YES","NO")</f>
        <v>NO</v>
      </c>
      <c r="G547" s="13" t="s">
        <v>13</v>
      </c>
    </row>
    <row r="548" customFormat="false" ht="15.75" hidden="false" customHeight="false" outlineLevel="0" collapsed="false">
      <c r="A548" s="11" t="n">
        <v>681.163</v>
      </c>
      <c r="B548" s="11" t="str">
        <f aca="false">IF(A548&gt;$N$4,"YES","NO")</f>
        <v>NO</v>
      </c>
      <c r="C548" s="9" t="n">
        <v>24</v>
      </c>
      <c r="D548" s="9" t="str">
        <f aca="false">IF(C548&gt;$N$5,"YES","NO")</f>
        <v>NO</v>
      </c>
      <c r="E548" s="9" t="n">
        <v>43</v>
      </c>
      <c r="F548" s="9" t="str">
        <f aca="false">IF(E548&gt;$N$6,"YES","NO")</f>
        <v>NO</v>
      </c>
      <c r="G548" s="13" t="s">
        <v>16</v>
      </c>
    </row>
    <row r="549" customFormat="false" ht="15.75" hidden="false" customHeight="false" outlineLevel="0" collapsed="false">
      <c r="A549" s="11" t="n">
        <v>1033.242</v>
      </c>
      <c r="B549" s="11" t="str">
        <f aca="false">IF(A549&gt;$N$4,"YES","NO")</f>
        <v>NO</v>
      </c>
      <c r="C549" s="9" t="n">
        <v>24</v>
      </c>
      <c r="D549" s="9" t="str">
        <f aca="false">IF(C549&gt;$N$5,"YES","NO")</f>
        <v>NO</v>
      </c>
      <c r="E549" s="9" t="n">
        <v>37</v>
      </c>
      <c r="F549" s="9" t="str">
        <f aca="false">IF(E549&gt;$N$6,"YES","NO")</f>
        <v>NO</v>
      </c>
      <c r="G549" s="13" t="s">
        <v>13</v>
      </c>
    </row>
    <row r="550" customFormat="false" ht="15.75" hidden="false" customHeight="false" outlineLevel="0" collapsed="false">
      <c r="A550" s="11" t="n">
        <v>793.072</v>
      </c>
      <c r="B550" s="11" t="str">
        <f aca="false">IF(A550&gt;$N$4,"YES","NO")</f>
        <v>NO</v>
      </c>
      <c r="C550" s="9" t="n">
        <v>24</v>
      </c>
      <c r="D550" s="9" t="str">
        <f aca="false">IF(C550&gt;$N$5,"YES","NO")</f>
        <v>NO</v>
      </c>
      <c r="E550" s="9" t="n">
        <v>32</v>
      </c>
      <c r="F550" s="9" t="str">
        <f aca="false">IF(E550&gt;$N$6,"YES","NO")</f>
        <v>NO</v>
      </c>
      <c r="G550" s="13" t="s">
        <v>13</v>
      </c>
    </row>
    <row r="551" customFormat="false" ht="15.75" hidden="false" customHeight="false" outlineLevel="0" collapsed="false">
      <c r="A551" s="11" t="n">
        <v>319.886</v>
      </c>
      <c r="B551" s="11" t="str">
        <f aca="false">IF(A551&gt;$N$4,"YES","NO")</f>
        <v>NO</v>
      </c>
      <c r="C551" s="9" t="n">
        <v>12</v>
      </c>
      <c r="D551" s="9" t="str">
        <f aca="false">IF(C551&gt;$N$5,"YES","NO")</f>
        <v>NO</v>
      </c>
      <c r="E551" s="9" t="n">
        <v>24</v>
      </c>
      <c r="F551" s="9" t="str">
        <f aca="false">IF(E551&gt;$N$6,"YES","NO")</f>
        <v>NO</v>
      </c>
      <c r="G551" s="13" t="s">
        <v>16</v>
      </c>
    </row>
    <row r="552" customFormat="false" ht="15.75" hidden="false" customHeight="false" outlineLevel="0" collapsed="false">
      <c r="A552" s="11" t="n">
        <v>4526.438</v>
      </c>
      <c r="B552" s="11" t="str">
        <f aca="false">IF(A552&gt;$N$4,"YES","NO")</f>
        <v>YES</v>
      </c>
      <c r="C552" s="9" t="n">
        <v>48</v>
      </c>
      <c r="D552" s="9" t="str">
        <f aca="false">IF(C552&gt;$N$5,"YES","NO")</f>
        <v>YES</v>
      </c>
      <c r="E552" s="9" t="n">
        <v>35</v>
      </c>
      <c r="F552" s="9" t="str">
        <f aca="false">IF(E552&gt;$N$6,"YES","NO")</f>
        <v>NO</v>
      </c>
      <c r="G552" s="13" t="s">
        <v>13</v>
      </c>
    </row>
    <row r="553" customFormat="false" ht="15.75" hidden="false" customHeight="false" outlineLevel="0" collapsed="false">
      <c r="A553" s="11" t="n">
        <v>508.956</v>
      </c>
      <c r="B553" s="11" t="str">
        <f aca="false">IF(A553&gt;$N$4,"YES","NO")</f>
        <v>NO</v>
      </c>
      <c r="C553" s="9" t="n">
        <v>12</v>
      </c>
      <c r="D553" s="9" t="str">
        <f aca="false">IF(C553&gt;$N$5,"YES","NO")</f>
        <v>NO</v>
      </c>
      <c r="E553" s="9" t="n">
        <v>23</v>
      </c>
      <c r="F553" s="9" t="str">
        <f aca="false">IF(E553&gt;$N$6,"YES","NO")</f>
        <v>NO</v>
      </c>
      <c r="G553" s="13" t="s">
        <v>13</v>
      </c>
    </row>
    <row r="554" customFormat="false" ht="15.75" hidden="false" customHeight="false" outlineLevel="0" collapsed="false">
      <c r="A554" s="11" t="n">
        <v>894.25</v>
      </c>
      <c r="B554" s="11" t="str">
        <f aca="false">IF(A554&gt;$N$4,"YES","NO")</f>
        <v>NO</v>
      </c>
      <c r="C554" s="9" t="n">
        <v>6</v>
      </c>
      <c r="D554" s="9" t="str">
        <f aca="false">IF(C554&gt;$N$5,"YES","NO")</f>
        <v>NO</v>
      </c>
      <c r="E554" s="9" t="n">
        <v>45</v>
      </c>
      <c r="F554" s="9" t="str">
        <f aca="false">IF(E554&gt;$N$6,"YES","NO")</f>
        <v>NO</v>
      </c>
      <c r="G554" s="13" t="s">
        <v>13</v>
      </c>
    </row>
    <row r="555" customFormat="false" ht="15.75" hidden="false" customHeight="false" outlineLevel="0" collapsed="false">
      <c r="A555" s="11" t="n">
        <v>3576.489</v>
      </c>
      <c r="B555" s="11" t="str">
        <f aca="false">IF(A555&gt;$N$4,"YES","NO")</f>
        <v>NO</v>
      </c>
      <c r="C555" s="9" t="n">
        <v>48</v>
      </c>
      <c r="D555" s="9" t="str">
        <f aca="false">IF(C555&gt;$N$5,"YES","NO")</f>
        <v>YES</v>
      </c>
      <c r="E555" s="9" t="n">
        <v>34</v>
      </c>
      <c r="F555" s="9" t="str">
        <f aca="false">IF(E555&gt;$N$6,"YES","NO")</f>
        <v>NO</v>
      </c>
      <c r="G555" s="13" t="s">
        <v>16</v>
      </c>
    </row>
    <row r="556" customFormat="false" ht="15.75" hidden="false" customHeight="false" outlineLevel="0" collapsed="false">
      <c r="A556" s="11" t="n">
        <v>1019.445</v>
      </c>
      <c r="B556" s="11" t="str">
        <f aca="false">IF(A556&gt;$N$4,"YES","NO")</f>
        <v>NO</v>
      </c>
      <c r="C556" s="9" t="n">
        <v>12</v>
      </c>
      <c r="D556" s="9" t="str">
        <f aca="false">IF(C556&gt;$N$5,"YES","NO")</f>
        <v>NO</v>
      </c>
      <c r="E556" s="9" t="n">
        <v>27</v>
      </c>
      <c r="F556" s="9" t="str">
        <f aca="false">IF(E556&gt;$N$6,"YES","NO")</f>
        <v>NO</v>
      </c>
      <c r="G556" s="13" t="s">
        <v>13</v>
      </c>
    </row>
    <row r="557" customFormat="false" ht="15.75" hidden="false" customHeight="false" outlineLevel="0" collapsed="false">
      <c r="A557" s="11" t="n">
        <v>612.689</v>
      </c>
      <c r="B557" s="11" t="str">
        <f aca="false">IF(A557&gt;$N$4,"YES","NO")</f>
        <v>NO</v>
      </c>
      <c r="C557" s="9" t="n">
        <v>9</v>
      </c>
      <c r="D557" s="9" t="str">
        <f aca="false">IF(C557&gt;$N$5,"YES","NO")</f>
        <v>NO</v>
      </c>
      <c r="E557" s="9" t="n">
        <v>67</v>
      </c>
      <c r="F557" s="9" t="str">
        <f aca="false">IF(E557&gt;$N$6,"YES","NO")</f>
        <v>YES</v>
      </c>
      <c r="G557" s="13" t="s">
        <v>13</v>
      </c>
    </row>
    <row r="558" customFormat="false" ht="15.75" hidden="false" customHeight="false" outlineLevel="0" collapsed="false">
      <c r="A558" s="11" t="n">
        <v>680.141</v>
      </c>
      <c r="B558" s="11" t="str">
        <f aca="false">IF(A558&gt;$N$4,"YES","NO")</f>
        <v>NO</v>
      </c>
      <c r="C558" s="9" t="n">
        <v>12</v>
      </c>
      <c r="D558" s="9" t="str">
        <f aca="false">IF(C558&gt;$N$5,"YES","NO")</f>
        <v>NO</v>
      </c>
      <c r="E558" s="9" t="n">
        <v>22</v>
      </c>
      <c r="F558" s="9" t="str">
        <f aca="false">IF(E558&gt;$N$6,"YES","NO")</f>
        <v>NO</v>
      </c>
      <c r="G558" s="13" t="s">
        <v>16</v>
      </c>
    </row>
    <row r="559" customFormat="false" ht="15.75" hidden="false" customHeight="false" outlineLevel="0" collapsed="false">
      <c r="A559" s="11" t="n">
        <v>1164.058</v>
      </c>
      <c r="B559" s="11" t="str">
        <f aca="false">IF(A559&gt;$N$4,"YES","NO")</f>
        <v>NO</v>
      </c>
      <c r="C559" s="9" t="n">
        <v>18</v>
      </c>
      <c r="D559" s="9" t="str">
        <f aca="false">IF(C559&gt;$N$5,"YES","NO")</f>
        <v>NO</v>
      </c>
      <c r="E559" s="9" t="n">
        <v>28</v>
      </c>
      <c r="F559" s="9" t="str">
        <f aca="false">IF(E559&gt;$N$6,"YES","NO")</f>
        <v>NO</v>
      </c>
      <c r="G559" s="13" t="s">
        <v>16</v>
      </c>
    </row>
    <row r="560" customFormat="false" ht="15.75" hidden="false" customHeight="false" outlineLevel="0" collapsed="false">
      <c r="A560" s="11" t="n">
        <v>2556.533</v>
      </c>
      <c r="B560" s="11" t="str">
        <f aca="false">IF(A560&gt;$N$4,"YES","NO")</f>
        <v>NO</v>
      </c>
      <c r="C560" s="9" t="n">
        <v>21</v>
      </c>
      <c r="D560" s="9" t="str">
        <f aca="false">IF(C560&gt;$N$5,"YES","NO")</f>
        <v>NO</v>
      </c>
      <c r="E560" s="9" t="n">
        <v>29</v>
      </c>
      <c r="F560" s="9" t="str">
        <f aca="false">IF(E560&gt;$N$6,"YES","NO")</f>
        <v>NO</v>
      </c>
      <c r="G560" s="13" t="s">
        <v>16</v>
      </c>
    </row>
    <row r="561" customFormat="false" ht="15.75" hidden="false" customHeight="false" outlineLevel="0" collapsed="false">
      <c r="A561" s="11" t="n">
        <v>1815.072</v>
      </c>
      <c r="B561" s="11" t="str">
        <f aca="false">IF(A561&gt;$N$4,"YES","NO")</f>
        <v>NO</v>
      </c>
      <c r="C561" s="9" t="n">
        <v>24</v>
      </c>
      <c r="D561" s="9" t="str">
        <f aca="false">IF(C561&gt;$N$5,"YES","NO")</f>
        <v>NO</v>
      </c>
      <c r="E561" s="9" t="n">
        <v>27</v>
      </c>
      <c r="F561" s="9" t="str">
        <f aca="false">IF(E561&gt;$N$6,"YES","NO")</f>
        <v>NO</v>
      </c>
      <c r="G561" s="13" t="s">
        <v>16</v>
      </c>
    </row>
    <row r="562" customFormat="false" ht="15.75" hidden="false" customHeight="false" outlineLevel="0" collapsed="false">
      <c r="A562" s="11" t="n">
        <v>985.208</v>
      </c>
      <c r="B562" s="11" t="str">
        <f aca="false">IF(A562&gt;$N$4,"YES","NO")</f>
        <v>NO</v>
      </c>
      <c r="C562" s="9" t="n">
        <v>18</v>
      </c>
      <c r="D562" s="9" t="str">
        <f aca="false">IF(C562&gt;$N$5,"YES","NO")</f>
        <v>NO</v>
      </c>
      <c r="E562" s="9" t="n">
        <v>31</v>
      </c>
      <c r="F562" s="9" t="str">
        <f aca="false">IF(E562&gt;$N$6,"YES","NO")</f>
        <v>NO</v>
      </c>
      <c r="G562" s="13" t="s">
        <v>16</v>
      </c>
    </row>
    <row r="563" customFormat="false" ht="15.75" hidden="false" customHeight="false" outlineLevel="0" collapsed="false">
      <c r="A563" s="11" t="n">
        <v>1514.604</v>
      </c>
      <c r="B563" s="11" t="str">
        <f aca="false">IF(A563&gt;$N$4,"YES","NO")</f>
        <v>NO</v>
      </c>
      <c r="C563" s="9" t="n">
        <v>24</v>
      </c>
      <c r="D563" s="9" t="str">
        <f aca="false">IF(C563&gt;$N$5,"YES","NO")</f>
        <v>NO</v>
      </c>
      <c r="E563" s="9" t="n">
        <v>49</v>
      </c>
      <c r="F563" s="9" t="str">
        <f aca="false">IF(E563&gt;$N$6,"YES","NO")</f>
        <v>NO</v>
      </c>
      <c r="G563" s="13" t="s">
        <v>13</v>
      </c>
    </row>
    <row r="564" customFormat="false" ht="15.75" hidden="false" customHeight="false" outlineLevel="0" collapsed="false">
      <c r="A564" s="11" t="n">
        <v>790.006</v>
      </c>
      <c r="B564" s="11" t="str">
        <f aca="false">IF(A564&gt;$N$4,"YES","NO")</f>
        <v>NO</v>
      </c>
      <c r="C564" s="9" t="n">
        <v>24</v>
      </c>
      <c r="D564" s="9" t="str">
        <f aca="false">IF(C564&gt;$N$5,"YES","NO")</f>
        <v>NO</v>
      </c>
      <c r="E564" s="9" t="n">
        <v>24</v>
      </c>
      <c r="F564" s="9" t="str">
        <f aca="false">IF(E564&gt;$N$6,"YES","NO")</f>
        <v>NO</v>
      </c>
      <c r="G564" s="13" t="s">
        <v>16</v>
      </c>
    </row>
    <row r="565" customFormat="false" ht="15.75" hidden="false" customHeight="false" outlineLevel="0" collapsed="false">
      <c r="A565" s="11" t="n">
        <v>349.013</v>
      </c>
      <c r="B565" s="11" t="str">
        <f aca="false">IF(A565&gt;$N$4,"YES","NO")</f>
        <v>NO</v>
      </c>
      <c r="C565" s="9" t="n">
        <v>6</v>
      </c>
      <c r="D565" s="9" t="str">
        <f aca="false">IF(C565&gt;$N$5,"YES","NO")</f>
        <v>NO</v>
      </c>
      <c r="E565" s="9" t="n">
        <v>29</v>
      </c>
      <c r="F565" s="9" t="str">
        <f aca="false">IF(E565&gt;$N$6,"YES","NO")</f>
        <v>NO</v>
      </c>
      <c r="G565" s="13" t="s">
        <v>13</v>
      </c>
    </row>
    <row r="566" customFormat="false" ht="15.75" hidden="false" customHeight="false" outlineLevel="0" collapsed="false">
      <c r="A566" s="11" t="n">
        <v>6330.779</v>
      </c>
      <c r="B566" s="11" t="str">
        <f aca="false">IF(A566&gt;$N$4,"YES","NO")</f>
        <v>YES</v>
      </c>
      <c r="C566" s="9" t="n">
        <v>36</v>
      </c>
      <c r="D566" s="9" t="str">
        <f aca="false">IF(C566&gt;$N$5,"YES","NO")</f>
        <v>NO</v>
      </c>
      <c r="E566" s="9" t="n">
        <v>37</v>
      </c>
      <c r="F566" s="9" t="str">
        <f aca="false">IF(E566&gt;$N$6,"YES","NO")</f>
        <v>NO</v>
      </c>
      <c r="G566" s="13" t="s">
        <v>16</v>
      </c>
    </row>
    <row r="567" customFormat="false" ht="15.75" hidden="false" customHeight="false" outlineLevel="0" collapsed="false">
      <c r="A567" s="11" t="n">
        <v>2407.832</v>
      </c>
      <c r="B567" s="11" t="str">
        <f aca="false">IF(A567&gt;$N$4,"YES","NO")</f>
        <v>NO</v>
      </c>
      <c r="C567" s="9" t="n">
        <v>24</v>
      </c>
      <c r="D567" s="9" t="str">
        <f aca="false">IF(C567&gt;$N$5,"YES","NO")</f>
        <v>NO</v>
      </c>
      <c r="E567" s="9" t="n">
        <v>37</v>
      </c>
      <c r="F567" s="9" t="str">
        <f aca="false">IF(E567&gt;$N$6,"YES","NO")</f>
        <v>NO</v>
      </c>
      <c r="G567" s="13" t="s">
        <v>13</v>
      </c>
    </row>
    <row r="568" customFormat="false" ht="15.75" hidden="false" customHeight="false" outlineLevel="0" collapsed="false">
      <c r="A568" s="11" t="n">
        <v>793.583</v>
      </c>
      <c r="B568" s="11" t="str">
        <f aca="false">IF(A568&gt;$N$4,"YES","NO")</f>
        <v>NO</v>
      </c>
      <c r="C568" s="9" t="n">
        <v>24</v>
      </c>
      <c r="D568" s="9" t="str">
        <f aca="false">IF(C568&gt;$N$5,"YES","NO")</f>
        <v>NO</v>
      </c>
      <c r="E568" s="9" t="n">
        <v>23</v>
      </c>
      <c r="F568" s="9" t="str">
        <f aca="false">IF(E568&gt;$N$6,"YES","NO")</f>
        <v>NO</v>
      </c>
      <c r="G568" s="13" t="s">
        <v>13</v>
      </c>
    </row>
    <row r="569" customFormat="false" ht="15.75" hidden="false" customHeight="false" outlineLevel="0" collapsed="false">
      <c r="A569" s="11" t="n">
        <v>701.092</v>
      </c>
      <c r="B569" s="11" t="str">
        <f aca="false">IF(A569&gt;$N$4,"YES","NO")</f>
        <v>NO</v>
      </c>
      <c r="C569" s="9" t="n">
        <v>12</v>
      </c>
      <c r="D569" s="9" t="str">
        <f aca="false">IF(C569&gt;$N$5,"YES","NO")</f>
        <v>NO</v>
      </c>
      <c r="E569" s="9" t="n">
        <v>36</v>
      </c>
      <c r="F569" s="9" t="str">
        <f aca="false">IF(E569&gt;$N$6,"YES","NO")</f>
        <v>NO</v>
      </c>
      <c r="G569" s="13" t="s">
        <v>16</v>
      </c>
    </row>
    <row r="570" customFormat="false" ht="15.75" hidden="false" customHeight="false" outlineLevel="0" collapsed="false">
      <c r="A570" s="11" t="n">
        <v>1317.358</v>
      </c>
      <c r="B570" s="11" t="str">
        <f aca="false">IF(A570&gt;$N$4,"YES","NO")</f>
        <v>NO</v>
      </c>
      <c r="C570" s="9" t="n">
        <v>24</v>
      </c>
      <c r="D570" s="9" t="str">
        <f aca="false">IF(C570&gt;$N$5,"YES","NO")</f>
        <v>NO</v>
      </c>
      <c r="E570" s="9" t="n">
        <v>34</v>
      </c>
      <c r="F570" s="9" t="str">
        <f aca="false">IF(E570&gt;$N$6,"YES","NO")</f>
        <v>NO</v>
      </c>
      <c r="G570" s="13" t="s">
        <v>13</v>
      </c>
    </row>
    <row r="571" customFormat="false" ht="15.75" hidden="false" customHeight="false" outlineLevel="0" collapsed="false">
      <c r="A571" s="11" t="n">
        <v>2033.269</v>
      </c>
      <c r="B571" s="11" t="str">
        <f aca="false">IF(A571&gt;$N$4,"YES","NO")</f>
        <v>NO</v>
      </c>
      <c r="C571" s="9" t="n">
        <v>48</v>
      </c>
      <c r="D571" s="9" t="str">
        <f aca="false">IF(C571&gt;$N$5,"YES","NO")</f>
        <v>YES</v>
      </c>
      <c r="E571" s="9" t="n">
        <v>41</v>
      </c>
      <c r="F571" s="9" t="str">
        <f aca="false">IF(E571&gt;$N$6,"YES","NO")</f>
        <v>NO</v>
      </c>
      <c r="G571" s="13" t="s">
        <v>13</v>
      </c>
    </row>
    <row r="572" customFormat="false" ht="15.75" hidden="false" customHeight="false" outlineLevel="0" collapsed="false">
      <c r="A572" s="11" t="n">
        <v>3453.338</v>
      </c>
      <c r="B572" s="11" t="str">
        <f aca="false">IF(A572&gt;$N$4,"YES","NO")</f>
        <v>NO</v>
      </c>
      <c r="C572" s="9" t="n">
        <v>48</v>
      </c>
      <c r="D572" s="9" t="str">
        <f aca="false">IF(C572&gt;$N$5,"YES","NO")</f>
        <v>YES</v>
      </c>
      <c r="E572" s="9" t="n">
        <v>31</v>
      </c>
      <c r="F572" s="9" t="str">
        <f aca="false">IF(E572&gt;$N$6,"YES","NO")</f>
        <v>NO</v>
      </c>
      <c r="G572" s="13" t="s">
        <v>16</v>
      </c>
    </row>
    <row r="573" customFormat="false" ht="15.75" hidden="false" customHeight="false" outlineLevel="0" collapsed="false">
      <c r="A573" s="11" t="n">
        <v>1652.574</v>
      </c>
      <c r="B573" s="11" t="str">
        <f aca="false">IF(A573&gt;$N$4,"YES","NO")</f>
        <v>NO</v>
      </c>
      <c r="C573" s="9" t="n">
        <v>24</v>
      </c>
      <c r="D573" s="9" t="str">
        <f aca="false">IF(C573&gt;$N$5,"YES","NO")</f>
        <v>NO</v>
      </c>
      <c r="E573" s="9" t="n">
        <v>23</v>
      </c>
      <c r="F573" s="9" t="str">
        <f aca="false">IF(E573&gt;$N$6,"YES","NO")</f>
        <v>NO</v>
      </c>
      <c r="G573" s="13" t="s">
        <v>16</v>
      </c>
    </row>
    <row r="574" customFormat="false" ht="15.75" hidden="false" customHeight="false" outlineLevel="0" collapsed="false">
      <c r="A574" s="11" t="n">
        <v>3042.494</v>
      </c>
      <c r="B574" s="11" t="str">
        <f aca="false">IF(A574&gt;$N$4,"YES","NO")</f>
        <v>NO</v>
      </c>
      <c r="C574" s="9" t="n">
        <v>30</v>
      </c>
      <c r="D574" s="9" t="str">
        <f aca="false">IF(C574&gt;$N$5,"YES","NO")</f>
        <v>NO</v>
      </c>
      <c r="E574" s="9" t="n">
        <v>38</v>
      </c>
      <c r="F574" s="9" t="str">
        <f aca="false">IF(E574&gt;$N$6,"YES","NO")</f>
        <v>NO</v>
      </c>
      <c r="G574" s="13" t="s">
        <v>13</v>
      </c>
    </row>
    <row r="575" customFormat="false" ht="15.75" hidden="false" customHeight="false" outlineLevel="0" collapsed="false">
      <c r="A575" s="11" t="n">
        <v>2776.263</v>
      </c>
      <c r="B575" s="11" t="str">
        <f aca="false">IF(A575&gt;$N$4,"YES","NO")</f>
        <v>NO</v>
      </c>
      <c r="C575" s="9" t="n">
        <v>24</v>
      </c>
      <c r="D575" s="9" t="str">
        <f aca="false">IF(C575&gt;$N$5,"YES","NO")</f>
        <v>NO</v>
      </c>
      <c r="E575" s="9" t="n">
        <v>26</v>
      </c>
      <c r="F575" s="9" t="str">
        <f aca="false">IF(E575&gt;$N$6,"YES","NO")</f>
        <v>NO</v>
      </c>
      <c r="G575" s="13" t="s">
        <v>13</v>
      </c>
    </row>
    <row r="576" customFormat="false" ht="15.75" hidden="false" customHeight="false" outlineLevel="0" collapsed="false">
      <c r="A576" s="11" t="n">
        <v>411.866</v>
      </c>
      <c r="B576" s="11" t="str">
        <f aca="false">IF(A576&gt;$N$4,"YES","NO")</f>
        <v>NO</v>
      </c>
      <c r="C576" s="9" t="n">
        <v>15</v>
      </c>
      <c r="D576" s="9" t="str">
        <f aca="false">IF(C576&gt;$N$5,"YES","NO")</f>
        <v>NO</v>
      </c>
      <c r="E576" s="9" t="n">
        <v>22</v>
      </c>
      <c r="F576" s="9" t="str">
        <f aca="false">IF(E576&gt;$N$6,"YES","NO")</f>
        <v>NO</v>
      </c>
      <c r="G576" s="13" t="s">
        <v>13</v>
      </c>
    </row>
    <row r="577" customFormat="false" ht="15.75" hidden="false" customHeight="false" outlineLevel="0" collapsed="false">
      <c r="A577" s="11" t="n">
        <v>552.902</v>
      </c>
      <c r="B577" s="11" t="str">
        <f aca="false">IF(A577&gt;$N$4,"YES","NO")</f>
        <v>NO</v>
      </c>
      <c r="C577" s="9" t="n">
        <v>9</v>
      </c>
      <c r="D577" s="9" t="str">
        <f aca="false">IF(C577&gt;$N$5,"YES","NO")</f>
        <v>NO</v>
      </c>
      <c r="E577" s="9" t="n">
        <v>27</v>
      </c>
      <c r="F577" s="9" t="str">
        <f aca="false">IF(E577&gt;$N$6,"YES","NO")</f>
        <v>NO</v>
      </c>
      <c r="G577" s="13" t="s">
        <v>13</v>
      </c>
    </row>
    <row r="578" customFormat="false" ht="15.75" hidden="false" customHeight="false" outlineLevel="0" collapsed="false">
      <c r="A578" s="11" t="n">
        <v>1424.668</v>
      </c>
      <c r="B578" s="11" t="str">
        <f aca="false">IF(A578&gt;$N$4,"YES","NO")</f>
        <v>NO</v>
      </c>
      <c r="C578" s="9" t="n">
        <v>15</v>
      </c>
      <c r="D578" s="9" t="str">
        <f aca="false">IF(C578&gt;$N$5,"YES","NO")</f>
        <v>NO</v>
      </c>
      <c r="E578" s="9" t="n">
        <v>24</v>
      </c>
      <c r="F578" s="9" t="str">
        <f aca="false">IF(E578&gt;$N$6,"YES","NO")</f>
        <v>NO</v>
      </c>
      <c r="G578" s="13" t="s">
        <v>13</v>
      </c>
    </row>
    <row r="579" customFormat="false" ht="15.75" hidden="false" customHeight="false" outlineLevel="0" collapsed="false">
      <c r="A579" s="11" t="n">
        <v>1497.23</v>
      </c>
      <c r="B579" s="11" t="str">
        <f aca="false">IF(A579&gt;$N$4,"YES","NO")</f>
        <v>NO</v>
      </c>
      <c r="C579" s="9" t="n">
        <v>12</v>
      </c>
      <c r="D579" s="9" t="str">
        <f aca="false">IF(C579&gt;$N$5,"YES","NO")</f>
        <v>NO</v>
      </c>
      <c r="E579" s="9" t="n">
        <v>27</v>
      </c>
      <c r="F579" s="9" t="str">
        <f aca="false">IF(E579&gt;$N$6,"YES","NO")</f>
        <v>NO</v>
      </c>
      <c r="G579" s="13" t="s">
        <v>13</v>
      </c>
    </row>
    <row r="580" customFormat="false" ht="15.75" hidden="false" customHeight="false" outlineLevel="0" collapsed="false">
      <c r="A580" s="11" t="n">
        <v>984.697</v>
      </c>
      <c r="B580" s="11" t="str">
        <f aca="false">IF(A580&gt;$N$4,"YES","NO")</f>
        <v>NO</v>
      </c>
      <c r="C580" s="9" t="n">
        <v>24</v>
      </c>
      <c r="D580" s="9" t="str">
        <f aca="false">IF(C580&gt;$N$5,"YES","NO")</f>
        <v>NO</v>
      </c>
      <c r="E580" s="9" t="n">
        <v>33</v>
      </c>
      <c r="F580" s="9" t="str">
        <f aca="false">IF(E580&gt;$N$6,"YES","NO")</f>
        <v>NO</v>
      </c>
      <c r="G580" s="13" t="s">
        <v>13</v>
      </c>
    </row>
    <row r="581" customFormat="false" ht="15.75" hidden="false" customHeight="false" outlineLevel="0" collapsed="false">
      <c r="A581" s="11" t="n">
        <v>1441.02</v>
      </c>
      <c r="B581" s="11" t="str">
        <f aca="false">IF(A581&gt;$N$4,"YES","NO")</f>
        <v>NO</v>
      </c>
      <c r="C581" s="9" t="n">
        <v>36</v>
      </c>
      <c r="D581" s="9" t="str">
        <f aca="false">IF(C581&gt;$N$5,"YES","NO")</f>
        <v>NO</v>
      </c>
      <c r="E581" s="9" t="n">
        <v>27</v>
      </c>
      <c r="F581" s="9" t="str">
        <f aca="false">IF(E581&gt;$N$6,"YES","NO")</f>
        <v>NO</v>
      </c>
      <c r="G581" s="13" t="s">
        <v>16</v>
      </c>
    </row>
    <row r="582" customFormat="false" ht="15.75" hidden="false" customHeight="false" outlineLevel="0" collapsed="false">
      <c r="A582" s="11" t="n">
        <v>478.807</v>
      </c>
      <c r="B582" s="11" t="str">
        <f aca="false">IF(A582&gt;$N$4,"YES","NO")</f>
        <v>NO</v>
      </c>
      <c r="C582" s="9" t="n">
        <v>24</v>
      </c>
      <c r="D582" s="9" t="str">
        <f aca="false">IF(C582&gt;$N$5,"YES","NO")</f>
        <v>NO</v>
      </c>
      <c r="E582" s="9" t="n">
        <v>27</v>
      </c>
      <c r="F582" s="9" t="str">
        <f aca="false">IF(E582&gt;$N$6,"YES","NO")</f>
        <v>NO</v>
      </c>
      <c r="G582" s="13" t="s">
        <v>13</v>
      </c>
    </row>
    <row r="583" customFormat="false" ht="15.75" hidden="false" customHeight="false" outlineLevel="0" collapsed="false">
      <c r="A583" s="11" t="n">
        <v>539.616</v>
      </c>
      <c r="B583" s="11" t="str">
        <f aca="false">IF(A583&gt;$N$4,"YES","NO")</f>
        <v>NO</v>
      </c>
      <c r="C583" s="9" t="n">
        <v>18</v>
      </c>
      <c r="D583" s="9" t="str">
        <f aca="false">IF(C583&gt;$N$5,"YES","NO")</f>
        <v>NO</v>
      </c>
      <c r="E583" s="9" t="n">
        <v>30</v>
      </c>
      <c r="F583" s="9" t="str">
        <f aca="false">IF(E583&gt;$N$6,"YES","NO")</f>
        <v>NO</v>
      </c>
      <c r="G583" s="13" t="s">
        <v>16</v>
      </c>
    </row>
    <row r="584" customFormat="false" ht="15.75" hidden="false" customHeight="false" outlineLevel="0" collapsed="false">
      <c r="A584" s="11" t="n">
        <v>1596.364</v>
      </c>
      <c r="B584" s="11" t="str">
        <f aca="false">IF(A584&gt;$N$4,"YES","NO")</f>
        <v>NO</v>
      </c>
      <c r="C584" s="9" t="n">
        <v>12</v>
      </c>
      <c r="D584" s="9" t="str">
        <f aca="false">IF(C584&gt;$N$5,"YES","NO")</f>
        <v>NO</v>
      </c>
      <c r="E584" s="9" t="n">
        <v>49</v>
      </c>
      <c r="F584" s="9" t="str">
        <f aca="false">IF(E584&gt;$N$6,"YES","NO")</f>
        <v>NO</v>
      </c>
      <c r="G584" s="13" t="s">
        <v>13</v>
      </c>
    </row>
    <row r="585" customFormat="false" ht="15.75" hidden="false" customHeight="false" outlineLevel="0" collapsed="false">
      <c r="A585" s="11" t="n">
        <v>709.268</v>
      </c>
      <c r="B585" s="11" t="str">
        <f aca="false">IF(A585&gt;$N$4,"YES","NO")</f>
        <v>NO</v>
      </c>
      <c r="C585" s="9" t="n">
        <v>9</v>
      </c>
      <c r="D585" s="9" t="str">
        <f aca="false">IF(C585&gt;$N$5,"YES","NO")</f>
        <v>NO</v>
      </c>
      <c r="E585" s="9" t="n">
        <v>26</v>
      </c>
      <c r="F585" s="9" t="str">
        <f aca="false">IF(E585&gt;$N$6,"YES","NO")</f>
        <v>NO</v>
      </c>
      <c r="G585" s="13" t="s">
        <v>13</v>
      </c>
    </row>
    <row r="586" customFormat="false" ht="15.75" hidden="false" customHeight="false" outlineLevel="0" collapsed="false">
      <c r="A586" s="11" t="n">
        <v>1218.224</v>
      </c>
      <c r="B586" s="11" t="str">
        <f aca="false">IF(A586&gt;$N$4,"YES","NO")</f>
        <v>NO</v>
      </c>
      <c r="C586" s="9" t="n">
        <v>36</v>
      </c>
      <c r="D586" s="9" t="str">
        <f aca="false">IF(C586&gt;$N$5,"YES","NO")</f>
        <v>NO</v>
      </c>
      <c r="E586" s="9" t="n">
        <v>33</v>
      </c>
      <c r="F586" s="9" t="str">
        <f aca="false">IF(E586&gt;$N$6,"YES","NO")</f>
        <v>NO</v>
      </c>
      <c r="G586" s="13" t="s">
        <v>16</v>
      </c>
    </row>
    <row r="587" customFormat="false" ht="15.75" hidden="false" customHeight="false" outlineLevel="0" collapsed="false">
      <c r="A587" s="11" t="n">
        <v>1089.963</v>
      </c>
      <c r="B587" s="11" t="str">
        <f aca="false">IF(A587&gt;$N$4,"YES","NO")</f>
        <v>NO</v>
      </c>
      <c r="C587" s="9" t="n">
        <v>12</v>
      </c>
      <c r="D587" s="9" t="str">
        <f aca="false">IF(C587&gt;$N$5,"YES","NO")</f>
        <v>NO</v>
      </c>
      <c r="E587" s="9" t="n">
        <v>52</v>
      </c>
      <c r="F587" s="9" t="str">
        <f aca="false">IF(E587&gt;$N$6,"YES","NO")</f>
        <v>NO</v>
      </c>
      <c r="G587" s="13" t="s">
        <v>13</v>
      </c>
    </row>
    <row r="588" customFormat="false" ht="15.75" hidden="false" customHeight="false" outlineLevel="0" collapsed="false">
      <c r="A588" s="11" t="n">
        <v>1041.929</v>
      </c>
      <c r="B588" s="11" t="str">
        <f aca="false">IF(A588&gt;$N$4,"YES","NO")</f>
        <v>NO</v>
      </c>
      <c r="C588" s="9" t="n">
        <v>18</v>
      </c>
      <c r="D588" s="9" t="str">
        <f aca="false">IF(C588&gt;$N$5,"YES","NO")</f>
        <v>NO</v>
      </c>
      <c r="E588" s="9" t="n">
        <v>20</v>
      </c>
      <c r="F588" s="9" t="str">
        <f aca="false">IF(E588&gt;$N$6,"YES","NO")</f>
        <v>NO</v>
      </c>
      <c r="G588" s="13" t="s">
        <v>16</v>
      </c>
    </row>
    <row r="589" customFormat="false" ht="15.75" hidden="false" customHeight="false" outlineLevel="0" collapsed="false">
      <c r="A589" s="11" t="n">
        <v>1430.289</v>
      </c>
      <c r="B589" s="11" t="str">
        <f aca="false">IF(A589&gt;$N$4,"YES","NO")</f>
        <v>NO</v>
      </c>
      <c r="C589" s="9" t="n">
        <v>9</v>
      </c>
      <c r="D589" s="9" t="str">
        <f aca="false">IF(C589&gt;$N$5,"YES","NO")</f>
        <v>NO</v>
      </c>
      <c r="E589" s="9" t="n">
        <v>36</v>
      </c>
      <c r="F589" s="9" t="str">
        <f aca="false">IF(E589&gt;$N$6,"YES","NO")</f>
        <v>NO</v>
      </c>
      <c r="G589" s="13" t="s">
        <v>13</v>
      </c>
    </row>
    <row r="590" customFormat="false" ht="15.75" hidden="false" customHeight="false" outlineLevel="0" collapsed="false">
      <c r="A590" s="11" t="n">
        <v>658.679</v>
      </c>
      <c r="B590" s="11" t="str">
        <f aca="false">IF(A590&gt;$N$4,"YES","NO")</f>
        <v>NO</v>
      </c>
      <c r="C590" s="9" t="n">
        <v>12</v>
      </c>
      <c r="D590" s="9" t="str">
        <f aca="false">IF(C590&gt;$N$5,"YES","NO")</f>
        <v>NO</v>
      </c>
      <c r="E590" s="9" t="n">
        <v>21</v>
      </c>
      <c r="F590" s="9" t="str">
        <f aca="false">IF(E590&gt;$N$6,"YES","NO")</f>
        <v>NO</v>
      </c>
      <c r="G590" s="13" t="s">
        <v>13</v>
      </c>
    </row>
    <row r="591" customFormat="false" ht="15.75" hidden="false" customHeight="false" outlineLevel="0" collapsed="false">
      <c r="A591" s="11" t="n">
        <v>621.887</v>
      </c>
      <c r="B591" s="11" t="str">
        <f aca="false">IF(A591&gt;$N$4,"YES","NO")</f>
        <v>NO</v>
      </c>
      <c r="C591" s="9" t="n">
        <v>18</v>
      </c>
      <c r="D591" s="9" t="str">
        <f aca="false">IF(C591&gt;$N$5,"YES","NO")</f>
        <v>NO</v>
      </c>
      <c r="E591" s="9" t="n">
        <v>47</v>
      </c>
      <c r="F591" s="9" t="str">
        <f aca="false">IF(E591&gt;$N$6,"YES","NO")</f>
        <v>NO</v>
      </c>
      <c r="G591" s="13" t="s">
        <v>16</v>
      </c>
    </row>
    <row r="592" customFormat="false" ht="15.75" hidden="false" customHeight="false" outlineLevel="0" collapsed="false">
      <c r="A592" s="11" t="n">
        <v>1147.706</v>
      </c>
      <c r="B592" s="11" t="str">
        <f aca="false">IF(A592&gt;$N$4,"YES","NO")</f>
        <v>NO</v>
      </c>
      <c r="C592" s="9" t="n">
        <v>12</v>
      </c>
      <c r="D592" s="9" t="str">
        <f aca="false">IF(C592&gt;$N$5,"YES","NO")</f>
        <v>NO</v>
      </c>
      <c r="E592" s="9" t="n">
        <v>60</v>
      </c>
      <c r="F592" s="9" t="str">
        <f aca="false">IF(E592&gt;$N$6,"YES","NO")</f>
        <v>NO</v>
      </c>
      <c r="G592" s="13" t="s">
        <v>16</v>
      </c>
    </row>
    <row r="593" customFormat="false" ht="15.75" hidden="false" customHeight="false" outlineLevel="0" collapsed="false">
      <c r="A593" s="11" t="n">
        <v>196.735</v>
      </c>
      <c r="B593" s="11" t="str">
        <f aca="false">IF(A593&gt;$N$4,"YES","NO")</f>
        <v>NO</v>
      </c>
      <c r="C593" s="9" t="n">
        <v>12</v>
      </c>
      <c r="D593" s="9" t="str">
        <f aca="false">IF(C593&gt;$N$5,"YES","NO")</f>
        <v>NO</v>
      </c>
      <c r="E593" s="9" t="n">
        <v>58</v>
      </c>
      <c r="F593" s="9" t="str">
        <f aca="false">IF(E593&gt;$N$6,"YES","NO")</f>
        <v>NO</v>
      </c>
      <c r="G593" s="13" t="s">
        <v>13</v>
      </c>
    </row>
    <row r="594" customFormat="false" ht="15.75" hidden="false" customHeight="false" outlineLevel="0" collapsed="false">
      <c r="A594" s="11" t="n">
        <v>1004.115</v>
      </c>
      <c r="B594" s="11" t="str">
        <f aca="false">IF(A594&gt;$N$4,"YES","NO")</f>
        <v>NO</v>
      </c>
      <c r="C594" s="9" t="n">
        <v>24</v>
      </c>
      <c r="D594" s="9" t="str">
        <f aca="false">IF(C594&gt;$N$5,"YES","NO")</f>
        <v>NO</v>
      </c>
      <c r="E594" s="9" t="n">
        <v>42</v>
      </c>
      <c r="F594" s="9" t="str">
        <f aca="false">IF(E594&gt;$N$6,"YES","NO")</f>
        <v>NO</v>
      </c>
      <c r="G594" s="13" t="s">
        <v>13</v>
      </c>
    </row>
    <row r="595" customFormat="false" ht="15.75" hidden="false" customHeight="false" outlineLevel="0" collapsed="false">
      <c r="A595" s="11" t="n">
        <v>803.292</v>
      </c>
      <c r="B595" s="11" t="str">
        <f aca="false">IF(A595&gt;$N$4,"YES","NO")</f>
        <v>NO</v>
      </c>
      <c r="C595" s="9" t="n">
        <v>21</v>
      </c>
      <c r="D595" s="9" t="str">
        <f aca="false">IF(C595&gt;$N$5,"YES","NO")</f>
        <v>NO</v>
      </c>
      <c r="E595" s="9" t="n">
        <v>36</v>
      </c>
      <c r="F595" s="9" t="str">
        <f aca="false">IF(E595&gt;$N$6,"YES","NO")</f>
        <v>NO</v>
      </c>
      <c r="G595" s="13" t="s">
        <v>13</v>
      </c>
    </row>
    <row r="596" customFormat="false" ht="15.75" hidden="false" customHeight="false" outlineLevel="0" collapsed="false">
      <c r="A596" s="11" t="n">
        <v>1388.898</v>
      </c>
      <c r="B596" s="11" t="str">
        <f aca="false">IF(A596&gt;$N$4,"YES","NO")</f>
        <v>NO</v>
      </c>
      <c r="C596" s="9" t="n">
        <v>24</v>
      </c>
      <c r="D596" s="9" t="str">
        <f aca="false">IF(C596&gt;$N$5,"YES","NO")</f>
        <v>NO</v>
      </c>
      <c r="E596" s="9" t="n">
        <v>20</v>
      </c>
      <c r="F596" s="9" t="str">
        <f aca="false">IF(E596&gt;$N$6,"YES","NO")</f>
        <v>NO</v>
      </c>
      <c r="G596" s="13" t="s">
        <v>16</v>
      </c>
    </row>
    <row r="597" customFormat="false" ht="15.75" hidden="false" customHeight="false" outlineLevel="0" collapsed="false">
      <c r="A597" s="11" t="n">
        <v>693.938</v>
      </c>
      <c r="B597" s="11" t="str">
        <f aca="false">IF(A597&gt;$N$4,"YES","NO")</f>
        <v>NO</v>
      </c>
      <c r="C597" s="9" t="n">
        <v>24</v>
      </c>
      <c r="D597" s="9" t="str">
        <f aca="false">IF(C597&gt;$N$5,"YES","NO")</f>
        <v>NO</v>
      </c>
      <c r="E597" s="9" t="n">
        <v>40</v>
      </c>
      <c r="F597" s="9" t="str">
        <f aca="false">IF(E597&gt;$N$6,"YES","NO")</f>
        <v>NO</v>
      </c>
      <c r="G597" s="13" t="s">
        <v>16</v>
      </c>
    </row>
    <row r="598" customFormat="false" ht="15.75" hidden="false" customHeight="false" outlineLevel="0" collapsed="false">
      <c r="A598" s="11" t="n">
        <v>475.741</v>
      </c>
      <c r="B598" s="11" t="str">
        <f aca="false">IF(A598&gt;$N$4,"YES","NO")</f>
        <v>NO</v>
      </c>
      <c r="C598" s="9" t="n">
        <v>6</v>
      </c>
      <c r="D598" s="9" t="str">
        <f aca="false">IF(C598&gt;$N$5,"YES","NO")</f>
        <v>NO</v>
      </c>
      <c r="E598" s="9" t="n">
        <v>32</v>
      </c>
      <c r="F598" s="9" t="str">
        <f aca="false">IF(E598&gt;$N$6,"YES","NO")</f>
        <v>NO</v>
      </c>
      <c r="G598" s="13" t="s">
        <v>16</v>
      </c>
    </row>
    <row r="599" customFormat="false" ht="15.75" hidden="false" customHeight="false" outlineLevel="0" collapsed="false">
      <c r="A599" s="11" t="n">
        <v>736.862</v>
      </c>
      <c r="B599" s="11" t="str">
        <f aca="false">IF(A599&gt;$N$4,"YES","NO")</f>
        <v>NO</v>
      </c>
      <c r="C599" s="9" t="n">
        <v>24</v>
      </c>
      <c r="D599" s="9" t="str">
        <f aca="false">IF(C599&gt;$N$5,"YES","NO")</f>
        <v>NO</v>
      </c>
      <c r="E599" s="9" t="n">
        <v>23</v>
      </c>
      <c r="F599" s="9" t="str">
        <f aca="false">IF(E599&gt;$N$6,"YES","NO")</f>
        <v>NO</v>
      </c>
      <c r="G599" s="13" t="s">
        <v>16</v>
      </c>
    </row>
    <row r="600" customFormat="false" ht="15.75" hidden="false" customHeight="false" outlineLevel="0" collapsed="false">
      <c r="A600" s="11" t="n">
        <v>2167.151</v>
      </c>
      <c r="B600" s="11" t="str">
        <f aca="false">IF(A600&gt;$N$4,"YES","NO")</f>
        <v>NO</v>
      </c>
      <c r="C600" s="9" t="n">
        <v>24</v>
      </c>
      <c r="D600" s="9" t="str">
        <f aca="false">IF(C600&gt;$N$5,"YES","NO")</f>
        <v>NO</v>
      </c>
      <c r="E600" s="9" t="n">
        <v>36</v>
      </c>
      <c r="F600" s="9" t="str">
        <f aca="false">IF(E600&gt;$N$6,"YES","NO")</f>
        <v>NO</v>
      </c>
      <c r="G600" s="13" t="s">
        <v>16</v>
      </c>
    </row>
    <row r="601" customFormat="false" ht="15.75" hidden="false" customHeight="false" outlineLevel="0" collapsed="false">
      <c r="A601" s="11" t="n">
        <v>1418.025</v>
      </c>
      <c r="B601" s="11" t="str">
        <f aca="false">IF(A601&gt;$N$4,"YES","NO")</f>
        <v>NO</v>
      </c>
      <c r="C601" s="9" t="n">
        <v>18</v>
      </c>
      <c r="D601" s="9" t="str">
        <f aca="false">IF(C601&gt;$N$5,"YES","NO")</f>
        <v>NO</v>
      </c>
      <c r="E601" s="9" t="n">
        <v>31</v>
      </c>
      <c r="F601" s="9" t="str">
        <f aca="false">IF(E601&gt;$N$6,"YES","NO")</f>
        <v>NO</v>
      </c>
      <c r="G601" s="13" t="s">
        <v>16</v>
      </c>
    </row>
    <row r="602" customFormat="false" ht="15.75" hidden="false" customHeight="false" outlineLevel="0" collapsed="false">
      <c r="A602" s="11" t="n">
        <v>1973.993</v>
      </c>
      <c r="B602" s="11" t="str">
        <f aca="false">IF(A602&gt;$N$4,"YES","NO")</f>
        <v>NO</v>
      </c>
      <c r="C602" s="9" t="n">
        <v>24</v>
      </c>
      <c r="D602" s="9" t="str">
        <f aca="false">IF(C602&gt;$N$5,"YES","NO")</f>
        <v>NO</v>
      </c>
      <c r="E602" s="9" t="n">
        <v>32</v>
      </c>
      <c r="F602" s="9" t="str">
        <f aca="false">IF(E602&gt;$N$6,"YES","NO")</f>
        <v>NO</v>
      </c>
      <c r="G602" s="13" t="s">
        <v>13</v>
      </c>
    </row>
    <row r="603" customFormat="false" ht="15.75" hidden="false" customHeight="false" outlineLevel="0" collapsed="false">
      <c r="A603" s="11" t="n">
        <v>1190.119</v>
      </c>
      <c r="B603" s="11" t="str">
        <f aca="false">IF(A603&gt;$N$4,"YES","NO")</f>
        <v>NO</v>
      </c>
      <c r="C603" s="9" t="n">
        <v>7</v>
      </c>
      <c r="D603" s="9" t="str">
        <f aca="false">IF(C603&gt;$N$5,"YES","NO")</f>
        <v>NO</v>
      </c>
      <c r="E603" s="9" t="n">
        <v>45</v>
      </c>
      <c r="F603" s="9" t="str">
        <f aca="false">IF(E603&gt;$N$6,"YES","NO")</f>
        <v>NO</v>
      </c>
      <c r="G603" s="13" t="s">
        <v>13</v>
      </c>
    </row>
    <row r="604" customFormat="false" ht="15.75" hidden="false" customHeight="false" outlineLevel="0" collapsed="false">
      <c r="A604" s="11" t="n">
        <v>469.098</v>
      </c>
      <c r="B604" s="11" t="str">
        <f aca="false">IF(A604&gt;$N$4,"YES","NO")</f>
        <v>NO</v>
      </c>
      <c r="C604" s="9" t="n">
        <v>9</v>
      </c>
      <c r="D604" s="9" t="str">
        <f aca="false">IF(C604&gt;$N$5,"YES","NO")</f>
        <v>NO</v>
      </c>
      <c r="E604" s="9" t="n">
        <v>30</v>
      </c>
      <c r="F604" s="9" t="str">
        <f aca="false">IF(E604&gt;$N$6,"YES","NO")</f>
        <v>NO</v>
      </c>
      <c r="G604" s="13" t="s">
        <v>16</v>
      </c>
    </row>
    <row r="605" customFormat="false" ht="15.75" hidden="false" customHeight="false" outlineLevel="0" collapsed="false">
      <c r="A605" s="11" t="n">
        <v>938.707</v>
      </c>
      <c r="B605" s="11" t="str">
        <f aca="false">IF(A605&gt;$N$4,"YES","NO")</f>
        <v>NO</v>
      </c>
      <c r="C605" s="9" t="n">
        <v>24</v>
      </c>
      <c r="D605" s="9" t="str">
        <f aca="false">IF(C605&gt;$N$5,"YES","NO")</f>
        <v>NO</v>
      </c>
      <c r="E605" s="9" t="n">
        <v>34</v>
      </c>
      <c r="F605" s="9" t="str">
        <f aca="false">IF(E605&gt;$N$6,"YES","NO")</f>
        <v>NO</v>
      </c>
      <c r="G605" s="13" t="s">
        <v>16</v>
      </c>
    </row>
    <row r="606" customFormat="false" ht="15.75" hidden="false" customHeight="false" outlineLevel="0" collapsed="false">
      <c r="A606" s="11" t="n">
        <v>1711.339</v>
      </c>
      <c r="B606" s="11" t="str">
        <f aca="false">IF(A606&gt;$N$4,"YES","NO")</f>
        <v>NO</v>
      </c>
      <c r="C606" s="9" t="n">
        <v>36</v>
      </c>
      <c r="D606" s="9" t="str">
        <f aca="false">IF(C606&gt;$N$5,"YES","NO")</f>
        <v>NO</v>
      </c>
      <c r="E606" s="9" t="n">
        <v>28</v>
      </c>
      <c r="F606" s="9" t="str">
        <f aca="false">IF(E606&gt;$N$6,"YES","NO")</f>
        <v>NO</v>
      </c>
      <c r="G606" s="13" t="s">
        <v>16</v>
      </c>
    </row>
    <row r="607" customFormat="false" ht="15.75" hidden="false" customHeight="false" outlineLevel="0" collapsed="false">
      <c r="A607" s="11" t="n">
        <v>651.525</v>
      </c>
      <c r="B607" s="11" t="str">
        <f aca="false">IF(A607&gt;$N$4,"YES","NO")</f>
        <v>NO</v>
      </c>
      <c r="C607" s="9" t="n">
        <v>10</v>
      </c>
      <c r="D607" s="9" t="str">
        <f aca="false">IF(C607&gt;$N$5,"YES","NO")</f>
        <v>NO</v>
      </c>
      <c r="E607" s="9" t="n">
        <v>23</v>
      </c>
      <c r="F607" s="9" t="str">
        <f aca="false">IF(E607&gt;$N$6,"YES","NO")</f>
        <v>NO</v>
      </c>
      <c r="G607" s="13" t="s">
        <v>13</v>
      </c>
    </row>
    <row r="608" customFormat="false" ht="15.75" hidden="false" customHeight="false" outlineLevel="0" collapsed="false">
      <c r="A608" s="11" t="n">
        <v>1445.108</v>
      </c>
      <c r="B608" s="11" t="str">
        <f aca="false">IF(A608&gt;$N$4,"YES","NO")</f>
        <v>NO</v>
      </c>
      <c r="C608" s="9" t="n">
        <v>24</v>
      </c>
      <c r="D608" s="9" t="str">
        <f aca="false">IF(C608&gt;$N$5,"YES","NO")</f>
        <v>NO</v>
      </c>
      <c r="E608" s="9" t="n">
        <v>22</v>
      </c>
      <c r="F608" s="9" t="str">
        <f aca="false">IF(E608&gt;$N$6,"YES","NO")</f>
        <v>NO</v>
      </c>
      <c r="G608" s="13" t="s">
        <v>13</v>
      </c>
    </row>
    <row r="609" customFormat="false" ht="15.75" hidden="false" customHeight="false" outlineLevel="0" collapsed="false">
      <c r="A609" s="11" t="n">
        <v>2312.786</v>
      </c>
      <c r="B609" s="11" t="str">
        <f aca="false">IF(A609&gt;$N$4,"YES","NO")</f>
        <v>NO</v>
      </c>
      <c r="C609" s="9" t="n">
        <v>24</v>
      </c>
      <c r="D609" s="9" t="str">
        <f aca="false">IF(C609&gt;$N$5,"YES","NO")</f>
        <v>NO</v>
      </c>
      <c r="E609" s="9" t="n">
        <v>74</v>
      </c>
      <c r="F609" s="9" t="str">
        <f aca="false">IF(E609&gt;$N$6,"YES","NO")</f>
        <v>YES</v>
      </c>
      <c r="G609" s="13" t="s">
        <v>13</v>
      </c>
    </row>
    <row r="610" customFormat="false" ht="15.75" hidden="false" customHeight="false" outlineLevel="0" collapsed="false">
      <c r="A610" s="11" t="n">
        <v>1364.881</v>
      </c>
      <c r="B610" s="11" t="str">
        <f aca="false">IF(A610&gt;$N$4,"YES","NO")</f>
        <v>NO</v>
      </c>
      <c r="C610" s="9" t="n">
        <v>36</v>
      </c>
      <c r="D610" s="9" t="str">
        <f aca="false">IF(C610&gt;$N$5,"YES","NO")</f>
        <v>NO</v>
      </c>
      <c r="E610" s="9" t="n">
        <v>50</v>
      </c>
      <c r="F610" s="9" t="str">
        <f aca="false">IF(E610&gt;$N$6,"YES","NO")</f>
        <v>NO</v>
      </c>
      <c r="G610" s="13" t="s">
        <v>16</v>
      </c>
    </row>
    <row r="611" customFormat="false" ht="15.75" hidden="false" customHeight="false" outlineLevel="0" collapsed="false">
      <c r="A611" s="11" t="n">
        <v>1048.061</v>
      </c>
      <c r="B611" s="11" t="str">
        <f aca="false">IF(A611&gt;$N$4,"YES","NO")</f>
        <v>NO</v>
      </c>
      <c r="C611" s="9" t="n">
        <v>18</v>
      </c>
      <c r="D611" s="9" t="str">
        <f aca="false">IF(C611&gt;$N$5,"YES","NO")</f>
        <v>NO</v>
      </c>
      <c r="E611" s="9" t="n">
        <v>33</v>
      </c>
      <c r="F611" s="9" t="str">
        <f aca="false">IF(E611&gt;$N$6,"YES","NO")</f>
        <v>NO</v>
      </c>
      <c r="G611" s="13" t="s">
        <v>13</v>
      </c>
    </row>
    <row r="612" customFormat="false" ht="15.75" hidden="false" customHeight="false" outlineLevel="0" collapsed="false">
      <c r="A612" s="11" t="n">
        <v>664.3</v>
      </c>
      <c r="B612" s="11" t="str">
        <f aca="false">IF(A612&gt;$N$4,"YES","NO")</f>
        <v>NO</v>
      </c>
      <c r="C612" s="9" t="n">
        <v>15</v>
      </c>
      <c r="D612" s="9" t="str">
        <f aca="false">IF(C612&gt;$N$5,"YES","NO")</f>
        <v>NO</v>
      </c>
      <c r="E612" s="9" t="n">
        <v>45</v>
      </c>
      <c r="F612" s="9" t="str">
        <f aca="false">IF(E612&gt;$N$6,"YES","NO")</f>
        <v>NO</v>
      </c>
      <c r="G612" s="13" t="s">
        <v>13</v>
      </c>
    </row>
    <row r="613" customFormat="false" ht="15.75" hidden="false" customHeight="false" outlineLevel="0" collapsed="false">
      <c r="A613" s="11" t="n">
        <v>378.651</v>
      </c>
      <c r="B613" s="11" t="str">
        <f aca="false">IF(A613&gt;$N$4,"YES","NO")</f>
        <v>NO</v>
      </c>
      <c r="C613" s="9" t="n">
        <v>12</v>
      </c>
      <c r="D613" s="9" t="str">
        <f aca="false">IF(C613&gt;$N$5,"YES","NO")</f>
        <v>NO</v>
      </c>
      <c r="E613" s="9" t="n">
        <v>22</v>
      </c>
      <c r="F613" s="9" t="str">
        <f aca="false">IF(E613&gt;$N$6,"YES","NO")</f>
        <v>NO</v>
      </c>
      <c r="G613" s="13" t="s">
        <v>16</v>
      </c>
    </row>
    <row r="614" customFormat="false" ht="15.75" hidden="false" customHeight="false" outlineLevel="0" collapsed="false">
      <c r="A614" s="11" t="n">
        <v>633.64</v>
      </c>
      <c r="B614" s="11" t="str">
        <f aca="false">IF(A614&gt;$N$4,"YES","NO")</f>
        <v>NO</v>
      </c>
      <c r="C614" s="9" t="n">
        <v>10</v>
      </c>
      <c r="D614" s="9" t="str">
        <f aca="false">IF(C614&gt;$N$5,"YES","NO")</f>
        <v>NO</v>
      </c>
      <c r="E614" s="9" t="n">
        <v>48</v>
      </c>
      <c r="F614" s="9" t="str">
        <f aca="false">IF(E614&gt;$N$6,"YES","NO")</f>
        <v>NO</v>
      </c>
      <c r="G614" s="13" t="s">
        <v>16</v>
      </c>
    </row>
    <row r="615" customFormat="false" ht="15.75" hidden="false" customHeight="false" outlineLevel="0" collapsed="false">
      <c r="A615" s="11" t="n">
        <v>1715.427</v>
      </c>
      <c r="B615" s="11" t="str">
        <f aca="false">IF(A615&gt;$N$4,"YES","NO")</f>
        <v>NO</v>
      </c>
      <c r="C615" s="9" t="n">
        <v>21</v>
      </c>
      <c r="D615" s="9" t="str">
        <f aca="false">IF(C615&gt;$N$5,"YES","NO")</f>
        <v>NO</v>
      </c>
      <c r="E615" s="9" t="n">
        <v>29</v>
      </c>
      <c r="F615" s="9" t="str">
        <f aca="false">IF(E615&gt;$N$6,"YES","NO")</f>
        <v>NO</v>
      </c>
      <c r="G615" s="13" t="s">
        <v>13</v>
      </c>
    </row>
    <row r="616" customFormat="false" ht="15.75" hidden="false" customHeight="false" outlineLevel="0" collapsed="false">
      <c r="A616" s="11" t="n">
        <v>1855.952</v>
      </c>
      <c r="B616" s="11" t="str">
        <f aca="false">IF(A616&gt;$N$4,"YES","NO")</f>
        <v>NO</v>
      </c>
      <c r="C616" s="9" t="n">
        <v>24</v>
      </c>
      <c r="D616" s="9" t="str">
        <f aca="false">IF(C616&gt;$N$5,"YES","NO")</f>
        <v>NO</v>
      </c>
      <c r="E616" s="9" t="n">
        <v>22</v>
      </c>
      <c r="F616" s="9" t="str">
        <f aca="false">IF(E616&gt;$N$6,"YES","NO")</f>
        <v>NO</v>
      </c>
      <c r="G616" s="13" t="s">
        <v>13</v>
      </c>
    </row>
    <row r="617" customFormat="false" ht="15.75" hidden="false" customHeight="false" outlineLevel="0" collapsed="false">
      <c r="A617" s="11" t="n">
        <v>923.888</v>
      </c>
      <c r="B617" s="11" t="str">
        <f aca="false">IF(A617&gt;$N$4,"YES","NO")</f>
        <v>NO</v>
      </c>
      <c r="C617" s="9" t="n">
        <v>18</v>
      </c>
      <c r="D617" s="9" t="str">
        <f aca="false">IF(C617&gt;$N$5,"YES","NO")</f>
        <v>NO</v>
      </c>
      <c r="E617" s="9" t="n">
        <v>22</v>
      </c>
      <c r="F617" s="9" t="str">
        <f aca="false">IF(E617&gt;$N$6,"YES","NO")</f>
        <v>NO</v>
      </c>
      <c r="G617" s="13" t="s">
        <v>16</v>
      </c>
    </row>
    <row r="618" customFormat="false" ht="15.75" hidden="false" customHeight="false" outlineLevel="0" collapsed="false">
      <c r="A618" s="11" t="n">
        <v>6236.244</v>
      </c>
      <c r="B618" s="11" t="str">
        <f aca="false">IF(A618&gt;$N$4,"YES","NO")</f>
        <v>YES</v>
      </c>
      <c r="C618" s="9" t="n">
        <v>48</v>
      </c>
      <c r="D618" s="9" t="str">
        <f aca="false">IF(C618&gt;$N$5,"YES","NO")</f>
        <v>YES</v>
      </c>
      <c r="E618" s="9" t="n">
        <v>48</v>
      </c>
      <c r="F618" s="9" t="str">
        <f aca="false">IF(E618&gt;$N$6,"YES","NO")</f>
        <v>NO</v>
      </c>
      <c r="G618" s="13" t="s">
        <v>13</v>
      </c>
    </row>
    <row r="619" customFormat="false" ht="15.75" hidden="false" customHeight="false" outlineLevel="0" collapsed="false">
      <c r="A619" s="11" t="n">
        <v>4679.227</v>
      </c>
      <c r="B619" s="11" t="str">
        <f aca="false">IF(A619&gt;$N$4,"YES","NO")</f>
        <v>YES</v>
      </c>
      <c r="C619" s="9" t="n">
        <v>60</v>
      </c>
      <c r="D619" s="9" t="str">
        <f aca="false">IF(C619&gt;$N$5,"YES","NO")</f>
        <v>YES</v>
      </c>
      <c r="E619" s="9" t="n">
        <v>27</v>
      </c>
      <c r="F619" s="9" t="str">
        <f aca="false">IF(E619&gt;$N$6,"YES","NO")</f>
        <v>NO</v>
      </c>
      <c r="G619" s="13" t="s">
        <v>13</v>
      </c>
    </row>
    <row r="620" customFormat="false" ht="15.75" hidden="false" customHeight="false" outlineLevel="0" collapsed="false">
      <c r="A620" s="11" t="n">
        <v>1878.436</v>
      </c>
      <c r="B620" s="11" t="str">
        <f aca="false">IF(A620&gt;$N$4,"YES","NO")</f>
        <v>NO</v>
      </c>
      <c r="C620" s="9" t="n">
        <v>6</v>
      </c>
      <c r="D620" s="9" t="str">
        <f aca="false">IF(C620&gt;$N$5,"YES","NO")</f>
        <v>NO</v>
      </c>
      <c r="E620" s="9" t="n">
        <v>37</v>
      </c>
      <c r="F620" s="9" t="str">
        <f aca="false">IF(E620&gt;$N$6,"YES","NO")</f>
        <v>NO</v>
      </c>
      <c r="G620" s="13" t="s">
        <v>13</v>
      </c>
    </row>
    <row r="621" customFormat="false" ht="15.75" hidden="false" customHeight="false" outlineLevel="0" collapsed="false">
      <c r="A621" s="11" t="n">
        <v>1758.351</v>
      </c>
      <c r="B621" s="11" t="str">
        <f aca="false">IF(A621&gt;$N$4,"YES","NO")</f>
        <v>NO</v>
      </c>
      <c r="C621" s="9" t="n">
        <v>30</v>
      </c>
      <c r="D621" s="9" t="str">
        <f aca="false">IF(C621&gt;$N$5,"YES","NO")</f>
        <v>NO</v>
      </c>
      <c r="E621" s="9" t="n">
        <v>21</v>
      </c>
      <c r="F621" s="9" t="str">
        <f aca="false">IF(E621&gt;$N$6,"YES","NO")</f>
        <v>NO</v>
      </c>
      <c r="G621" s="13" t="s">
        <v>16</v>
      </c>
    </row>
    <row r="622" customFormat="false" ht="15.75" hidden="false" customHeight="false" outlineLevel="0" collapsed="false">
      <c r="A622" s="11" t="n">
        <v>327.04</v>
      </c>
      <c r="B622" s="11" t="str">
        <f aca="false">IF(A622&gt;$N$4,"YES","NO")</f>
        <v>NO</v>
      </c>
      <c r="C622" s="9" t="n">
        <v>12</v>
      </c>
      <c r="D622" s="9" t="str">
        <f aca="false">IF(C622&gt;$N$5,"YES","NO")</f>
        <v>NO</v>
      </c>
      <c r="E622" s="9" t="n">
        <v>49</v>
      </c>
      <c r="F622" s="9" t="str">
        <f aca="false">IF(E622&gt;$N$6,"YES","NO")</f>
        <v>NO</v>
      </c>
      <c r="G622" s="13" t="s">
        <v>13</v>
      </c>
    </row>
    <row r="623" customFormat="false" ht="15.75" hidden="false" customHeight="false" outlineLevel="0" collapsed="false">
      <c r="A623" s="11" t="n">
        <v>1866.172</v>
      </c>
      <c r="B623" s="11" t="str">
        <f aca="false">IF(A623&gt;$N$4,"YES","NO")</f>
        <v>NO</v>
      </c>
      <c r="C623" s="9" t="n">
        <v>21</v>
      </c>
      <c r="D623" s="9" t="str">
        <f aca="false">IF(C623&gt;$N$5,"YES","NO")</f>
        <v>NO</v>
      </c>
      <c r="E623" s="9" t="n">
        <v>27</v>
      </c>
      <c r="F623" s="9" t="str">
        <f aca="false">IF(E623&gt;$N$6,"YES","NO")</f>
        <v>NO</v>
      </c>
      <c r="G623" s="13" t="s">
        <v>13</v>
      </c>
    </row>
    <row r="624" customFormat="false" ht="15.75" hidden="false" customHeight="false" outlineLevel="0" collapsed="false">
      <c r="A624" s="11" t="n">
        <v>781.83</v>
      </c>
      <c r="B624" s="11" t="str">
        <f aca="false">IF(A624&gt;$N$4,"YES","NO")</f>
        <v>NO</v>
      </c>
      <c r="C624" s="9" t="n">
        <v>18</v>
      </c>
      <c r="D624" s="9" t="str">
        <f aca="false">IF(C624&gt;$N$5,"YES","NO")</f>
        <v>NO</v>
      </c>
      <c r="E624" s="9" t="n">
        <v>32</v>
      </c>
      <c r="F624" s="9" t="str">
        <f aca="false">IF(E624&gt;$N$6,"YES","NO")</f>
        <v>NO</v>
      </c>
      <c r="G624" s="13" t="s">
        <v>16</v>
      </c>
    </row>
    <row r="625" customFormat="false" ht="15.75" hidden="false" customHeight="false" outlineLevel="0" collapsed="false">
      <c r="A625" s="11" t="n">
        <v>2000.054</v>
      </c>
      <c r="B625" s="11" t="str">
        <f aca="false">IF(A625&gt;$N$4,"YES","NO")</f>
        <v>NO</v>
      </c>
      <c r="C625" s="9" t="n">
        <v>48</v>
      </c>
      <c r="D625" s="9" t="str">
        <f aca="false">IF(C625&gt;$N$5,"YES","NO")</f>
        <v>YES</v>
      </c>
      <c r="E625" s="9" t="n">
        <v>38</v>
      </c>
      <c r="F625" s="9" t="str">
        <f aca="false">IF(E625&gt;$N$6,"YES","NO")</f>
        <v>NO</v>
      </c>
      <c r="G625" s="13" t="s">
        <v>16</v>
      </c>
    </row>
    <row r="626" customFormat="false" ht="15.75" hidden="false" customHeight="false" outlineLevel="0" collapsed="false">
      <c r="A626" s="11" t="n">
        <v>949.438</v>
      </c>
      <c r="B626" s="11" t="str">
        <f aca="false">IF(A626&gt;$N$4,"YES","NO")</f>
        <v>NO</v>
      </c>
      <c r="C626" s="9" t="n">
        <v>12</v>
      </c>
      <c r="D626" s="9" t="str">
        <f aca="false">IF(C626&gt;$N$5,"YES","NO")</f>
        <v>NO</v>
      </c>
      <c r="E626" s="9" t="n">
        <v>22</v>
      </c>
      <c r="F626" s="9" t="str">
        <f aca="false">IF(E626&gt;$N$6,"YES","NO")</f>
        <v>NO</v>
      </c>
      <c r="G626" s="13" t="s">
        <v>13</v>
      </c>
    </row>
    <row r="627" customFormat="false" ht="15.75" hidden="false" customHeight="false" outlineLevel="0" collapsed="false">
      <c r="A627" s="11" t="n">
        <v>1328.6</v>
      </c>
      <c r="B627" s="11" t="str">
        <f aca="false">IF(A627&gt;$N$4,"YES","NO")</f>
        <v>NO</v>
      </c>
      <c r="C627" s="9" t="n">
        <v>18</v>
      </c>
      <c r="D627" s="9" t="str">
        <f aca="false">IF(C627&gt;$N$5,"YES","NO")</f>
        <v>NO</v>
      </c>
      <c r="E627" s="9" t="n">
        <v>65</v>
      </c>
      <c r="F627" s="9" t="str">
        <f aca="false">IF(E627&gt;$N$6,"YES","NO")</f>
        <v>YES</v>
      </c>
      <c r="G627" s="13" t="s">
        <v>16</v>
      </c>
    </row>
    <row r="628" customFormat="false" ht="15.75" hidden="false" customHeight="false" outlineLevel="0" collapsed="false">
      <c r="A628" s="11" t="n">
        <v>1011.269</v>
      </c>
      <c r="B628" s="11" t="str">
        <f aca="false">IF(A628&gt;$N$4,"YES","NO")</f>
        <v>NO</v>
      </c>
      <c r="C628" s="9" t="n">
        <v>15</v>
      </c>
      <c r="D628" s="9" t="str">
        <f aca="false">IF(C628&gt;$N$5,"YES","NO")</f>
        <v>NO</v>
      </c>
      <c r="E628" s="9" t="n">
        <v>35</v>
      </c>
      <c r="F628" s="9" t="str">
        <f aca="false">IF(E628&gt;$N$6,"YES","NO")</f>
        <v>NO</v>
      </c>
      <c r="G628" s="13" t="s">
        <v>13</v>
      </c>
    </row>
    <row r="629" customFormat="false" ht="15.75" hidden="false" customHeight="false" outlineLevel="0" collapsed="false">
      <c r="A629" s="11" t="n">
        <v>1081.276</v>
      </c>
      <c r="B629" s="11" t="str">
        <f aca="false">IF(A629&gt;$N$4,"YES","NO")</f>
        <v>NO</v>
      </c>
      <c r="C629" s="9" t="n">
        <v>6</v>
      </c>
      <c r="D629" s="9" t="str">
        <f aca="false">IF(C629&gt;$N$5,"YES","NO")</f>
        <v>NO</v>
      </c>
      <c r="E629" s="9" t="n">
        <v>41</v>
      </c>
      <c r="F629" s="9" t="str">
        <f aca="false">IF(E629&gt;$N$6,"YES","NO")</f>
        <v>NO</v>
      </c>
      <c r="G629" s="13" t="s">
        <v>13</v>
      </c>
    </row>
    <row r="630" customFormat="false" ht="15.75" hidden="false" customHeight="false" outlineLevel="0" collapsed="false">
      <c r="A630" s="11" t="n">
        <v>734.307</v>
      </c>
      <c r="B630" s="11" t="str">
        <f aca="false">IF(A630&gt;$N$4,"YES","NO")</f>
        <v>NO</v>
      </c>
      <c r="C630" s="9" t="n">
        <v>9</v>
      </c>
      <c r="D630" s="9" t="str">
        <f aca="false">IF(C630&gt;$N$5,"YES","NO")</f>
        <v>NO</v>
      </c>
      <c r="E630" s="9" t="n">
        <v>29</v>
      </c>
      <c r="F630" s="9" t="str">
        <f aca="false">IF(E630&gt;$N$6,"YES","NO")</f>
        <v>NO</v>
      </c>
      <c r="G630" s="13" t="s">
        <v>16</v>
      </c>
    </row>
    <row r="631" customFormat="false" ht="15.75" hidden="false" customHeight="false" outlineLevel="0" collapsed="false">
      <c r="A631" s="11" t="n">
        <v>2065.462</v>
      </c>
      <c r="B631" s="11" t="str">
        <f aca="false">IF(A631&gt;$N$4,"YES","NO")</f>
        <v>NO</v>
      </c>
      <c r="C631" s="9" t="n">
        <v>42</v>
      </c>
      <c r="D631" s="9" t="str">
        <f aca="false">IF(C631&gt;$N$5,"YES","NO")</f>
        <v>NO</v>
      </c>
      <c r="E631" s="9" t="n">
        <v>36</v>
      </c>
      <c r="F631" s="9" t="str">
        <f aca="false">IF(E631&gt;$N$6,"YES","NO")</f>
        <v>NO</v>
      </c>
      <c r="G631" s="13" t="s">
        <v>13</v>
      </c>
    </row>
    <row r="632" customFormat="false" ht="15.75" hidden="false" customHeight="false" outlineLevel="0" collapsed="false">
      <c r="A632" s="11" t="n">
        <v>1958.152</v>
      </c>
      <c r="B632" s="11" t="str">
        <f aca="false">IF(A632&gt;$N$4,"YES","NO")</f>
        <v>NO</v>
      </c>
      <c r="C632" s="9" t="n">
        <v>9</v>
      </c>
      <c r="D632" s="9" t="str">
        <f aca="false">IF(C632&gt;$N$5,"YES","NO")</f>
        <v>NO</v>
      </c>
      <c r="E632" s="9" t="n">
        <v>64</v>
      </c>
      <c r="F632" s="9" t="str">
        <f aca="false">IF(E632&gt;$N$6,"YES","NO")</f>
        <v>NO</v>
      </c>
      <c r="G632" s="13" t="s">
        <v>13</v>
      </c>
    </row>
    <row r="633" customFormat="false" ht="15.75" hidden="false" customHeight="false" outlineLevel="0" collapsed="false">
      <c r="A633" s="11" t="n">
        <v>1870.26</v>
      </c>
      <c r="B633" s="11" t="str">
        <f aca="false">IF(A633&gt;$N$4,"YES","NO")</f>
        <v>NO</v>
      </c>
      <c r="C633" s="9" t="n">
        <v>24</v>
      </c>
      <c r="D633" s="9" t="str">
        <f aca="false">IF(C633&gt;$N$5,"YES","NO")</f>
        <v>NO</v>
      </c>
      <c r="E633" s="9" t="n">
        <v>28</v>
      </c>
      <c r="F633" s="9" t="str">
        <f aca="false">IF(E633&gt;$N$6,"YES","NO")</f>
        <v>NO</v>
      </c>
      <c r="G633" s="13" t="s">
        <v>13</v>
      </c>
    </row>
    <row r="634" customFormat="false" ht="15.75" hidden="false" customHeight="false" outlineLevel="0" collapsed="false">
      <c r="A634" s="11" t="n">
        <v>793.583</v>
      </c>
      <c r="B634" s="11" t="str">
        <f aca="false">IF(A634&gt;$N$4,"YES","NO")</f>
        <v>NO</v>
      </c>
      <c r="C634" s="9" t="n">
        <v>18</v>
      </c>
      <c r="D634" s="9" t="str">
        <f aca="false">IF(C634&gt;$N$5,"YES","NO")</f>
        <v>NO</v>
      </c>
      <c r="E634" s="9" t="n">
        <v>44</v>
      </c>
      <c r="F634" s="9" t="str">
        <f aca="false">IF(E634&gt;$N$6,"YES","NO")</f>
        <v>NO</v>
      </c>
      <c r="G634" s="13" t="s">
        <v>16</v>
      </c>
    </row>
    <row r="635" customFormat="false" ht="15.75" hidden="false" customHeight="false" outlineLevel="0" collapsed="false">
      <c r="A635" s="11" t="n">
        <v>737.884</v>
      </c>
      <c r="B635" s="11" t="str">
        <f aca="false">IF(A635&gt;$N$4,"YES","NO")</f>
        <v>NO</v>
      </c>
      <c r="C635" s="9" t="n">
        <v>15</v>
      </c>
      <c r="D635" s="9" t="str">
        <f aca="false">IF(C635&gt;$N$5,"YES","NO")</f>
        <v>NO</v>
      </c>
      <c r="E635" s="9" t="n">
        <v>23</v>
      </c>
      <c r="F635" s="9" t="str">
        <f aca="false">IF(E635&gt;$N$6,"YES","NO")</f>
        <v>NO</v>
      </c>
      <c r="G635" s="13" t="s">
        <v>13</v>
      </c>
    </row>
    <row r="636" customFormat="false" ht="15.75" hidden="false" customHeight="false" outlineLevel="0" collapsed="false">
      <c r="A636" s="11" t="n">
        <v>1011.78</v>
      </c>
      <c r="B636" s="11" t="str">
        <f aca="false">IF(A636&gt;$N$4,"YES","NO")</f>
        <v>NO</v>
      </c>
      <c r="C636" s="9" t="n">
        <v>9</v>
      </c>
      <c r="D636" s="9" t="str">
        <f aca="false">IF(C636&gt;$N$5,"YES","NO")</f>
        <v>NO</v>
      </c>
      <c r="E636" s="9" t="n">
        <v>19</v>
      </c>
      <c r="F636" s="9" t="str">
        <f aca="false">IF(E636&gt;$N$6,"YES","NO")</f>
        <v>NO</v>
      </c>
      <c r="G636" s="13" t="s">
        <v>16</v>
      </c>
    </row>
    <row r="637" customFormat="false" ht="15.75" hidden="false" customHeight="false" outlineLevel="0" collapsed="false">
      <c r="A637" s="11" t="n">
        <v>692.405</v>
      </c>
      <c r="B637" s="11" t="str">
        <f aca="false">IF(A637&gt;$N$4,"YES","NO")</f>
        <v>NO</v>
      </c>
      <c r="C637" s="9" t="n">
        <v>24</v>
      </c>
      <c r="D637" s="9" t="str">
        <f aca="false">IF(C637&gt;$N$5,"YES","NO")</f>
        <v>NO</v>
      </c>
      <c r="E637" s="9" t="n">
        <v>25</v>
      </c>
      <c r="F637" s="9" t="str">
        <f aca="false">IF(E637&gt;$N$6,"YES","NO")</f>
        <v>NO</v>
      </c>
      <c r="G637" s="13" t="s">
        <v>16</v>
      </c>
    </row>
    <row r="638" customFormat="false" ht="15.75" hidden="false" customHeight="false" outlineLevel="0" collapsed="false">
      <c r="A638" s="11" t="n">
        <v>711.823</v>
      </c>
      <c r="B638" s="11" t="str">
        <f aca="false">IF(A638&gt;$N$4,"YES","NO")</f>
        <v>NO</v>
      </c>
      <c r="C638" s="9" t="n">
        <v>12</v>
      </c>
      <c r="D638" s="9" t="str">
        <f aca="false">IF(C638&gt;$N$5,"YES","NO")</f>
        <v>NO</v>
      </c>
      <c r="E638" s="9" t="n">
        <v>47</v>
      </c>
      <c r="F638" s="9" t="str">
        <f aca="false">IF(E638&gt;$N$6,"YES","NO")</f>
        <v>NO</v>
      </c>
      <c r="G638" s="13" t="s">
        <v>13</v>
      </c>
    </row>
    <row r="639" customFormat="false" ht="15.75" hidden="false" customHeight="false" outlineLevel="0" collapsed="false">
      <c r="A639" s="11" t="n">
        <v>703.136</v>
      </c>
      <c r="B639" s="11" t="str">
        <f aca="false">IF(A639&gt;$N$4,"YES","NO")</f>
        <v>NO</v>
      </c>
      <c r="C639" s="9" t="n">
        <v>24</v>
      </c>
      <c r="D639" s="9" t="str">
        <f aca="false">IF(C639&gt;$N$5,"YES","NO")</f>
        <v>NO</v>
      </c>
      <c r="E639" s="9" t="n">
        <v>28</v>
      </c>
      <c r="F639" s="9" t="str">
        <f aca="false">IF(E639&gt;$N$6,"YES","NO")</f>
        <v>NO</v>
      </c>
      <c r="G639" s="13" t="s">
        <v>13</v>
      </c>
    </row>
    <row r="640" customFormat="false" ht="15.75" hidden="false" customHeight="false" outlineLevel="0" collapsed="false">
      <c r="A640" s="11" t="n">
        <v>7998.683</v>
      </c>
      <c r="B640" s="11" t="str">
        <f aca="false">IF(A640&gt;$N$4,"YES","NO")</f>
        <v>YES</v>
      </c>
      <c r="C640" s="9" t="n">
        <v>60</v>
      </c>
      <c r="D640" s="9" t="str">
        <f aca="false">IF(C640&gt;$N$5,"YES","NO")</f>
        <v>YES</v>
      </c>
      <c r="E640" s="9" t="n">
        <v>21</v>
      </c>
      <c r="F640" s="9" t="str">
        <f aca="false">IF(E640&gt;$N$6,"YES","NO")</f>
        <v>NO</v>
      </c>
      <c r="G640" s="13" t="s">
        <v>13</v>
      </c>
    </row>
    <row r="641" customFormat="false" ht="15.75" hidden="false" customHeight="false" outlineLevel="0" collapsed="false">
      <c r="A641" s="11" t="n">
        <v>762.923</v>
      </c>
      <c r="B641" s="11" t="str">
        <f aca="false">IF(A641&gt;$N$4,"YES","NO")</f>
        <v>NO</v>
      </c>
      <c r="C641" s="9" t="n">
        <v>12</v>
      </c>
      <c r="D641" s="9" t="str">
        <f aca="false">IF(C641&gt;$N$5,"YES","NO")</f>
        <v>NO</v>
      </c>
      <c r="E641" s="9" t="n">
        <v>34</v>
      </c>
      <c r="F641" s="9" t="str">
        <f aca="false">IF(E641&gt;$N$6,"YES","NO")</f>
        <v>NO</v>
      </c>
      <c r="G641" s="13" t="s">
        <v>13</v>
      </c>
    </row>
    <row r="642" customFormat="false" ht="15.75" hidden="false" customHeight="false" outlineLevel="0" collapsed="false">
      <c r="A642" s="11" t="n">
        <v>2233.07</v>
      </c>
      <c r="B642" s="11" t="str">
        <f aca="false">IF(A642&gt;$N$4,"YES","NO")</f>
        <v>NO</v>
      </c>
      <c r="C642" s="9" t="n">
        <v>42</v>
      </c>
      <c r="D642" s="9" t="str">
        <f aca="false">IF(C642&gt;$N$5,"YES","NO")</f>
        <v>NO</v>
      </c>
      <c r="E642" s="9" t="n">
        <v>26</v>
      </c>
      <c r="F642" s="9" t="str">
        <f aca="false">IF(E642&gt;$N$6,"YES","NO")</f>
        <v>NO</v>
      </c>
      <c r="G642" s="13" t="s">
        <v>16</v>
      </c>
    </row>
    <row r="643" customFormat="false" ht="15.75" hidden="false" customHeight="false" outlineLevel="0" collapsed="false">
      <c r="A643" s="11" t="n">
        <v>383.25</v>
      </c>
      <c r="B643" s="11" t="str">
        <f aca="false">IF(A643&gt;$N$4,"YES","NO")</f>
        <v>NO</v>
      </c>
      <c r="C643" s="9" t="n">
        <v>18</v>
      </c>
      <c r="D643" s="9" t="str">
        <f aca="false">IF(C643&gt;$N$5,"YES","NO")</f>
        <v>NO</v>
      </c>
      <c r="E643" s="9" t="n">
        <v>27</v>
      </c>
      <c r="F643" s="9" t="str">
        <f aca="false">IF(E643&gt;$N$6,"YES","NO")</f>
        <v>NO</v>
      </c>
      <c r="G643" s="13" t="s">
        <v>16</v>
      </c>
    </row>
    <row r="644" customFormat="false" ht="15.75" hidden="false" customHeight="false" outlineLevel="0" collapsed="false">
      <c r="A644" s="11" t="n">
        <v>668.388</v>
      </c>
      <c r="B644" s="11" t="str">
        <f aca="false">IF(A644&gt;$N$4,"YES","NO")</f>
        <v>NO</v>
      </c>
      <c r="C644" s="9" t="n">
        <v>15</v>
      </c>
      <c r="D644" s="9" t="str">
        <f aca="false">IF(C644&gt;$N$5,"YES","NO")</f>
        <v>NO</v>
      </c>
      <c r="E644" s="9" t="n">
        <v>38</v>
      </c>
      <c r="F644" s="9" t="str">
        <f aca="false">IF(E644&gt;$N$6,"YES","NO")</f>
        <v>NO</v>
      </c>
      <c r="G644" s="13" t="s">
        <v>13</v>
      </c>
    </row>
    <row r="645" customFormat="false" ht="15.75" hidden="false" customHeight="false" outlineLevel="0" collapsed="false">
      <c r="A645" s="11" t="n">
        <v>2362.353</v>
      </c>
      <c r="B645" s="11" t="str">
        <f aca="false">IF(A645&gt;$N$4,"YES","NO")</f>
        <v>NO</v>
      </c>
      <c r="C645" s="9" t="n">
        <v>15</v>
      </c>
      <c r="D645" s="9" t="str">
        <f aca="false">IF(C645&gt;$N$5,"YES","NO")</f>
        <v>NO</v>
      </c>
      <c r="E645" s="9" t="n">
        <v>40</v>
      </c>
      <c r="F645" s="9" t="str">
        <f aca="false">IF(E645&gt;$N$6,"YES","NO")</f>
        <v>NO</v>
      </c>
      <c r="G645" s="13" t="s">
        <v>16</v>
      </c>
    </row>
    <row r="646" customFormat="false" ht="15.75" hidden="false" customHeight="false" outlineLevel="0" collapsed="false">
      <c r="A646" s="11" t="n">
        <v>945.861</v>
      </c>
      <c r="B646" s="11" t="str">
        <f aca="false">IF(A646&gt;$N$4,"YES","NO")</f>
        <v>NO</v>
      </c>
      <c r="C646" s="9" t="n">
        <v>24</v>
      </c>
      <c r="D646" s="9" t="str">
        <f aca="false">IF(C646&gt;$N$5,"YES","NO")</f>
        <v>NO</v>
      </c>
      <c r="E646" s="9" t="n">
        <v>33</v>
      </c>
      <c r="F646" s="9" t="str">
        <f aca="false">IF(E646&gt;$N$6,"YES","NO")</f>
        <v>NO</v>
      </c>
      <c r="G646" s="13" t="s">
        <v>13</v>
      </c>
    </row>
    <row r="647" customFormat="false" ht="15.75" hidden="false" customHeight="false" outlineLevel="0" collapsed="false">
      <c r="A647" s="11" t="n">
        <v>960.68</v>
      </c>
      <c r="B647" s="11" t="str">
        <f aca="false">IF(A647&gt;$N$4,"YES","NO")</f>
        <v>NO</v>
      </c>
      <c r="C647" s="9" t="n">
        <v>18</v>
      </c>
      <c r="D647" s="9" t="str">
        <f aca="false">IF(C647&gt;$N$5,"YES","NO")</f>
        <v>NO</v>
      </c>
      <c r="E647" s="9" t="n">
        <v>32</v>
      </c>
      <c r="F647" s="9" t="str">
        <f aca="false">IF(E647&gt;$N$6,"YES","NO")</f>
        <v>NO</v>
      </c>
      <c r="G647" s="13" t="s">
        <v>13</v>
      </c>
    </row>
    <row r="648" customFormat="false" ht="15.75" hidden="false" customHeight="false" outlineLevel="0" collapsed="false">
      <c r="A648" s="11" t="n">
        <v>4077.78</v>
      </c>
      <c r="B648" s="11" t="str">
        <f aca="false">IF(A648&gt;$N$4,"YES","NO")</f>
        <v>YES</v>
      </c>
      <c r="C648" s="9" t="n">
        <v>36</v>
      </c>
      <c r="D648" s="9" t="str">
        <f aca="false">IF(C648&gt;$N$5,"YES","NO")</f>
        <v>NO</v>
      </c>
      <c r="E648" s="9" t="n">
        <v>27</v>
      </c>
      <c r="F648" s="9" t="str">
        <f aca="false">IF(E648&gt;$N$6,"YES","NO")</f>
        <v>NO</v>
      </c>
      <c r="G648" s="13" t="s">
        <v>16</v>
      </c>
    </row>
    <row r="649" customFormat="false" ht="15.75" hidden="false" customHeight="false" outlineLevel="0" collapsed="false">
      <c r="A649" s="11" t="n">
        <v>2341.913</v>
      </c>
      <c r="B649" s="11" t="str">
        <f aca="false">IF(A649&gt;$N$4,"YES","NO")</f>
        <v>NO</v>
      </c>
      <c r="C649" s="9" t="n">
        <v>30</v>
      </c>
      <c r="D649" s="9" t="str">
        <f aca="false">IF(C649&gt;$N$5,"YES","NO")</f>
        <v>NO</v>
      </c>
      <c r="E649" s="9" t="n">
        <v>32</v>
      </c>
      <c r="F649" s="9" t="str">
        <f aca="false">IF(E649&gt;$N$6,"YES","NO")</f>
        <v>NO</v>
      </c>
      <c r="G649" s="13" t="s">
        <v>13</v>
      </c>
    </row>
    <row r="650" customFormat="false" ht="15.75" hidden="false" customHeight="false" outlineLevel="0" collapsed="false">
      <c r="A650" s="11" t="n">
        <v>708.246</v>
      </c>
      <c r="B650" s="11" t="str">
        <f aca="false">IF(A650&gt;$N$4,"YES","NO")</f>
        <v>NO</v>
      </c>
      <c r="C650" s="9" t="n">
        <v>12</v>
      </c>
      <c r="D650" s="9" t="str">
        <f aca="false">IF(C650&gt;$N$5,"YES","NO")</f>
        <v>NO</v>
      </c>
      <c r="E650" s="9" t="n">
        <v>26</v>
      </c>
      <c r="F650" s="9" t="str">
        <f aca="false">IF(E650&gt;$N$6,"YES","NO")</f>
        <v>NO</v>
      </c>
      <c r="G650" s="13" t="s">
        <v>16</v>
      </c>
    </row>
    <row r="651" customFormat="false" ht="15.75" hidden="false" customHeight="false" outlineLevel="0" collapsed="false">
      <c r="A651" s="11" t="n">
        <v>483.917</v>
      </c>
      <c r="B651" s="11" t="str">
        <f aca="false">IF(A651&gt;$N$4,"YES","NO")</f>
        <v>NO</v>
      </c>
      <c r="C651" s="9" t="n">
        <v>24</v>
      </c>
      <c r="D651" s="9" t="str">
        <f aca="false">IF(C651&gt;$N$5,"YES","NO")</f>
        <v>NO</v>
      </c>
      <c r="E651" s="9" t="n">
        <v>38</v>
      </c>
      <c r="F651" s="9" t="str">
        <f aca="false">IF(E651&gt;$N$6,"YES","NO")</f>
        <v>NO</v>
      </c>
      <c r="G651" s="13" t="s">
        <v>16</v>
      </c>
    </row>
    <row r="652" customFormat="false" ht="15.75" hidden="false" customHeight="false" outlineLevel="0" collapsed="false">
      <c r="A652" s="11" t="n">
        <v>349.524</v>
      </c>
      <c r="B652" s="11" t="str">
        <f aca="false">IF(A652&gt;$N$4,"YES","NO")</f>
        <v>NO</v>
      </c>
      <c r="C652" s="9" t="n">
        <v>12</v>
      </c>
      <c r="D652" s="9" t="str">
        <f aca="false">IF(C652&gt;$N$5,"YES","NO")</f>
        <v>NO</v>
      </c>
      <c r="E652" s="9" t="n">
        <v>40</v>
      </c>
      <c r="F652" s="9" t="str">
        <f aca="false">IF(E652&gt;$N$6,"YES","NO")</f>
        <v>NO</v>
      </c>
      <c r="G652" s="13" t="s">
        <v>16</v>
      </c>
    </row>
    <row r="653" customFormat="false" ht="15.75" hidden="false" customHeight="false" outlineLevel="0" collapsed="false">
      <c r="A653" s="11" t="n">
        <v>3820.236</v>
      </c>
      <c r="B653" s="11" t="str">
        <f aca="false">IF(A653&gt;$N$4,"YES","NO")</f>
        <v>NO</v>
      </c>
      <c r="C653" s="9" t="n">
        <v>48</v>
      </c>
      <c r="D653" s="9" t="str">
        <f aca="false">IF(C653&gt;$N$5,"YES","NO")</f>
        <v>YES</v>
      </c>
      <c r="E653" s="9" t="n">
        <v>50</v>
      </c>
      <c r="F653" s="9" t="str">
        <f aca="false">IF(E653&gt;$N$6,"YES","NO")</f>
        <v>NO</v>
      </c>
      <c r="G653" s="13" t="s">
        <v>13</v>
      </c>
    </row>
    <row r="654" customFormat="false" ht="15.75" hidden="false" customHeight="false" outlineLevel="0" collapsed="false">
      <c r="A654" s="11" t="n">
        <v>982.142</v>
      </c>
      <c r="B654" s="11" t="str">
        <f aca="false">IF(A654&gt;$N$4,"YES","NO")</f>
        <v>NO</v>
      </c>
      <c r="C654" s="9" t="n">
        <v>12</v>
      </c>
      <c r="D654" s="9" t="str">
        <f aca="false">IF(C654&gt;$N$5,"YES","NO")</f>
        <v>NO</v>
      </c>
      <c r="E654" s="9" t="n">
        <v>37</v>
      </c>
      <c r="F654" s="9" t="str">
        <f aca="false">IF(E654&gt;$N$6,"YES","NO")</f>
        <v>NO</v>
      </c>
      <c r="G654" s="13" t="s">
        <v>16</v>
      </c>
    </row>
    <row r="655" customFormat="false" ht="15.75" hidden="false" customHeight="false" outlineLevel="0" collapsed="false">
      <c r="A655" s="11" t="n">
        <v>1176.833</v>
      </c>
      <c r="B655" s="11" t="str">
        <f aca="false">IF(A655&gt;$N$4,"YES","NO")</f>
        <v>NO</v>
      </c>
      <c r="C655" s="9" t="n">
        <v>24</v>
      </c>
      <c r="D655" s="9" t="str">
        <f aca="false">IF(C655&gt;$N$5,"YES","NO")</f>
        <v>NO</v>
      </c>
      <c r="E655" s="9" t="n">
        <v>45</v>
      </c>
      <c r="F655" s="9" t="str">
        <f aca="false">IF(E655&gt;$N$6,"YES","NO")</f>
        <v>NO</v>
      </c>
      <c r="G655" s="13" t="s">
        <v>16</v>
      </c>
    </row>
    <row r="656" customFormat="false" ht="15.75" hidden="false" customHeight="false" outlineLevel="0" collapsed="false">
      <c r="A656" s="11" t="n">
        <v>4131.946</v>
      </c>
      <c r="B656" s="11" t="str">
        <f aca="false">IF(A656&gt;$N$4,"YES","NO")</f>
        <v>YES</v>
      </c>
      <c r="C656" s="9" t="n">
        <v>36</v>
      </c>
      <c r="D656" s="9" t="str">
        <f aca="false">IF(C656&gt;$N$5,"YES","NO")</f>
        <v>NO</v>
      </c>
      <c r="E656" s="9" t="n">
        <v>42</v>
      </c>
      <c r="F656" s="9" t="str">
        <f aca="false">IF(E656&gt;$N$6,"YES","NO")</f>
        <v>NO</v>
      </c>
      <c r="G656" s="13" t="s">
        <v>16</v>
      </c>
    </row>
    <row r="657" customFormat="false" ht="15.75" hidden="false" customHeight="false" outlineLevel="0" collapsed="false">
      <c r="A657" s="11" t="n">
        <v>1198.806</v>
      </c>
      <c r="B657" s="11" t="str">
        <f aca="false">IF(A657&gt;$N$4,"YES","NO")</f>
        <v>NO</v>
      </c>
      <c r="C657" s="9" t="n">
        <v>24</v>
      </c>
      <c r="D657" s="9" t="str">
        <f aca="false">IF(C657&gt;$N$5,"YES","NO")</f>
        <v>NO</v>
      </c>
      <c r="E657" s="9" t="n">
        <v>35</v>
      </c>
      <c r="F657" s="9" t="str">
        <f aca="false">IF(E657&gt;$N$6,"YES","NO")</f>
        <v>NO</v>
      </c>
      <c r="G657" s="13" t="s">
        <v>13</v>
      </c>
    </row>
    <row r="658" customFormat="false" ht="15.75" hidden="false" customHeight="false" outlineLevel="0" collapsed="false">
      <c r="A658" s="11" t="n">
        <v>2030.203</v>
      </c>
      <c r="B658" s="11" t="str">
        <f aca="false">IF(A658&gt;$N$4,"YES","NO")</f>
        <v>NO</v>
      </c>
      <c r="C658" s="9" t="n">
        <v>14</v>
      </c>
      <c r="D658" s="9" t="str">
        <f aca="false">IF(C658&gt;$N$5,"YES","NO")</f>
        <v>NO</v>
      </c>
      <c r="E658" s="9" t="n">
        <v>22</v>
      </c>
      <c r="F658" s="9" t="str">
        <f aca="false">IF(E658&gt;$N$6,"YES","NO")</f>
        <v>NO</v>
      </c>
      <c r="G658" s="13" t="s">
        <v>13</v>
      </c>
    </row>
    <row r="659" customFormat="false" ht="15.75" hidden="false" customHeight="false" outlineLevel="0" collapsed="false">
      <c r="A659" s="11" t="n">
        <v>453.768</v>
      </c>
      <c r="B659" s="11" t="str">
        <f aca="false">IF(A659&gt;$N$4,"YES","NO")</f>
        <v>NO</v>
      </c>
      <c r="C659" s="9" t="n">
        <v>12</v>
      </c>
      <c r="D659" s="9" t="str">
        <f aca="false">IF(C659&gt;$N$5,"YES","NO")</f>
        <v>NO</v>
      </c>
      <c r="E659" s="9" t="n">
        <v>41</v>
      </c>
      <c r="F659" s="9" t="str">
        <f aca="false">IF(E659&gt;$N$6,"YES","NO")</f>
        <v>NO</v>
      </c>
      <c r="G659" s="13" t="s">
        <v>16</v>
      </c>
    </row>
    <row r="660" customFormat="false" ht="15.75" hidden="false" customHeight="false" outlineLevel="0" collapsed="false">
      <c r="A660" s="11" t="n">
        <v>5223.442</v>
      </c>
      <c r="B660" s="11" t="str">
        <f aca="false">IF(A660&gt;$N$4,"YES","NO")</f>
        <v>YES</v>
      </c>
      <c r="C660" s="9" t="n">
        <v>48</v>
      </c>
      <c r="D660" s="9" t="str">
        <f aca="false">IF(C660&gt;$N$5,"YES","NO")</f>
        <v>YES</v>
      </c>
      <c r="E660" s="9" t="n">
        <v>37</v>
      </c>
      <c r="F660" s="9" t="str">
        <f aca="false">IF(E660&gt;$N$6,"YES","NO")</f>
        <v>NO</v>
      </c>
      <c r="G660" s="13" t="s">
        <v>13</v>
      </c>
    </row>
    <row r="661" customFormat="false" ht="15.75" hidden="false" customHeight="false" outlineLevel="0" collapsed="false">
      <c r="A661" s="11" t="n">
        <v>2156.931</v>
      </c>
      <c r="B661" s="11" t="str">
        <f aca="false">IF(A661&gt;$N$4,"YES","NO")</f>
        <v>NO</v>
      </c>
      <c r="C661" s="9" t="n">
        <v>30</v>
      </c>
      <c r="D661" s="9" t="str">
        <f aca="false">IF(C661&gt;$N$5,"YES","NO")</f>
        <v>NO</v>
      </c>
      <c r="E661" s="9" t="n">
        <v>28</v>
      </c>
      <c r="F661" s="9" t="str">
        <f aca="false">IF(E661&gt;$N$6,"YES","NO")</f>
        <v>NO</v>
      </c>
      <c r="G661" s="13" t="s">
        <v>13</v>
      </c>
    </row>
    <row r="662" customFormat="false" ht="15.75" hidden="false" customHeight="false" outlineLevel="0" collapsed="false">
      <c r="A662" s="11" t="n">
        <v>3250.471</v>
      </c>
      <c r="B662" s="11" t="str">
        <f aca="false">IF(A662&gt;$N$4,"YES","NO")</f>
        <v>NO</v>
      </c>
      <c r="C662" s="9" t="n">
        <v>18</v>
      </c>
      <c r="D662" s="9" t="str">
        <f aca="false">IF(C662&gt;$N$5,"YES","NO")</f>
        <v>NO</v>
      </c>
      <c r="E662" s="9" t="n">
        <v>41</v>
      </c>
      <c r="F662" s="9" t="str">
        <f aca="false">IF(E662&gt;$N$6,"YES","NO")</f>
        <v>NO</v>
      </c>
      <c r="G662" s="13" t="s">
        <v>13</v>
      </c>
    </row>
    <row r="663" customFormat="false" ht="15.75" hidden="false" customHeight="false" outlineLevel="0" collapsed="false">
      <c r="A663" s="11" t="n">
        <v>662.767</v>
      </c>
      <c r="B663" s="11" t="str">
        <f aca="false">IF(A663&gt;$N$4,"YES","NO")</f>
        <v>NO</v>
      </c>
      <c r="C663" s="9" t="n">
        <v>12</v>
      </c>
      <c r="D663" s="9" t="str">
        <f aca="false">IF(C663&gt;$N$5,"YES","NO")</f>
        <v>NO</v>
      </c>
      <c r="E663" s="9" t="n">
        <v>23</v>
      </c>
      <c r="F663" s="9" t="str">
        <f aca="false">IF(E663&gt;$N$6,"YES","NO")</f>
        <v>NO</v>
      </c>
      <c r="G663" s="13" t="s">
        <v>13</v>
      </c>
    </row>
    <row r="664" customFormat="false" ht="15.75" hidden="false" customHeight="false" outlineLevel="0" collapsed="false">
      <c r="A664" s="11" t="n">
        <v>459.9</v>
      </c>
      <c r="B664" s="11" t="str">
        <f aca="false">IF(A664&gt;$N$4,"YES","NO")</f>
        <v>NO</v>
      </c>
      <c r="C664" s="9" t="n">
        <v>12</v>
      </c>
      <c r="D664" s="9" t="str">
        <f aca="false">IF(C664&gt;$N$5,"YES","NO")</f>
        <v>NO</v>
      </c>
      <c r="E664" s="9" t="n">
        <v>23</v>
      </c>
      <c r="F664" s="9" t="str">
        <f aca="false">IF(E664&gt;$N$6,"YES","NO")</f>
        <v>NO</v>
      </c>
      <c r="G664" s="13" t="s">
        <v>16</v>
      </c>
    </row>
    <row r="665" customFormat="false" ht="15.75" hidden="false" customHeight="false" outlineLevel="0" collapsed="false">
      <c r="A665" s="11" t="n">
        <v>1145.151</v>
      </c>
      <c r="B665" s="11" t="str">
        <f aca="false">IF(A665&gt;$N$4,"YES","NO")</f>
        <v>NO</v>
      </c>
      <c r="C665" s="9" t="n">
        <v>21</v>
      </c>
      <c r="D665" s="9" t="str">
        <f aca="false">IF(C665&gt;$N$5,"YES","NO")</f>
        <v>NO</v>
      </c>
      <c r="E665" s="9" t="n">
        <v>50</v>
      </c>
      <c r="F665" s="9" t="str">
        <f aca="false">IF(E665&gt;$N$6,"YES","NO")</f>
        <v>NO</v>
      </c>
      <c r="G665" s="13" t="s">
        <v>13</v>
      </c>
    </row>
    <row r="666" customFormat="false" ht="15.75" hidden="false" customHeight="false" outlineLevel="0" collapsed="false">
      <c r="A666" s="11" t="n">
        <v>536.55</v>
      </c>
      <c r="B666" s="11" t="str">
        <f aca="false">IF(A666&gt;$N$4,"YES","NO")</f>
        <v>NO</v>
      </c>
      <c r="C666" s="9" t="n">
        <v>6</v>
      </c>
      <c r="D666" s="9" t="str">
        <f aca="false">IF(C666&gt;$N$5,"YES","NO")</f>
        <v>NO</v>
      </c>
      <c r="E666" s="9" t="n">
        <v>35</v>
      </c>
      <c r="F666" s="9" t="str">
        <f aca="false">IF(E666&gt;$N$6,"YES","NO")</f>
        <v>NO</v>
      </c>
      <c r="G666" s="13" t="s">
        <v>13</v>
      </c>
    </row>
    <row r="667" customFormat="false" ht="15.75" hidden="false" customHeight="false" outlineLevel="0" collapsed="false">
      <c r="A667" s="11" t="n">
        <v>535.017</v>
      </c>
      <c r="B667" s="11" t="str">
        <f aca="false">IF(A667&gt;$N$4,"YES","NO")</f>
        <v>NO</v>
      </c>
      <c r="C667" s="9" t="n">
        <v>6</v>
      </c>
      <c r="D667" s="9" t="str">
        <f aca="false">IF(C667&gt;$N$5,"YES","NO")</f>
        <v>NO</v>
      </c>
      <c r="E667" s="9" t="n">
        <v>50</v>
      </c>
      <c r="F667" s="9" t="str">
        <f aca="false">IF(E667&gt;$N$6,"YES","NO")</f>
        <v>NO</v>
      </c>
      <c r="G667" s="13" t="s">
        <v>13</v>
      </c>
    </row>
    <row r="668" customFormat="false" ht="15.75" hidden="false" customHeight="false" outlineLevel="0" collapsed="false">
      <c r="A668" s="11" t="n">
        <v>3226.454</v>
      </c>
      <c r="B668" s="11" t="str">
        <f aca="false">IF(A668&gt;$N$4,"YES","NO")</f>
        <v>NO</v>
      </c>
      <c r="C668" s="9" t="n">
        <v>24</v>
      </c>
      <c r="D668" s="9" t="str">
        <f aca="false">IF(C668&gt;$N$5,"YES","NO")</f>
        <v>NO</v>
      </c>
      <c r="E668" s="9" t="n">
        <v>27</v>
      </c>
      <c r="F668" s="9" t="str">
        <f aca="false">IF(E668&gt;$N$6,"YES","NO")</f>
        <v>NO</v>
      </c>
      <c r="G668" s="13" t="s">
        <v>13</v>
      </c>
    </row>
    <row r="669" customFormat="false" ht="15.75" hidden="false" customHeight="false" outlineLevel="0" collapsed="false">
      <c r="A669" s="11" t="n">
        <v>1786.456</v>
      </c>
      <c r="B669" s="11" t="str">
        <f aca="false">IF(A669&gt;$N$4,"YES","NO")</f>
        <v>NO</v>
      </c>
      <c r="C669" s="9" t="n">
        <v>30</v>
      </c>
      <c r="D669" s="9" t="str">
        <f aca="false">IF(C669&gt;$N$5,"YES","NO")</f>
        <v>NO</v>
      </c>
      <c r="E669" s="9" t="n">
        <v>34</v>
      </c>
      <c r="F669" s="9" t="str">
        <f aca="false">IF(E669&gt;$N$6,"YES","NO")</f>
        <v>NO</v>
      </c>
      <c r="G669" s="13" t="s">
        <v>13</v>
      </c>
    </row>
    <row r="670" customFormat="false" ht="15.75" hidden="false" customHeight="false" outlineLevel="0" collapsed="false">
      <c r="A670" s="11" t="n">
        <v>1844.199</v>
      </c>
      <c r="B670" s="11" t="str">
        <f aca="false">IF(A670&gt;$N$4,"YES","NO")</f>
        <v>NO</v>
      </c>
      <c r="C670" s="9" t="n">
        <v>48</v>
      </c>
      <c r="D670" s="9" t="str">
        <f aca="false">IF(C670&gt;$N$5,"YES","NO")</f>
        <v>YES</v>
      </c>
      <c r="E670" s="9" t="n">
        <v>27</v>
      </c>
      <c r="F670" s="9" t="str">
        <f aca="false">IF(E670&gt;$N$6,"YES","NO")</f>
        <v>NO</v>
      </c>
      <c r="G670" s="13" t="s">
        <v>13</v>
      </c>
    </row>
    <row r="671" customFormat="false" ht="15.75" hidden="false" customHeight="false" outlineLevel="0" collapsed="false">
      <c r="A671" s="11" t="n">
        <v>2474.773</v>
      </c>
      <c r="B671" s="11" t="str">
        <f aca="false">IF(A671&gt;$N$4,"YES","NO")</f>
        <v>NO</v>
      </c>
      <c r="C671" s="9" t="n">
        <v>12</v>
      </c>
      <c r="D671" s="9" t="str">
        <f aca="false">IF(C671&gt;$N$5,"YES","NO")</f>
        <v>NO</v>
      </c>
      <c r="E671" s="9" t="n">
        <v>43</v>
      </c>
      <c r="F671" s="9" t="str">
        <f aca="false">IF(E671&gt;$N$6,"YES","NO")</f>
        <v>NO</v>
      </c>
      <c r="G671" s="13" t="s">
        <v>16</v>
      </c>
    </row>
    <row r="672" customFormat="false" ht="15.75" hidden="false" customHeight="false" outlineLevel="0" collapsed="false">
      <c r="A672" s="11" t="n">
        <v>1541.687</v>
      </c>
      <c r="B672" s="11" t="str">
        <f aca="false">IF(A672&gt;$N$4,"YES","NO")</f>
        <v>NO</v>
      </c>
      <c r="C672" s="9" t="n">
        <v>30</v>
      </c>
      <c r="D672" s="9" t="str">
        <f aca="false">IF(C672&gt;$N$5,"YES","NO")</f>
        <v>NO</v>
      </c>
      <c r="E672" s="9" t="n">
        <v>47</v>
      </c>
      <c r="F672" s="9" t="str">
        <f aca="false">IF(E672&gt;$N$6,"YES","NO")</f>
        <v>NO</v>
      </c>
      <c r="G672" s="13" t="s">
        <v>13</v>
      </c>
    </row>
    <row r="673" customFormat="false" ht="15.75" hidden="false" customHeight="false" outlineLevel="0" collapsed="false">
      <c r="A673" s="11" t="n">
        <v>2115.029</v>
      </c>
      <c r="B673" s="11" t="str">
        <f aca="false">IF(A673&gt;$N$4,"YES","NO")</f>
        <v>NO</v>
      </c>
      <c r="C673" s="9" t="n">
        <v>24</v>
      </c>
      <c r="D673" s="9" t="str">
        <f aca="false">IF(C673&gt;$N$5,"YES","NO")</f>
        <v>NO</v>
      </c>
      <c r="E673" s="9" t="n">
        <v>27</v>
      </c>
      <c r="F673" s="9" t="str">
        <f aca="false">IF(E673&gt;$N$6,"YES","NO")</f>
        <v>NO</v>
      </c>
      <c r="G673" s="13" t="s">
        <v>13</v>
      </c>
    </row>
    <row r="674" customFormat="false" ht="15.75" hidden="false" customHeight="false" outlineLevel="0" collapsed="false">
      <c r="A674" s="11" t="n">
        <v>2934.162</v>
      </c>
      <c r="B674" s="11" t="str">
        <f aca="false">IF(A674&gt;$N$4,"YES","NO")</f>
        <v>NO</v>
      </c>
      <c r="C674" s="9" t="n">
        <v>36</v>
      </c>
      <c r="D674" s="9" t="str">
        <f aca="false">IF(C674&gt;$N$5,"YES","NO")</f>
        <v>NO</v>
      </c>
      <c r="E674" s="9" t="n">
        <v>31</v>
      </c>
      <c r="F674" s="9" t="str">
        <f aca="false">IF(E674&gt;$N$6,"YES","NO")</f>
        <v>NO</v>
      </c>
      <c r="G674" s="13" t="s">
        <v>13</v>
      </c>
    </row>
    <row r="675" customFormat="false" ht="15.75" hidden="false" customHeight="false" outlineLevel="0" collapsed="false">
      <c r="A675" s="11" t="n">
        <v>5297.026</v>
      </c>
      <c r="B675" s="11" t="str">
        <f aca="false">IF(A675&gt;$N$4,"YES","NO")</f>
        <v>YES</v>
      </c>
      <c r="C675" s="9" t="n">
        <v>60</v>
      </c>
      <c r="D675" s="9" t="str">
        <f aca="false">IF(C675&gt;$N$5,"YES","NO")</f>
        <v>YES</v>
      </c>
      <c r="E675" s="9" t="n">
        <v>42</v>
      </c>
      <c r="F675" s="9" t="str">
        <f aca="false">IF(E675&gt;$N$6,"YES","NO")</f>
        <v>NO</v>
      </c>
      <c r="G675" s="13" t="s">
        <v>13</v>
      </c>
    </row>
    <row r="676" customFormat="false" ht="15.75" hidden="false" customHeight="false" outlineLevel="0" collapsed="false">
      <c r="A676" s="11" t="n">
        <v>1062.88</v>
      </c>
      <c r="B676" s="11" t="str">
        <f aca="false">IF(A676&gt;$N$4,"YES","NO")</f>
        <v>NO</v>
      </c>
      <c r="C676" s="9" t="n">
        <v>6</v>
      </c>
      <c r="D676" s="9" t="str">
        <f aca="false">IF(C676&gt;$N$5,"YES","NO")</f>
        <v>NO</v>
      </c>
      <c r="E676" s="9" t="n">
        <v>24</v>
      </c>
      <c r="F676" s="9" t="str">
        <f aca="false">IF(E676&gt;$N$6,"YES","NO")</f>
        <v>NO</v>
      </c>
      <c r="G676" s="13" t="s">
        <v>13</v>
      </c>
    </row>
    <row r="677" customFormat="false" ht="15.75" hidden="false" customHeight="false" outlineLevel="0" collapsed="false">
      <c r="A677" s="11" t="n">
        <v>1318.38</v>
      </c>
      <c r="B677" s="11" t="str">
        <f aca="false">IF(A677&gt;$N$4,"YES","NO")</f>
        <v>NO</v>
      </c>
      <c r="C677" s="9" t="n">
        <v>21</v>
      </c>
      <c r="D677" s="9" t="str">
        <f aca="false">IF(C677&gt;$N$5,"YES","NO")</f>
        <v>NO</v>
      </c>
      <c r="E677" s="9" t="n">
        <v>41</v>
      </c>
      <c r="F677" s="9" t="str">
        <f aca="false">IF(E677&gt;$N$6,"YES","NO")</f>
        <v>NO</v>
      </c>
      <c r="G677" s="13" t="s">
        <v>16</v>
      </c>
    </row>
    <row r="678" customFormat="false" ht="15.75" hidden="false" customHeight="false" outlineLevel="0" collapsed="false">
      <c r="A678" s="11" t="n">
        <v>2314.83</v>
      </c>
      <c r="B678" s="11" t="str">
        <f aca="false">IF(A678&gt;$N$4,"YES","NO")</f>
        <v>NO</v>
      </c>
      <c r="C678" s="9" t="n">
        <v>30</v>
      </c>
      <c r="D678" s="9" t="str">
        <f aca="false">IF(C678&gt;$N$5,"YES","NO")</f>
        <v>NO</v>
      </c>
      <c r="E678" s="9" t="n">
        <v>26</v>
      </c>
      <c r="F678" s="9" t="str">
        <f aca="false">IF(E678&gt;$N$6,"YES","NO")</f>
        <v>NO</v>
      </c>
      <c r="G678" s="13" t="s">
        <v>13</v>
      </c>
    </row>
    <row r="679" customFormat="false" ht="15.75" hidden="false" customHeight="false" outlineLevel="0" collapsed="false">
      <c r="A679" s="11" t="n">
        <v>2631.65</v>
      </c>
      <c r="B679" s="11" t="str">
        <f aca="false">IF(A679&gt;$N$4,"YES","NO")</f>
        <v>NO</v>
      </c>
      <c r="C679" s="9" t="n">
        <v>24</v>
      </c>
      <c r="D679" s="9" t="str">
        <f aca="false">IF(C679&gt;$N$5,"YES","NO")</f>
        <v>NO</v>
      </c>
      <c r="E679" s="9" t="n">
        <v>33</v>
      </c>
      <c r="F679" s="9" t="str">
        <f aca="false">IF(E679&gt;$N$6,"YES","NO")</f>
        <v>NO</v>
      </c>
      <c r="G679" s="13" t="s">
        <v>13</v>
      </c>
    </row>
    <row r="680" customFormat="false" ht="15.75" hidden="false" customHeight="false" outlineLevel="0" collapsed="false">
      <c r="A680" s="11" t="n">
        <v>2859.045</v>
      </c>
      <c r="B680" s="11" t="str">
        <f aca="false">IF(A680&gt;$N$4,"YES","NO")</f>
        <v>NO</v>
      </c>
      <c r="C680" s="9" t="n">
        <v>72</v>
      </c>
      <c r="D680" s="9" t="str">
        <f aca="false">IF(C680&gt;$N$5,"YES","NO")</f>
        <v>YES</v>
      </c>
      <c r="E680" s="9" t="n">
        <v>24</v>
      </c>
      <c r="F680" s="9" t="str">
        <f aca="false">IF(E680&gt;$N$6,"YES","NO")</f>
        <v>NO</v>
      </c>
      <c r="G680" s="13" t="s">
        <v>16</v>
      </c>
    </row>
    <row r="681" customFormat="false" ht="15.75" hidden="false" customHeight="false" outlineLevel="0" collapsed="false">
      <c r="A681" s="11" t="n">
        <v>1218.224</v>
      </c>
      <c r="B681" s="11" t="str">
        <f aca="false">IF(A681&gt;$N$4,"YES","NO")</f>
        <v>NO</v>
      </c>
      <c r="C681" s="9" t="n">
        <v>24</v>
      </c>
      <c r="D681" s="9" t="str">
        <f aca="false">IF(C681&gt;$N$5,"YES","NO")</f>
        <v>NO</v>
      </c>
      <c r="E681" s="9" t="n">
        <v>64</v>
      </c>
      <c r="F681" s="9" t="str">
        <f aca="false">IF(E681&gt;$N$6,"YES","NO")</f>
        <v>NO</v>
      </c>
      <c r="G681" s="13" t="s">
        <v>13</v>
      </c>
    </row>
    <row r="682" customFormat="false" ht="15.75" hidden="false" customHeight="false" outlineLevel="0" collapsed="false">
      <c r="A682" s="11" t="n">
        <v>742.483</v>
      </c>
      <c r="B682" s="11" t="str">
        <f aca="false">IF(A682&gt;$N$4,"YES","NO")</f>
        <v>NO</v>
      </c>
      <c r="C682" s="9" t="n">
        <v>18</v>
      </c>
      <c r="D682" s="9" t="str">
        <f aca="false">IF(C682&gt;$N$5,"YES","NO")</f>
        <v>NO</v>
      </c>
      <c r="E682" s="9" t="n">
        <v>26</v>
      </c>
      <c r="F682" s="9" t="str">
        <f aca="false">IF(E682&gt;$N$6,"YES","NO")</f>
        <v>NO</v>
      </c>
      <c r="G682" s="13" t="s">
        <v>13</v>
      </c>
    </row>
    <row r="683" customFormat="false" ht="15.75" hidden="false" customHeight="false" outlineLevel="0" collapsed="false">
      <c r="A683" s="11" t="n">
        <v>785.918</v>
      </c>
      <c r="B683" s="11" t="str">
        <f aca="false">IF(A683&gt;$N$4,"YES","NO")</f>
        <v>NO</v>
      </c>
      <c r="C683" s="9" t="n">
        <v>6</v>
      </c>
      <c r="D683" s="9" t="str">
        <f aca="false">IF(C683&gt;$N$5,"YES","NO")</f>
        <v>NO</v>
      </c>
      <c r="E683" s="9" t="n">
        <v>56</v>
      </c>
      <c r="F683" s="9" t="str">
        <f aca="false">IF(E683&gt;$N$6,"YES","NO")</f>
        <v>NO</v>
      </c>
      <c r="G683" s="13" t="s">
        <v>13</v>
      </c>
    </row>
    <row r="684" customFormat="false" ht="15.75" hidden="false" customHeight="false" outlineLevel="0" collapsed="false">
      <c r="A684" s="11" t="n">
        <v>1164.569</v>
      </c>
      <c r="B684" s="11" t="str">
        <f aca="false">IF(A684&gt;$N$4,"YES","NO")</f>
        <v>NO</v>
      </c>
      <c r="C684" s="9" t="n">
        <v>12</v>
      </c>
      <c r="D684" s="9" t="str">
        <f aca="false">IF(C684&gt;$N$5,"YES","NO")</f>
        <v>NO</v>
      </c>
      <c r="E684" s="9" t="n">
        <v>37</v>
      </c>
      <c r="F684" s="9" t="str">
        <f aca="false">IF(E684&gt;$N$6,"YES","NO")</f>
        <v>NO</v>
      </c>
      <c r="G684" s="13" t="s">
        <v>13</v>
      </c>
    </row>
    <row r="685" customFormat="false" ht="15.75" hidden="false" customHeight="false" outlineLevel="0" collapsed="false">
      <c r="A685" s="11" t="n">
        <v>755.258</v>
      </c>
      <c r="B685" s="11" t="str">
        <f aca="false">IF(A685&gt;$N$4,"YES","NO")</f>
        <v>NO</v>
      </c>
      <c r="C685" s="9" t="n">
        <v>15</v>
      </c>
      <c r="D685" s="9" t="str">
        <f aca="false">IF(C685&gt;$N$5,"YES","NO")</f>
        <v>NO</v>
      </c>
      <c r="E685" s="9" t="n">
        <v>33</v>
      </c>
      <c r="F685" s="9" t="str">
        <f aca="false">IF(E685&gt;$N$6,"YES","NO")</f>
        <v>NO</v>
      </c>
      <c r="G685" s="13" t="s">
        <v>13</v>
      </c>
    </row>
    <row r="686" customFormat="false" ht="15.75" hidden="false" customHeight="false" outlineLevel="0" collapsed="false">
      <c r="A686" s="11" t="n">
        <v>2607.633</v>
      </c>
      <c r="B686" s="11" t="str">
        <f aca="false">IF(A686&gt;$N$4,"YES","NO")</f>
        <v>NO</v>
      </c>
      <c r="C686" s="9" t="n">
        <v>24</v>
      </c>
      <c r="D686" s="9" t="str">
        <f aca="false">IF(C686&gt;$N$5,"YES","NO")</f>
        <v>NO</v>
      </c>
      <c r="E686" s="9" t="n">
        <v>47</v>
      </c>
      <c r="F686" s="9" t="str">
        <f aca="false">IF(E686&gt;$N$6,"YES","NO")</f>
        <v>NO</v>
      </c>
      <c r="G686" s="13" t="s">
        <v>13</v>
      </c>
    </row>
    <row r="687" customFormat="false" ht="15.75" hidden="false" customHeight="false" outlineLevel="0" collapsed="false">
      <c r="A687" s="11" t="n">
        <v>5036.927</v>
      </c>
      <c r="B687" s="11" t="str">
        <f aca="false">IF(A687&gt;$N$4,"YES","NO")</f>
        <v>YES</v>
      </c>
      <c r="C687" s="9" t="n">
        <v>36</v>
      </c>
      <c r="D687" s="9" t="str">
        <f aca="false">IF(C687&gt;$N$5,"YES","NO")</f>
        <v>NO</v>
      </c>
      <c r="E687" s="9" t="n">
        <v>31</v>
      </c>
      <c r="F687" s="9" t="str">
        <f aca="false">IF(E687&gt;$N$6,"YES","NO")</f>
        <v>NO</v>
      </c>
      <c r="G687" s="13" t="s">
        <v>13</v>
      </c>
    </row>
    <row r="688" customFormat="false" ht="15.75" hidden="false" customHeight="false" outlineLevel="0" collapsed="false">
      <c r="A688" s="11" t="n">
        <v>3335.297</v>
      </c>
      <c r="B688" s="11" t="str">
        <f aca="false">IF(A688&gt;$N$4,"YES","NO")</f>
        <v>NO</v>
      </c>
      <c r="C688" s="9" t="n">
        <v>60</v>
      </c>
      <c r="D688" s="9" t="str">
        <f aca="false">IF(C688&gt;$N$5,"YES","NO")</f>
        <v>YES</v>
      </c>
      <c r="E688" s="9" t="n">
        <v>34</v>
      </c>
      <c r="F688" s="9" t="str">
        <f aca="false">IF(E688&gt;$N$6,"YES","NO")</f>
        <v>NO</v>
      </c>
      <c r="G688" s="13" t="s">
        <v>13</v>
      </c>
    </row>
    <row r="689" customFormat="false" ht="15.75" hidden="false" customHeight="false" outlineLevel="0" collapsed="false">
      <c r="A689" s="11" t="n">
        <v>688.317</v>
      </c>
      <c r="B689" s="11" t="str">
        <f aca="false">IF(A689&gt;$N$4,"YES","NO")</f>
        <v>NO</v>
      </c>
      <c r="C689" s="9" t="n">
        <v>10</v>
      </c>
      <c r="D689" s="9" t="str">
        <f aca="false">IF(C689&gt;$N$5,"YES","NO")</f>
        <v>NO</v>
      </c>
      <c r="E689" s="9" t="n">
        <v>27</v>
      </c>
      <c r="F689" s="9" t="str">
        <f aca="false">IF(E689&gt;$N$6,"YES","NO")</f>
        <v>NO</v>
      </c>
      <c r="G689" s="13" t="s">
        <v>13</v>
      </c>
    </row>
    <row r="690" customFormat="false" ht="15.75" hidden="false" customHeight="false" outlineLevel="0" collapsed="false">
      <c r="A690" s="11" t="n">
        <v>1462.482</v>
      </c>
      <c r="B690" s="11" t="str">
        <f aca="false">IF(A690&gt;$N$4,"YES","NO")</f>
        <v>NO</v>
      </c>
      <c r="C690" s="9" t="n">
        <v>36</v>
      </c>
      <c r="D690" s="9" t="str">
        <f aca="false">IF(C690&gt;$N$5,"YES","NO")</f>
        <v>NO</v>
      </c>
      <c r="E690" s="9" t="n">
        <v>30</v>
      </c>
      <c r="F690" s="9" t="str">
        <f aca="false">IF(E690&gt;$N$6,"YES","NO")</f>
        <v>NO</v>
      </c>
      <c r="G690" s="13" t="s">
        <v>13</v>
      </c>
    </row>
    <row r="691" customFormat="false" ht="15.75" hidden="false" customHeight="false" outlineLevel="0" collapsed="false">
      <c r="A691" s="11" t="n">
        <v>1406.783</v>
      </c>
      <c r="B691" s="11" t="str">
        <f aca="false">IF(A691&gt;$N$4,"YES","NO")</f>
        <v>NO</v>
      </c>
      <c r="C691" s="9" t="n">
        <v>9</v>
      </c>
      <c r="D691" s="9" t="str">
        <f aca="false">IF(C691&gt;$N$5,"YES","NO")</f>
        <v>NO</v>
      </c>
      <c r="E691" s="9" t="n">
        <v>35</v>
      </c>
      <c r="F691" s="9" t="str">
        <f aca="false">IF(E691&gt;$N$6,"YES","NO")</f>
        <v>NO</v>
      </c>
      <c r="G691" s="13" t="s">
        <v>13</v>
      </c>
    </row>
    <row r="692" customFormat="false" ht="15.75" hidden="false" customHeight="false" outlineLevel="0" collapsed="false">
      <c r="A692" s="11" t="n">
        <v>1865.661</v>
      </c>
      <c r="B692" s="11" t="str">
        <f aca="false">IF(A692&gt;$N$4,"YES","NO")</f>
        <v>NO</v>
      </c>
      <c r="C692" s="9" t="n">
        <v>12</v>
      </c>
      <c r="D692" s="9" t="str">
        <f aca="false">IF(C692&gt;$N$5,"YES","NO")</f>
        <v>NO</v>
      </c>
      <c r="E692" s="9" t="n">
        <v>31</v>
      </c>
      <c r="F692" s="9" t="str">
        <f aca="false">IF(E692&gt;$N$6,"YES","NO")</f>
        <v>NO</v>
      </c>
      <c r="G692" s="13" t="s">
        <v>13</v>
      </c>
    </row>
    <row r="693" customFormat="false" ht="15.75" hidden="false" customHeight="false" outlineLevel="0" collapsed="false">
      <c r="A693" s="11" t="n">
        <v>498.225</v>
      </c>
      <c r="B693" s="11" t="str">
        <f aca="false">IF(A693&gt;$N$4,"YES","NO")</f>
        <v>NO</v>
      </c>
      <c r="C693" s="9" t="n">
        <v>15</v>
      </c>
      <c r="D693" s="9" t="str">
        <f aca="false">IF(C693&gt;$N$5,"YES","NO")</f>
        <v>NO</v>
      </c>
      <c r="E693" s="9" t="n">
        <v>25</v>
      </c>
      <c r="F693" s="9" t="str">
        <f aca="false">IF(E693&gt;$N$6,"YES","NO")</f>
        <v>NO</v>
      </c>
      <c r="G693" s="13" t="s">
        <v>13</v>
      </c>
    </row>
    <row r="694" customFormat="false" ht="15.75" hidden="false" customHeight="false" outlineLevel="0" collapsed="false">
      <c r="A694" s="11" t="n">
        <v>1344.441</v>
      </c>
      <c r="B694" s="11" t="str">
        <f aca="false">IF(A694&gt;$N$4,"YES","NO")</f>
        <v>NO</v>
      </c>
      <c r="C694" s="9" t="n">
        <v>15</v>
      </c>
      <c r="D694" s="9" t="str">
        <f aca="false">IF(C694&gt;$N$5,"YES","NO")</f>
        <v>NO</v>
      </c>
      <c r="E694" s="9" t="n">
        <v>25</v>
      </c>
      <c r="F694" s="9" t="str">
        <f aca="false">IF(E694&gt;$N$6,"YES","NO")</f>
        <v>NO</v>
      </c>
      <c r="G694" s="13" t="s">
        <v>13</v>
      </c>
    </row>
    <row r="695" customFormat="false" ht="15.75" hidden="false" customHeight="false" outlineLevel="0" collapsed="false">
      <c r="A695" s="11" t="n">
        <v>1479.856</v>
      </c>
      <c r="B695" s="11" t="str">
        <f aca="false">IF(A695&gt;$N$4,"YES","NO")</f>
        <v>NO</v>
      </c>
      <c r="C695" s="9" t="n">
        <v>24</v>
      </c>
      <c r="D695" s="9" t="str">
        <f aca="false">IF(C695&gt;$N$5,"YES","NO")</f>
        <v>NO</v>
      </c>
      <c r="E695" s="9" t="n">
        <v>29</v>
      </c>
      <c r="F695" s="9" t="str">
        <f aca="false">IF(E695&gt;$N$6,"YES","NO")</f>
        <v>NO</v>
      </c>
      <c r="G695" s="13" t="s">
        <v>13</v>
      </c>
    </row>
    <row r="696" customFormat="false" ht="15.75" hidden="false" customHeight="false" outlineLevel="0" collapsed="false">
      <c r="A696" s="11" t="n">
        <v>2409.876</v>
      </c>
      <c r="B696" s="11" t="str">
        <f aca="false">IF(A696&gt;$N$4,"YES","NO")</f>
        <v>NO</v>
      </c>
      <c r="C696" s="9" t="n">
        <v>6</v>
      </c>
      <c r="D696" s="9" t="str">
        <f aca="false">IF(C696&gt;$N$5,"YES","NO")</f>
        <v>NO</v>
      </c>
      <c r="E696" s="9" t="n">
        <v>44</v>
      </c>
      <c r="F696" s="9" t="str">
        <f aca="false">IF(E696&gt;$N$6,"YES","NO")</f>
        <v>NO</v>
      </c>
      <c r="G696" s="13" t="s">
        <v>13</v>
      </c>
    </row>
    <row r="697" customFormat="false" ht="15.75" hidden="false" customHeight="false" outlineLevel="0" collapsed="false">
      <c r="A697" s="11" t="n">
        <v>1167.124</v>
      </c>
      <c r="B697" s="11" t="str">
        <f aca="false">IF(A697&gt;$N$4,"YES","NO")</f>
        <v>NO</v>
      </c>
      <c r="C697" s="9" t="n">
        <v>24</v>
      </c>
      <c r="D697" s="9" t="str">
        <f aca="false">IF(C697&gt;$N$5,"YES","NO")</f>
        <v>NO</v>
      </c>
      <c r="E697" s="9" t="n">
        <v>28</v>
      </c>
      <c r="F697" s="9" t="str">
        <f aca="false">IF(E697&gt;$N$6,"YES","NO")</f>
        <v>NO</v>
      </c>
      <c r="G697" s="13" t="s">
        <v>13</v>
      </c>
    </row>
    <row r="698" customFormat="false" ht="15.75" hidden="false" customHeight="false" outlineLevel="0" collapsed="false">
      <c r="A698" s="11" t="n">
        <v>631.596</v>
      </c>
      <c r="B698" s="11" t="str">
        <f aca="false">IF(A698&gt;$N$4,"YES","NO")</f>
        <v>NO</v>
      </c>
      <c r="C698" s="9" t="n">
        <v>6</v>
      </c>
      <c r="D698" s="9" t="str">
        <f aca="false">IF(C698&gt;$N$5,"YES","NO")</f>
        <v>NO</v>
      </c>
      <c r="E698" s="9" t="n">
        <v>50</v>
      </c>
      <c r="F698" s="9" t="str">
        <f aca="false">IF(E698&gt;$N$6,"YES","NO")</f>
        <v>NO</v>
      </c>
      <c r="G698" s="13" t="s">
        <v>13</v>
      </c>
    </row>
    <row r="699" customFormat="false" ht="15.75" hidden="false" customHeight="false" outlineLevel="0" collapsed="false">
      <c r="A699" s="11" t="n">
        <v>563.633</v>
      </c>
      <c r="B699" s="11" t="str">
        <f aca="false">IF(A699&gt;$N$4,"YES","NO")</f>
        <v>NO</v>
      </c>
      <c r="C699" s="9" t="n">
        <v>12</v>
      </c>
      <c r="D699" s="9" t="str">
        <f aca="false">IF(C699&gt;$N$5,"YES","NO")</f>
        <v>NO</v>
      </c>
      <c r="E699" s="9" t="n">
        <v>29</v>
      </c>
      <c r="F699" s="9" t="str">
        <f aca="false">IF(E699&gt;$N$6,"YES","NO")</f>
        <v>NO</v>
      </c>
      <c r="G699" s="13" t="s">
        <v>13</v>
      </c>
    </row>
    <row r="700" customFormat="false" ht="15.75" hidden="false" customHeight="false" outlineLevel="0" collapsed="false">
      <c r="A700" s="11" t="n">
        <v>473.186</v>
      </c>
      <c r="B700" s="11" t="str">
        <f aca="false">IF(A700&gt;$N$4,"YES","NO")</f>
        <v>NO</v>
      </c>
      <c r="C700" s="9" t="n">
        <v>12</v>
      </c>
      <c r="D700" s="9" t="str">
        <f aca="false">IF(C700&gt;$N$5,"YES","NO")</f>
        <v>NO</v>
      </c>
      <c r="E700" s="9" t="n">
        <v>38</v>
      </c>
      <c r="F700" s="9" t="str">
        <f aca="false">IF(E700&gt;$N$6,"YES","NO")</f>
        <v>NO</v>
      </c>
      <c r="G700" s="13" t="s">
        <v>13</v>
      </c>
    </row>
    <row r="701" customFormat="false" ht="15.75" hidden="false" customHeight="false" outlineLevel="0" collapsed="false">
      <c r="A701" s="11" t="n">
        <v>919.8</v>
      </c>
      <c r="B701" s="11" t="str">
        <f aca="false">IF(A701&gt;$N$4,"YES","NO")</f>
        <v>NO</v>
      </c>
      <c r="C701" s="9" t="n">
        <v>18</v>
      </c>
      <c r="D701" s="9" t="str">
        <f aca="false">IF(C701&gt;$N$5,"YES","NO")</f>
        <v>NO</v>
      </c>
      <c r="E701" s="9" t="n">
        <v>24</v>
      </c>
      <c r="F701" s="9" t="str">
        <f aca="false">IF(E701&gt;$N$6,"YES","NO")</f>
        <v>NO</v>
      </c>
      <c r="G701" s="13" t="s">
        <v>13</v>
      </c>
    </row>
    <row r="702" customFormat="false" ht="15.75" hidden="false" customHeight="false" outlineLevel="0" collapsed="false">
      <c r="A702" s="11" t="n">
        <v>973.455</v>
      </c>
      <c r="B702" s="11" t="str">
        <f aca="false">IF(A702&gt;$N$4,"YES","NO")</f>
        <v>NO</v>
      </c>
      <c r="C702" s="9" t="n">
        <v>15</v>
      </c>
      <c r="D702" s="9" t="str">
        <f aca="false">IF(C702&gt;$N$5,"YES","NO")</f>
        <v>NO</v>
      </c>
      <c r="E702" s="9" t="n">
        <v>40</v>
      </c>
      <c r="F702" s="9" t="str">
        <f aca="false">IF(E702&gt;$N$6,"YES","NO")</f>
        <v>NO</v>
      </c>
      <c r="G702" s="13" t="s">
        <v>13</v>
      </c>
    </row>
    <row r="703" customFormat="false" ht="15.75" hidden="false" customHeight="false" outlineLevel="0" collapsed="false">
      <c r="A703" s="11" t="n">
        <v>573.853</v>
      </c>
      <c r="B703" s="11" t="str">
        <f aca="false">IF(A703&gt;$N$4,"YES","NO")</f>
        <v>NO</v>
      </c>
      <c r="C703" s="9" t="n">
        <v>12</v>
      </c>
      <c r="D703" s="9" t="str">
        <f aca="false">IF(C703&gt;$N$5,"YES","NO")</f>
        <v>NO</v>
      </c>
      <c r="E703" s="9" t="n">
        <v>29</v>
      </c>
      <c r="F703" s="9" t="str">
        <f aca="false">IF(E703&gt;$N$6,"YES","NO")</f>
        <v>NO</v>
      </c>
      <c r="G703" s="13" t="s">
        <v>16</v>
      </c>
    </row>
    <row r="704" customFormat="false" ht="15.75" hidden="false" customHeight="false" outlineLevel="0" collapsed="false">
      <c r="A704" s="11" t="n">
        <v>3235.141</v>
      </c>
      <c r="B704" s="11" t="str">
        <f aca="false">IF(A704&gt;$N$4,"YES","NO")</f>
        <v>NO</v>
      </c>
      <c r="C704" s="9" t="n">
        <v>48</v>
      </c>
      <c r="D704" s="9" t="str">
        <f aca="false">IF(C704&gt;$N$5,"YES","NO")</f>
        <v>YES</v>
      </c>
      <c r="E704" s="9" t="n">
        <v>46</v>
      </c>
      <c r="F704" s="9" t="str">
        <f aca="false">IF(E704&gt;$N$6,"YES","NO")</f>
        <v>NO</v>
      </c>
      <c r="G704" s="13" t="s">
        <v>16</v>
      </c>
    </row>
    <row r="705" customFormat="false" ht="15.75" hidden="false" customHeight="false" outlineLevel="0" collapsed="false">
      <c r="A705" s="11" t="n">
        <v>703.647</v>
      </c>
      <c r="B705" s="11" t="str">
        <f aca="false">IF(A705&gt;$N$4,"YES","NO")</f>
        <v>NO</v>
      </c>
      <c r="C705" s="9" t="n">
        <v>24</v>
      </c>
      <c r="D705" s="9" t="str">
        <f aca="false">IF(C705&gt;$N$5,"YES","NO")</f>
        <v>NO</v>
      </c>
      <c r="E705" s="9" t="n">
        <v>47</v>
      </c>
      <c r="F705" s="9" t="str">
        <f aca="false">IF(E705&gt;$N$6,"YES","NO")</f>
        <v>NO</v>
      </c>
      <c r="G705" s="13" t="s">
        <v>13</v>
      </c>
    </row>
    <row r="706" customFormat="false" ht="15.75" hidden="false" customHeight="false" outlineLevel="0" collapsed="false">
      <c r="A706" s="11" t="n">
        <v>1279.033</v>
      </c>
      <c r="B706" s="11" t="str">
        <f aca="false">IF(A706&gt;$N$4,"YES","NO")</f>
        <v>NO</v>
      </c>
      <c r="C706" s="9" t="n">
        <v>30</v>
      </c>
      <c r="D706" s="9" t="str">
        <f aca="false">IF(C706&gt;$N$5,"YES","NO")</f>
        <v>NO</v>
      </c>
      <c r="E706" s="9" t="n">
        <v>41</v>
      </c>
      <c r="F706" s="9" t="str">
        <f aca="false">IF(E706&gt;$N$6,"YES","NO")</f>
        <v>NO</v>
      </c>
      <c r="G706" s="13" t="s">
        <v>13</v>
      </c>
    </row>
    <row r="707" customFormat="false" ht="15.75" hidden="false" customHeight="false" outlineLevel="0" collapsed="false">
      <c r="A707" s="11" t="n">
        <v>1291.808</v>
      </c>
      <c r="B707" s="11" t="str">
        <f aca="false">IF(A707&gt;$N$4,"YES","NO")</f>
        <v>NO</v>
      </c>
      <c r="C707" s="9" t="n">
        <v>27</v>
      </c>
      <c r="D707" s="9" t="str">
        <f aca="false">IF(C707&gt;$N$5,"YES","NO")</f>
        <v>NO</v>
      </c>
      <c r="E707" s="9" t="n">
        <v>32</v>
      </c>
      <c r="F707" s="9" t="str">
        <f aca="false">IF(E707&gt;$N$6,"YES","NO")</f>
        <v>NO</v>
      </c>
      <c r="G707" s="13" t="s">
        <v>13</v>
      </c>
    </row>
    <row r="708" customFormat="false" ht="15.75" hidden="false" customHeight="false" outlineLevel="0" collapsed="false">
      <c r="A708" s="11" t="n">
        <v>2720.564</v>
      </c>
      <c r="B708" s="11" t="str">
        <f aca="false">IF(A708&gt;$N$4,"YES","NO")</f>
        <v>NO</v>
      </c>
      <c r="C708" s="9" t="n">
        <v>15</v>
      </c>
      <c r="D708" s="9" t="str">
        <f aca="false">IF(C708&gt;$N$5,"YES","NO")</f>
        <v>NO</v>
      </c>
      <c r="E708" s="9" t="n">
        <v>35</v>
      </c>
      <c r="F708" s="9" t="str">
        <f aca="false">IF(E708&gt;$N$6,"YES","NO")</f>
        <v>NO</v>
      </c>
      <c r="G708" s="13" t="s">
        <v>13</v>
      </c>
    </row>
    <row r="709" customFormat="false" ht="15.75" hidden="false" customHeight="false" outlineLevel="0" collapsed="false">
      <c r="A709" s="11" t="n">
        <v>3352.16</v>
      </c>
      <c r="B709" s="11" t="str">
        <f aca="false">IF(A709&gt;$N$4,"YES","NO")</f>
        <v>NO</v>
      </c>
      <c r="C709" s="9" t="n">
        <v>48</v>
      </c>
      <c r="D709" s="9" t="str">
        <f aca="false">IF(C709&gt;$N$5,"YES","NO")</f>
        <v>YES</v>
      </c>
      <c r="E709" s="9" t="n">
        <v>24</v>
      </c>
      <c r="F709" s="9" t="str">
        <f aca="false">IF(E709&gt;$N$6,"YES","NO")</f>
        <v>NO</v>
      </c>
      <c r="G709" s="13" t="s">
        <v>16</v>
      </c>
    </row>
    <row r="710" customFormat="false" ht="15.75" hidden="false" customHeight="false" outlineLevel="0" collapsed="false">
      <c r="A710" s="11" t="n">
        <v>1517.159</v>
      </c>
      <c r="B710" s="11" t="str">
        <f aca="false">IF(A710&gt;$N$4,"YES","NO")</f>
        <v>NO</v>
      </c>
      <c r="C710" s="9" t="n">
        <v>12</v>
      </c>
      <c r="D710" s="9" t="str">
        <f aca="false">IF(C710&gt;$N$5,"YES","NO")</f>
        <v>NO</v>
      </c>
      <c r="E710" s="9" t="n">
        <v>25</v>
      </c>
      <c r="F710" s="9" t="str">
        <f aca="false">IF(E710&gt;$N$6,"YES","NO")</f>
        <v>NO</v>
      </c>
      <c r="G710" s="13" t="s">
        <v>16</v>
      </c>
    </row>
    <row r="711" customFormat="false" ht="15.75" hidden="false" customHeight="false" outlineLevel="0" collapsed="false">
      <c r="A711" s="11" t="n">
        <v>616.266</v>
      </c>
      <c r="B711" s="11" t="str">
        <f aca="false">IF(A711&gt;$N$4,"YES","NO")</f>
        <v>NO</v>
      </c>
      <c r="C711" s="9" t="n">
        <v>9</v>
      </c>
      <c r="D711" s="9" t="str">
        <f aca="false">IF(C711&gt;$N$5,"YES","NO")</f>
        <v>NO</v>
      </c>
      <c r="E711" s="9" t="n">
        <v>25</v>
      </c>
      <c r="F711" s="9" t="str">
        <f aca="false">IF(E711&gt;$N$6,"YES","NO")</f>
        <v>NO</v>
      </c>
      <c r="G711" s="13" t="s">
        <v>13</v>
      </c>
    </row>
    <row r="712" customFormat="false" ht="15.75" hidden="false" customHeight="false" outlineLevel="0" collapsed="false">
      <c r="A712" s="11" t="n">
        <v>1082.298</v>
      </c>
      <c r="B712" s="11" t="str">
        <f aca="false">IF(A712&gt;$N$4,"YES","NO")</f>
        <v>NO</v>
      </c>
      <c r="C712" s="9" t="n">
        <v>9</v>
      </c>
      <c r="D712" s="9" t="str">
        <f aca="false">IF(C712&gt;$N$5,"YES","NO")</f>
        <v>NO</v>
      </c>
      <c r="E712" s="9" t="n">
        <v>37</v>
      </c>
      <c r="F712" s="9" t="str">
        <f aca="false">IF(E712&gt;$N$6,"YES","NO")</f>
        <v>NO</v>
      </c>
      <c r="G712" s="13" t="s">
        <v>13</v>
      </c>
    </row>
    <row r="713" customFormat="false" ht="15.75" hidden="false" customHeight="false" outlineLevel="0" collapsed="false">
      <c r="A713" s="11" t="n">
        <v>321.419</v>
      </c>
      <c r="B713" s="11" t="str">
        <f aca="false">IF(A713&gt;$N$4,"YES","NO")</f>
        <v>NO</v>
      </c>
      <c r="C713" s="9" t="n">
        <v>18</v>
      </c>
      <c r="D713" s="9" t="str">
        <f aca="false">IF(C713&gt;$N$5,"YES","NO")</f>
        <v>NO</v>
      </c>
      <c r="E713" s="9" t="n">
        <v>32</v>
      </c>
      <c r="F713" s="9" t="str">
        <f aca="false">IF(E713&gt;$N$6,"YES","NO")</f>
        <v>NO</v>
      </c>
      <c r="G713" s="13" t="s">
        <v>13</v>
      </c>
    </row>
    <row r="714" customFormat="false" ht="15.75" hidden="false" customHeight="false" outlineLevel="0" collapsed="false">
      <c r="A714" s="11" t="n">
        <v>612.178</v>
      </c>
      <c r="B714" s="11" t="str">
        <f aca="false">IF(A714&gt;$N$4,"YES","NO")</f>
        <v>NO</v>
      </c>
      <c r="C714" s="9" t="n">
        <v>6</v>
      </c>
      <c r="D714" s="9" t="str">
        <f aca="false">IF(C714&gt;$N$5,"YES","NO")</f>
        <v>NO</v>
      </c>
      <c r="E714" s="9" t="n">
        <v>35</v>
      </c>
      <c r="F714" s="9" t="str">
        <f aca="false">IF(E714&gt;$N$6,"YES","NO")</f>
        <v>NO</v>
      </c>
      <c r="G714" s="13" t="s">
        <v>16</v>
      </c>
    </row>
    <row r="715" customFormat="false" ht="15.75" hidden="false" customHeight="false" outlineLevel="0" collapsed="false">
      <c r="A715" s="11" t="n">
        <v>1265.236</v>
      </c>
      <c r="B715" s="11" t="str">
        <f aca="false">IF(A715&gt;$N$4,"YES","NO")</f>
        <v>NO</v>
      </c>
      <c r="C715" s="9" t="n">
        <v>21</v>
      </c>
      <c r="D715" s="9" t="str">
        <f aca="false">IF(C715&gt;$N$5,"YES","NO")</f>
        <v>NO</v>
      </c>
      <c r="E715" s="9" t="n">
        <v>46</v>
      </c>
      <c r="F715" s="9" t="str">
        <f aca="false">IF(E715&gt;$N$6,"YES","NO")</f>
        <v>NO</v>
      </c>
      <c r="G715" s="13" t="s">
        <v>13</v>
      </c>
    </row>
    <row r="716" customFormat="false" ht="15.75" hidden="false" customHeight="false" outlineLevel="0" collapsed="false">
      <c r="A716" s="11" t="n">
        <v>581.518</v>
      </c>
      <c r="B716" s="11" t="str">
        <f aca="false">IF(A716&gt;$N$4,"YES","NO")</f>
        <v>NO</v>
      </c>
      <c r="C716" s="9" t="n">
        <v>9</v>
      </c>
      <c r="D716" s="9" t="str">
        <f aca="false">IF(C716&gt;$N$5,"YES","NO")</f>
        <v>NO</v>
      </c>
      <c r="E716" s="9" t="n">
        <v>25</v>
      </c>
      <c r="F716" s="9" t="str">
        <f aca="false">IF(E716&gt;$N$6,"YES","NO")</f>
        <v>NO</v>
      </c>
      <c r="G716" s="13" t="s">
        <v>13</v>
      </c>
    </row>
    <row r="717" customFormat="false" ht="15.75" hidden="false" customHeight="false" outlineLevel="0" collapsed="false">
      <c r="A717" s="11" t="n">
        <v>7167.797</v>
      </c>
      <c r="B717" s="11" t="str">
        <f aca="false">IF(A717&gt;$N$4,"YES","NO")</f>
        <v>YES</v>
      </c>
      <c r="C717" s="9" t="n">
        <v>60</v>
      </c>
      <c r="D717" s="9" t="str">
        <f aca="false">IF(C717&gt;$N$5,"YES","NO")</f>
        <v>YES</v>
      </c>
      <c r="E717" s="9" t="n">
        <v>27</v>
      </c>
      <c r="F717" s="9" t="str">
        <f aca="false">IF(E717&gt;$N$6,"YES","NO")</f>
        <v>NO</v>
      </c>
      <c r="G717" s="13" t="s">
        <v>16</v>
      </c>
    </row>
    <row r="718" customFormat="false" ht="15.75" hidden="false" customHeight="false" outlineLevel="0" collapsed="false">
      <c r="A718" s="11" t="n">
        <v>3881.556</v>
      </c>
      <c r="B718" s="11" t="str">
        <f aca="false">IF(A718&gt;$N$4,"YES","NO")</f>
        <v>NO</v>
      </c>
      <c r="C718" s="9" t="n">
        <v>30</v>
      </c>
      <c r="D718" s="9" t="str">
        <f aca="false">IF(C718&gt;$N$5,"YES","NO")</f>
        <v>NO</v>
      </c>
      <c r="E718" s="9" t="n">
        <v>63</v>
      </c>
      <c r="F718" s="9" t="str">
        <f aca="false">IF(E718&gt;$N$6,"YES","NO")</f>
        <v>NO</v>
      </c>
      <c r="G718" s="13" t="s">
        <v>13</v>
      </c>
    </row>
    <row r="719" customFormat="false" ht="15.75" hidden="false" customHeight="false" outlineLevel="0" collapsed="false">
      <c r="A719" s="11" t="n">
        <v>1572.347</v>
      </c>
      <c r="B719" s="11" t="str">
        <f aca="false">IF(A719&gt;$N$4,"YES","NO")</f>
        <v>NO</v>
      </c>
      <c r="C719" s="9" t="n">
        <v>30</v>
      </c>
      <c r="D719" s="9" t="str">
        <f aca="false">IF(C719&gt;$N$5,"YES","NO")</f>
        <v>NO</v>
      </c>
      <c r="E719" s="9" t="n">
        <v>40</v>
      </c>
      <c r="F719" s="9" t="str">
        <f aca="false">IF(E719&gt;$N$6,"YES","NO")</f>
        <v>NO</v>
      </c>
      <c r="G719" s="13" t="s">
        <v>13</v>
      </c>
    </row>
    <row r="720" customFormat="false" ht="15.75" hidden="false" customHeight="false" outlineLevel="0" collapsed="false">
      <c r="A720" s="11" t="n">
        <v>769.055</v>
      </c>
      <c r="B720" s="11" t="str">
        <f aca="false">IF(A720&gt;$N$4,"YES","NO")</f>
        <v>NO</v>
      </c>
      <c r="C720" s="9" t="n">
        <v>18</v>
      </c>
      <c r="D720" s="9" t="str">
        <f aca="false">IF(C720&gt;$N$5,"YES","NO")</f>
        <v>NO</v>
      </c>
      <c r="E720" s="9" t="n">
        <v>32</v>
      </c>
      <c r="F720" s="9" t="str">
        <f aca="false">IF(E720&gt;$N$6,"YES","NO")</f>
        <v>NO</v>
      </c>
      <c r="G720" s="13" t="s">
        <v>13</v>
      </c>
    </row>
    <row r="721" customFormat="false" ht="15.75" hidden="false" customHeight="false" outlineLevel="0" collapsed="false">
      <c r="A721" s="11" t="n">
        <v>1608.628</v>
      </c>
      <c r="B721" s="11" t="str">
        <f aca="false">IF(A721&gt;$N$4,"YES","NO")</f>
        <v>NO</v>
      </c>
      <c r="C721" s="9" t="n">
        <v>24</v>
      </c>
      <c r="D721" s="9" t="str">
        <f aca="false">IF(C721&gt;$N$5,"YES","NO")</f>
        <v>NO</v>
      </c>
      <c r="E721" s="9" t="n">
        <v>31</v>
      </c>
      <c r="F721" s="9" t="str">
        <f aca="false">IF(E721&gt;$N$6,"YES","NO")</f>
        <v>NO</v>
      </c>
      <c r="G721" s="13" t="s">
        <v>13</v>
      </c>
    </row>
    <row r="722" customFormat="false" ht="15.75" hidden="false" customHeight="false" outlineLevel="0" collapsed="false">
      <c r="A722" s="11" t="n">
        <v>3141.628</v>
      </c>
      <c r="B722" s="11" t="str">
        <f aca="false">IF(A722&gt;$N$4,"YES","NO")</f>
        <v>NO</v>
      </c>
      <c r="C722" s="9" t="n">
        <v>20</v>
      </c>
      <c r="D722" s="9" t="str">
        <f aca="false">IF(C722&gt;$N$5,"YES","NO")</f>
        <v>NO</v>
      </c>
      <c r="E722" s="9" t="n">
        <v>31</v>
      </c>
      <c r="F722" s="9" t="str">
        <f aca="false">IF(E722&gt;$N$6,"YES","NO")</f>
        <v>NO</v>
      </c>
      <c r="G722" s="13" t="s">
        <v>13</v>
      </c>
    </row>
    <row r="723" customFormat="false" ht="15.75" hidden="false" customHeight="false" outlineLevel="0" collapsed="false">
      <c r="A723" s="11" t="n">
        <v>683.207</v>
      </c>
      <c r="B723" s="11" t="str">
        <f aca="false">IF(A723&gt;$N$4,"YES","NO")</f>
        <v>NO</v>
      </c>
      <c r="C723" s="9" t="n">
        <v>9</v>
      </c>
      <c r="D723" s="9" t="str">
        <f aca="false">IF(C723&gt;$N$5,"YES","NO")</f>
        <v>NO</v>
      </c>
      <c r="E723" s="9" t="n">
        <v>34</v>
      </c>
      <c r="F723" s="9" t="str">
        <f aca="false">IF(E723&gt;$N$6,"YES","NO")</f>
        <v>NO</v>
      </c>
      <c r="G723" s="13" t="s">
        <v>16</v>
      </c>
    </row>
    <row r="724" customFormat="false" ht="15.75" hidden="false" customHeight="false" outlineLevel="0" collapsed="false">
      <c r="A724" s="11" t="n">
        <v>221.263</v>
      </c>
      <c r="B724" s="11" t="str">
        <f aca="false">IF(A724&gt;$N$4,"YES","NO")</f>
        <v>NO</v>
      </c>
      <c r="C724" s="9" t="n">
        <v>6</v>
      </c>
      <c r="D724" s="9" t="str">
        <f aca="false">IF(C724&gt;$N$5,"YES","NO")</f>
        <v>NO</v>
      </c>
      <c r="E724" s="9" t="n">
        <v>24</v>
      </c>
      <c r="F724" s="9" t="str">
        <f aca="false">IF(E724&gt;$N$6,"YES","NO")</f>
        <v>NO</v>
      </c>
      <c r="G724" s="13" t="s">
        <v>16</v>
      </c>
    </row>
    <row r="725" customFormat="false" ht="15.75" hidden="false" customHeight="false" outlineLevel="0" collapsed="false">
      <c r="A725" s="11" t="n">
        <v>627.508</v>
      </c>
      <c r="B725" s="11" t="str">
        <f aca="false">IF(A725&gt;$N$4,"YES","NO")</f>
        <v>NO</v>
      </c>
      <c r="C725" s="9" t="n">
        <v>12</v>
      </c>
      <c r="D725" s="9" t="str">
        <f aca="false">IF(C725&gt;$N$5,"YES","NO")</f>
        <v>NO</v>
      </c>
      <c r="E725" s="9" t="n">
        <v>24</v>
      </c>
      <c r="F725" s="9" t="str">
        <f aca="false">IF(E725&gt;$N$6,"YES","NO")</f>
        <v>NO</v>
      </c>
      <c r="G725" s="13" t="s">
        <v>16</v>
      </c>
    </row>
    <row r="726" customFormat="false" ht="15.75" hidden="false" customHeight="false" outlineLevel="0" collapsed="false">
      <c r="A726" s="11" t="n">
        <v>403.69</v>
      </c>
      <c r="B726" s="11" t="str">
        <f aca="false">IF(A726&gt;$N$4,"YES","NO")</f>
        <v>NO</v>
      </c>
      <c r="C726" s="9" t="n">
        <v>9</v>
      </c>
      <c r="D726" s="9" t="str">
        <f aca="false">IF(C726&gt;$N$5,"YES","NO")</f>
        <v>NO</v>
      </c>
      <c r="E726" s="9" t="n">
        <v>66</v>
      </c>
      <c r="F726" s="9" t="str">
        <f aca="false">IF(E726&gt;$N$6,"YES","NO")</f>
        <v>YES</v>
      </c>
      <c r="G726" s="13" t="s">
        <v>13</v>
      </c>
    </row>
    <row r="727" customFormat="false" ht="15.75" hidden="false" customHeight="false" outlineLevel="0" collapsed="false">
      <c r="A727" s="11" t="n">
        <v>1313.27</v>
      </c>
      <c r="B727" s="11" t="str">
        <f aca="false">IF(A727&gt;$N$4,"YES","NO")</f>
        <v>NO</v>
      </c>
      <c r="C727" s="9" t="n">
        <v>27</v>
      </c>
      <c r="D727" s="9" t="str">
        <f aca="false">IF(C727&gt;$N$5,"YES","NO")</f>
        <v>NO</v>
      </c>
      <c r="E727" s="9" t="n">
        <v>21</v>
      </c>
      <c r="F727" s="9" t="str">
        <f aca="false">IF(E727&gt;$N$6,"YES","NO")</f>
        <v>NO</v>
      </c>
      <c r="G727" s="13" t="s">
        <v>16</v>
      </c>
    </row>
    <row r="728" customFormat="false" ht="15.75" hidden="false" customHeight="false" outlineLevel="0" collapsed="false">
      <c r="A728" s="11" t="n">
        <v>127.75</v>
      </c>
      <c r="B728" s="11" t="str">
        <f aca="false">IF(A728&gt;$N$4,"YES","NO")</f>
        <v>NO</v>
      </c>
      <c r="C728" s="9" t="n">
        <v>6</v>
      </c>
      <c r="D728" s="9" t="str">
        <f aca="false">IF(C728&gt;$N$5,"YES","NO")</f>
        <v>NO</v>
      </c>
      <c r="E728" s="9" t="n">
        <v>41</v>
      </c>
      <c r="F728" s="9" t="str">
        <f aca="false">IF(E728&gt;$N$6,"YES","NO")</f>
        <v>NO</v>
      </c>
      <c r="G728" s="13" t="s">
        <v>13</v>
      </c>
    </row>
    <row r="729" customFormat="false" ht="15.75" hidden="false" customHeight="false" outlineLevel="0" collapsed="false">
      <c r="A729" s="11" t="n">
        <v>672.476</v>
      </c>
      <c r="B729" s="11" t="str">
        <f aca="false">IF(A729&gt;$N$4,"YES","NO")</f>
        <v>NO</v>
      </c>
      <c r="C729" s="9" t="n">
        <v>15</v>
      </c>
      <c r="D729" s="9" t="str">
        <f aca="false">IF(C729&gt;$N$5,"YES","NO")</f>
        <v>NO</v>
      </c>
      <c r="E729" s="9" t="n">
        <v>47</v>
      </c>
      <c r="F729" s="9" t="str">
        <f aca="false">IF(E729&gt;$N$6,"YES","NO")</f>
        <v>NO</v>
      </c>
      <c r="G729" s="13" t="s">
        <v>13</v>
      </c>
    </row>
    <row r="730" customFormat="false" ht="15.75" hidden="false" customHeight="false" outlineLevel="0" collapsed="false">
      <c r="A730" s="11" t="n">
        <v>961.702</v>
      </c>
      <c r="B730" s="11" t="str">
        <f aca="false">IF(A730&gt;$N$4,"YES","NO")</f>
        <v>NO</v>
      </c>
      <c r="C730" s="9" t="n">
        <v>18</v>
      </c>
      <c r="D730" s="9" t="str">
        <f aca="false">IF(C730&gt;$N$5,"YES","NO")</f>
        <v>NO</v>
      </c>
      <c r="E730" s="9" t="n">
        <v>25</v>
      </c>
      <c r="F730" s="9" t="str">
        <f aca="false">IF(E730&gt;$N$6,"YES","NO")</f>
        <v>NO</v>
      </c>
      <c r="G730" s="13" t="s">
        <v>16</v>
      </c>
    </row>
    <row r="731" customFormat="false" ht="15.75" hidden="false" customHeight="false" outlineLevel="0" collapsed="false">
      <c r="A731" s="11" t="n">
        <v>3278.576</v>
      </c>
      <c r="B731" s="11" t="str">
        <f aca="false">IF(A731&gt;$N$4,"YES","NO")</f>
        <v>NO</v>
      </c>
      <c r="C731" s="9" t="n">
        <v>48</v>
      </c>
      <c r="D731" s="9" t="str">
        <f aca="false">IF(C731&gt;$N$5,"YES","NO")</f>
        <v>YES</v>
      </c>
      <c r="E731" s="9" t="n">
        <v>59</v>
      </c>
      <c r="F731" s="9" t="str">
        <f aca="false">IF(E731&gt;$N$6,"YES","NO")</f>
        <v>NO</v>
      </c>
      <c r="G731" s="13" t="s">
        <v>16</v>
      </c>
    </row>
    <row r="732" customFormat="false" ht="15.75" hidden="false" customHeight="false" outlineLevel="0" collapsed="false">
      <c r="A732" s="11" t="n">
        <v>651.525</v>
      </c>
      <c r="B732" s="11" t="str">
        <f aca="false">IF(A732&gt;$N$4,"YES","NO")</f>
        <v>NO</v>
      </c>
      <c r="C732" s="9" t="n">
        <v>24</v>
      </c>
      <c r="D732" s="9" t="str">
        <f aca="false">IF(C732&gt;$N$5,"YES","NO")</f>
        <v>NO</v>
      </c>
      <c r="E732" s="9" t="n">
        <v>36</v>
      </c>
      <c r="F732" s="9" t="str">
        <f aca="false">IF(E732&gt;$N$6,"YES","NO")</f>
        <v>NO</v>
      </c>
      <c r="G732" s="13" t="s">
        <v>13</v>
      </c>
    </row>
    <row r="733" customFormat="false" ht="15.75" hidden="false" customHeight="false" outlineLevel="0" collapsed="false">
      <c r="A733" s="11" t="n">
        <v>3271.933</v>
      </c>
      <c r="B733" s="11" t="str">
        <f aca="false">IF(A733&gt;$N$4,"YES","NO")</f>
        <v>NO</v>
      </c>
      <c r="C733" s="9" t="n">
        <v>24</v>
      </c>
      <c r="D733" s="9" t="str">
        <f aca="false">IF(C733&gt;$N$5,"YES","NO")</f>
        <v>NO</v>
      </c>
      <c r="E733" s="9" t="n">
        <v>33</v>
      </c>
      <c r="F733" s="9" t="str">
        <f aca="false">IF(E733&gt;$N$6,"YES","NO")</f>
        <v>NO</v>
      </c>
      <c r="G733" s="13" t="s">
        <v>13</v>
      </c>
    </row>
    <row r="734" customFormat="false" ht="15.75" hidden="false" customHeight="false" outlineLevel="0" collapsed="false">
      <c r="A734" s="11" t="n">
        <v>1015.357</v>
      </c>
      <c r="B734" s="11" t="str">
        <f aca="false">IF(A734&gt;$N$4,"YES","NO")</f>
        <v>NO</v>
      </c>
      <c r="C734" s="9" t="n">
        <v>24</v>
      </c>
      <c r="D734" s="9" t="str">
        <f aca="false">IF(C734&gt;$N$5,"YES","NO")</f>
        <v>NO</v>
      </c>
      <c r="E734" s="9" t="n">
        <v>21</v>
      </c>
      <c r="F734" s="9" t="str">
        <f aca="false">IF(E734&gt;$N$6,"YES","NO")</f>
        <v>NO</v>
      </c>
      <c r="G734" s="13" t="s">
        <v>16</v>
      </c>
    </row>
    <row r="735" customFormat="false" ht="15.75" hidden="false" customHeight="false" outlineLevel="0" collapsed="false">
      <c r="A735" s="11" t="n">
        <v>388.36</v>
      </c>
      <c r="B735" s="11" t="str">
        <f aca="false">IF(A735&gt;$N$4,"YES","NO")</f>
        <v>NO</v>
      </c>
      <c r="C735" s="9" t="n">
        <v>8</v>
      </c>
      <c r="D735" s="9" t="str">
        <f aca="false">IF(C735&gt;$N$5,"YES","NO")</f>
        <v>NO</v>
      </c>
      <c r="E735" s="9" t="n">
        <v>44</v>
      </c>
      <c r="F735" s="9" t="str">
        <f aca="false">IF(E735&gt;$N$6,"YES","NO")</f>
        <v>NO</v>
      </c>
      <c r="G735" s="13" t="s">
        <v>13</v>
      </c>
    </row>
    <row r="736" customFormat="false" ht="15.75" hidden="false" customHeight="false" outlineLevel="0" collapsed="false">
      <c r="A736" s="11" t="n">
        <v>1330.133</v>
      </c>
      <c r="B736" s="11" t="str">
        <f aca="false">IF(A736&gt;$N$4,"YES","NO")</f>
        <v>NO</v>
      </c>
      <c r="C736" s="9" t="n">
        <v>24</v>
      </c>
      <c r="D736" s="9" t="str">
        <f aca="false">IF(C736&gt;$N$5,"YES","NO")</f>
        <v>NO</v>
      </c>
      <c r="E736" s="9" t="n">
        <v>28</v>
      </c>
      <c r="F736" s="9" t="str">
        <f aca="false">IF(E736&gt;$N$6,"YES","NO")</f>
        <v>NO</v>
      </c>
      <c r="G736" s="13" t="s">
        <v>13</v>
      </c>
    </row>
    <row r="737" customFormat="false" ht="15.75" hidden="false" customHeight="false" outlineLevel="0" collapsed="false">
      <c r="A737" s="11" t="n">
        <v>1727.18</v>
      </c>
      <c r="B737" s="11" t="str">
        <f aca="false">IF(A737&gt;$N$4,"YES","NO")</f>
        <v>NO</v>
      </c>
      <c r="C737" s="9" t="n">
        <v>4</v>
      </c>
      <c r="D737" s="9" t="str">
        <f aca="false">IF(C737&gt;$N$5,"YES","NO")</f>
        <v>NO</v>
      </c>
      <c r="E737" s="9" t="n">
        <v>37</v>
      </c>
      <c r="F737" s="9" t="str">
        <f aca="false">IF(E737&gt;$N$6,"YES","NO")</f>
        <v>NO</v>
      </c>
      <c r="G737" s="13" t="s">
        <v>13</v>
      </c>
    </row>
    <row r="738" customFormat="false" ht="15.75" hidden="false" customHeight="false" outlineLevel="0" collapsed="false">
      <c r="A738" s="11" t="n">
        <v>2038.89</v>
      </c>
      <c r="B738" s="11" t="str">
        <f aca="false">IF(A738&gt;$N$4,"YES","NO")</f>
        <v>NO</v>
      </c>
      <c r="C738" s="9" t="n">
        <v>36</v>
      </c>
      <c r="D738" s="9" t="str">
        <f aca="false">IF(C738&gt;$N$5,"YES","NO")</f>
        <v>NO</v>
      </c>
      <c r="E738" s="9" t="n">
        <v>29</v>
      </c>
      <c r="F738" s="9" t="str">
        <f aca="false">IF(E738&gt;$N$6,"YES","NO")</f>
        <v>NO</v>
      </c>
      <c r="G738" s="13" t="s">
        <v>13</v>
      </c>
    </row>
    <row r="739" customFormat="false" ht="15.75" hidden="false" customHeight="false" outlineLevel="0" collapsed="false">
      <c r="A739" s="11" t="n">
        <v>5907.16</v>
      </c>
      <c r="B739" s="11" t="str">
        <f aca="false">IF(A739&gt;$N$4,"YES","NO")</f>
        <v>YES</v>
      </c>
      <c r="C739" s="9" t="n">
        <v>24</v>
      </c>
      <c r="D739" s="9" t="str">
        <f aca="false">IF(C739&gt;$N$5,"YES","NO")</f>
        <v>NO</v>
      </c>
      <c r="E739" s="9" t="n">
        <v>23</v>
      </c>
      <c r="F739" s="9" t="str">
        <f aca="false">IF(E739&gt;$N$6,"YES","NO")</f>
        <v>NO</v>
      </c>
      <c r="G739" s="13" t="s">
        <v>16</v>
      </c>
    </row>
    <row r="740" customFormat="false" ht="15.75" hidden="false" customHeight="false" outlineLevel="0" collapsed="false">
      <c r="A740" s="11" t="n">
        <v>2238.18</v>
      </c>
      <c r="B740" s="11" t="str">
        <f aca="false">IF(A740&gt;$N$4,"YES","NO")</f>
        <v>NO</v>
      </c>
      <c r="C740" s="9" t="n">
        <v>18</v>
      </c>
      <c r="D740" s="9" t="str">
        <f aca="false">IF(C740&gt;$N$5,"YES","NO")</f>
        <v>NO</v>
      </c>
      <c r="E740" s="9" t="n">
        <v>35</v>
      </c>
      <c r="F740" s="9" t="str">
        <f aca="false">IF(E740&gt;$N$6,"YES","NO")</f>
        <v>NO</v>
      </c>
      <c r="G740" s="13" t="s">
        <v>13</v>
      </c>
    </row>
    <row r="741" customFormat="false" ht="15.75" hidden="false" customHeight="false" outlineLevel="0" collapsed="false">
      <c r="A741" s="11" t="n">
        <v>3454.871</v>
      </c>
      <c r="B741" s="11" t="str">
        <f aca="false">IF(A741&gt;$N$4,"YES","NO")</f>
        <v>NO</v>
      </c>
      <c r="C741" s="9" t="n">
        <v>6</v>
      </c>
      <c r="D741" s="9" t="str">
        <f aca="false">IF(C741&gt;$N$5,"YES","NO")</f>
        <v>NO</v>
      </c>
      <c r="E741" s="9" t="n">
        <v>45</v>
      </c>
      <c r="F741" s="9" t="str">
        <f aca="false">IF(E741&gt;$N$6,"YES","NO")</f>
        <v>NO</v>
      </c>
      <c r="G741" s="13" t="s">
        <v>13</v>
      </c>
    </row>
    <row r="742" customFormat="false" ht="15.75" hidden="false" customHeight="false" outlineLevel="0" collapsed="false">
      <c r="A742" s="11" t="n">
        <v>2187.08</v>
      </c>
      <c r="B742" s="11" t="str">
        <f aca="false">IF(A742&gt;$N$4,"YES","NO")</f>
        <v>NO</v>
      </c>
      <c r="C742" s="9" t="n">
        <v>30</v>
      </c>
      <c r="D742" s="9" t="str">
        <f aca="false">IF(C742&gt;$N$5,"YES","NO")</f>
        <v>NO</v>
      </c>
      <c r="E742" s="9" t="n">
        <v>26</v>
      </c>
      <c r="F742" s="9" t="str">
        <f aca="false">IF(E742&gt;$N$6,"YES","NO")</f>
        <v>NO</v>
      </c>
      <c r="G742" s="13" t="s">
        <v>16</v>
      </c>
    </row>
    <row r="743" customFormat="false" ht="15.75" hidden="false" customHeight="false" outlineLevel="0" collapsed="false">
      <c r="A743" s="11" t="n">
        <v>1188.075</v>
      </c>
      <c r="B743" s="11" t="str">
        <f aca="false">IF(A743&gt;$N$4,"YES","NO")</f>
        <v>NO</v>
      </c>
      <c r="C743" s="9" t="n">
        <v>24</v>
      </c>
      <c r="D743" s="9" t="str">
        <f aca="false">IF(C743&gt;$N$5,"YES","NO")</f>
        <v>NO</v>
      </c>
      <c r="E743" s="9" t="n">
        <v>32</v>
      </c>
      <c r="F743" s="9" t="str">
        <f aca="false">IF(E743&gt;$N$6,"YES","NO")</f>
        <v>NO</v>
      </c>
      <c r="G743" s="13" t="s">
        <v>13</v>
      </c>
    </row>
    <row r="744" customFormat="false" ht="15.75" hidden="false" customHeight="false" outlineLevel="0" collapsed="false">
      <c r="A744" s="11" t="n">
        <v>535.528</v>
      </c>
      <c r="B744" s="11" t="str">
        <f aca="false">IF(A744&gt;$N$4,"YES","NO")</f>
        <v>NO</v>
      </c>
      <c r="C744" s="9" t="n">
        <v>10</v>
      </c>
      <c r="D744" s="9" t="str">
        <f aca="false">IF(C744&gt;$N$5,"YES","NO")</f>
        <v>NO</v>
      </c>
      <c r="E744" s="9" t="n">
        <v>23</v>
      </c>
      <c r="F744" s="9" t="str">
        <f aca="false">IF(E744&gt;$N$6,"YES","NO")</f>
        <v>NO</v>
      </c>
      <c r="G744" s="13" t="s">
        <v>13</v>
      </c>
    </row>
    <row r="745" customFormat="false" ht="15.75" hidden="false" customHeight="false" outlineLevel="0" collapsed="false">
      <c r="A745" s="11" t="n">
        <v>1614.76</v>
      </c>
      <c r="B745" s="11" t="str">
        <f aca="false">IF(A745&gt;$N$4,"YES","NO")</f>
        <v>NO</v>
      </c>
      <c r="C745" s="9" t="n">
        <v>21</v>
      </c>
      <c r="D745" s="9" t="str">
        <f aca="false">IF(C745&gt;$N$5,"YES","NO")</f>
        <v>NO</v>
      </c>
      <c r="E745" s="9" t="n">
        <v>41</v>
      </c>
      <c r="F745" s="9" t="str">
        <f aca="false">IF(E745&gt;$N$6,"YES","NO")</f>
        <v>NO</v>
      </c>
      <c r="G745" s="13" t="s">
        <v>13</v>
      </c>
    </row>
    <row r="746" customFormat="false" ht="15.75" hidden="false" customHeight="false" outlineLevel="0" collapsed="false">
      <c r="A746" s="11" t="n">
        <v>1268.813</v>
      </c>
      <c r="B746" s="11" t="str">
        <f aca="false">IF(A746&gt;$N$4,"YES","NO")</f>
        <v>NO</v>
      </c>
      <c r="C746" s="9" t="n">
        <v>24</v>
      </c>
      <c r="D746" s="9" t="str">
        <f aca="false">IF(C746&gt;$N$5,"YES","NO")</f>
        <v>NO</v>
      </c>
      <c r="E746" s="9" t="n">
        <v>22</v>
      </c>
      <c r="F746" s="9" t="str">
        <f aca="false">IF(E746&gt;$N$6,"YES","NO")</f>
        <v>NO</v>
      </c>
      <c r="G746" s="13" t="s">
        <v>13</v>
      </c>
    </row>
    <row r="747" customFormat="false" ht="15.75" hidden="false" customHeight="false" outlineLevel="0" collapsed="false">
      <c r="A747" s="11" t="n">
        <v>7245.469</v>
      </c>
      <c r="B747" s="11" t="str">
        <f aca="false">IF(A747&gt;$N$4,"YES","NO")</f>
        <v>YES</v>
      </c>
      <c r="C747" s="9" t="n">
        <v>39</v>
      </c>
      <c r="D747" s="9" t="str">
        <f aca="false">IF(C747&gt;$N$5,"YES","NO")</f>
        <v>NO</v>
      </c>
      <c r="E747" s="9" t="n">
        <v>30</v>
      </c>
      <c r="F747" s="9" t="str">
        <f aca="false">IF(E747&gt;$N$6,"YES","NO")</f>
        <v>NO</v>
      </c>
      <c r="G747" s="13" t="s">
        <v>13</v>
      </c>
    </row>
    <row r="748" customFormat="false" ht="15.75" hidden="false" customHeight="false" outlineLevel="0" collapsed="false">
      <c r="A748" s="11" t="n">
        <v>918.267</v>
      </c>
      <c r="B748" s="11" t="str">
        <f aca="false">IF(A748&gt;$N$4,"YES","NO")</f>
        <v>NO</v>
      </c>
      <c r="C748" s="9" t="n">
        <v>13</v>
      </c>
      <c r="D748" s="9" t="str">
        <f aca="false">IF(C748&gt;$N$5,"YES","NO")</f>
        <v>NO</v>
      </c>
      <c r="E748" s="9" t="n">
        <v>28</v>
      </c>
      <c r="F748" s="9" t="str">
        <f aca="false">IF(E748&gt;$N$6,"YES","NO")</f>
        <v>NO</v>
      </c>
      <c r="G748" s="13" t="s">
        <v>13</v>
      </c>
    </row>
    <row r="749" customFormat="false" ht="15.75" hidden="false" customHeight="false" outlineLevel="0" collapsed="false">
      <c r="A749" s="11" t="n">
        <v>1283.121</v>
      </c>
      <c r="B749" s="11" t="str">
        <f aca="false">IF(A749&gt;$N$4,"YES","NO")</f>
        <v>NO</v>
      </c>
      <c r="C749" s="9" t="n">
        <v>15</v>
      </c>
      <c r="D749" s="9" t="str">
        <f aca="false">IF(C749&gt;$N$5,"YES","NO")</f>
        <v>NO</v>
      </c>
      <c r="E749" s="9" t="n">
        <v>23</v>
      </c>
      <c r="F749" s="9" t="str">
        <f aca="false">IF(E749&gt;$N$6,"YES","NO")</f>
        <v>NO</v>
      </c>
      <c r="G749" s="13" t="s">
        <v>13</v>
      </c>
    </row>
    <row r="750" customFormat="false" ht="15.75" hidden="false" customHeight="false" outlineLevel="0" collapsed="false">
      <c r="A750" s="11" t="n">
        <v>651.014</v>
      </c>
      <c r="B750" s="11" t="str">
        <f aca="false">IF(A750&gt;$N$4,"YES","NO")</f>
        <v>NO</v>
      </c>
      <c r="C750" s="9" t="n">
        <v>12</v>
      </c>
      <c r="D750" s="9" t="str">
        <f aca="false">IF(C750&gt;$N$5,"YES","NO")</f>
        <v>NO</v>
      </c>
      <c r="E750" s="9" t="n">
        <v>37</v>
      </c>
      <c r="F750" s="9" t="str">
        <f aca="false">IF(E750&gt;$N$6,"YES","NO")</f>
        <v>NO</v>
      </c>
      <c r="G750" s="13" t="s">
        <v>16</v>
      </c>
    </row>
    <row r="751" customFormat="false" ht="15.75" hidden="false" customHeight="false" outlineLevel="0" collapsed="false">
      <c r="A751" s="11" t="n">
        <v>2681.728</v>
      </c>
      <c r="B751" s="11" t="str">
        <f aca="false">IF(A751&gt;$N$4,"YES","NO")</f>
        <v>NO</v>
      </c>
      <c r="C751" s="9" t="n">
        <v>21</v>
      </c>
      <c r="D751" s="9" t="str">
        <f aca="false">IF(C751&gt;$N$5,"YES","NO")</f>
        <v>NO</v>
      </c>
      <c r="E751" s="9" t="n">
        <v>26</v>
      </c>
      <c r="F751" s="9" t="str">
        <f aca="false">IF(E751&gt;$N$6,"YES","NO")</f>
        <v>NO</v>
      </c>
      <c r="G751" s="13" t="s">
        <v>13</v>
      </c>
    </row>
    <row r="752" customFormat="false" ht="15.75" hidden="false" customHeight="false" outlineLevel="0" collapsed="false">
      <c r="A752" s="11" t="n">
        <v>1547.819</v>
      </c>
      <c r="B752" s="11" t="str">
        <f aca="false">IF(A752&gt;$N$4,"YES","NO")</f>
        <v>NO</v>
      </c>
      <c r="C752" s="9" t="n">
        <v>15</v>
      </c>
      <c r="D752" s="9" t="str">
        <f aca="false">IF(C752&gt;$N$5,"YES","NO")</f>
        <v>NO</v>
      </c>
      <c r="E752" s="9" t="n">
        <v>33</v>
      </c>
      <c r="F752" s="9" t="str">
        <f aca="false">IF(E752&gt;$N$6,"YES","NO")</f>
        <v>NO</v>
      </c>
      <c r="G752" s="13" t="s">
        <v>13</v>
      </c>
    </row>
    <row r="753" customFormat="false" ht="15.75" hidden="false" customHeight="false" outlineLevel="0" collapsed="false">
      <c r="A753" s="11" t="n">
        <v>218.708</v>
      </c>
      <c r="B753" s="11" t="str">
        <f aca="false">IF(A753&gt;$N$4,"YES","NO")</f>
        <v>NO</v>
      </c>
      <c r="C753" s="9" t="n">
        <v>6</v>
      </c>
      <c r="D753" s="9" t="str">
        <f aca="false">IF(C753&gt;$N$5,"YES","NO")</f>
        <v>NO</v>
      </c>
      <c r="E753" s="9" t="n">
        <v>49</v>
      </c>
      <c r="F753" s="9" t="str">
        <f aca="false">IF(E753&gt;$N$6,"YES","NO")</f>
        <v>NO</v>
      </c>
      <c r="G753" s="13" t="s">
        <v>13</v>
      </c>
    </row>
    <row r="754" customFormat="false" ht="15.75" hidden="false" customHeight="false" outlineLevel="0" collapsed="false">
      <c r="A754" s="11" t="n">
        <v>498.736</v>
      </c>
      <c r="B754" s="11" t="str">
        <f aca="false">IF(A754&gt;$N$4,"YES","NO")</f>
        <v>NO</v>
      </c>
      <c r="C754" s="9" t="n">
        <v>18</v>
      </c>
      <c r="D754" s="9" t="str">
        <f aca="false">IF(C754&gt;$N$5,"YES","NO")</f>
        <v>NO</v>
      </c>
      <c r="E754" s="9" t="n">
        <v>23</v>
      </c>
      <c r="F754" s="9" t="str">
        <f aca="false">IF(E754&gt;$N$6,"YES","NO")</f>
        <v>NO</v>
      </c>
      <c r="G754" s="13" t="s">
        <v>16</v>
      </c>
    </row>
    <row r="755" customFormat="false" ht="15.75" hidden="false" customHeight="false" outlineLevel="0" collapsed="false">
      <c r="A755" s="11" t="n">
        <v>429.751</v>
      </c>
      <c r="B755" s="11" t="str">
        <f aca="false">IF(A755&gt;$N$4,"YES","NO")</f>
        <v>NO</v>
      </c>
      <c r="C755" s="9" t="n">
        <v>12</v>
      </c>
      <c r="D755" s="9" t="str">
        <f aca="false">IF(C755&gt;$N$5,"YES","NO")</f>
        <v>NO</v>
      </c>
      <c r="E755" s="9" t="n">
        <v>23</v>
      </c>
      <c r="F755" s="9" t="str">
        <f aca="false">IF(E755&gt;$N$6,"YES","NO")</f>
        <v>NO</v>
      </c>
      <c r="G755" s="13" t="s">
        <v>13</v>
      </c>
    </row>
    <row r="756" customFormat="false" ht="15.75" hidden="false" customHeight="false" outlineLevel="0" collapsed="false">
      <c r="A756" s="11" t="n">
        <v>2948.981</v>
      </c>
      <c r="B756" s="11" t="str">
        <f aca="false">IF(A756&gt;$N$4,"YES","NO")</f>
        <v>NO</v>
      </c>
      <c r="C756" s="9" t="n">
        <v>30</v>
      </c>
      <c r="D756" s="9" t="str">
        <f aca="false">IF(C756&gt;$N$5,"YES","NO")</f>
        <v>NO</v>
      </c>
      <c r="E756" s="9" t="n">
        <v>25</v>
      </c>
      <c r="F756" s="9" t="str">
        <f aca="false">IF(E756&gt;$N$6,"YES","NO")</f>
        <v>NO</v>
      </c>
      <c r="G756" s="13" t="s">
        <v>13</v>
      </c>
    </row>
    <row r="757" customFormat="false" ht="15.75" hidden="false" customHeight="false" outlineLevel="0" collapsed="false">
      <c r="A757" s="11" t="n">
        <v>794.605</v>
      </c>
      <c r="B757" s="11" t="str">
        <f aca="false">IF(A757&gt;$N$4,"YES","NO")</f>
        <v>NO</v>
      </c>
      <c r="C757" s="9" t="n">
        <v>12</v>
      </c>
      <c r="D757" s="9" t="str">
        <f aca="false">IF(C757&gt;$N$5,"YES","NO")</f>
        <v>NO</v>
      </c>
      <c r="E757" s="9" t="n">
        <v>55</v>
      </c>
      <c r="F757" s="9" t="str">
        <f aca="false">IF(E757&gt;$N$6,"YES","NO")</f>
        <v>NO</v>
      </c>
      <c r="G757" s="13" t="s">
        <v>16</v>
      </c>
    </row>
    <row r="758" customFormat="false" ht="15.75" hidden="false" customHeight="false" outlineLevel="0" collapsed="false">
      <c r="A758" s="11" t="n">
        <v>656.635</v>
      </c>
      <c r="B758" s="11" t="str">
        <f aca="false">IF(A758&gt;$N$4,"YES","NO")</f>
        <v>NO</v>
      </c>
      <c r="C758" s="9" t="n">
        <v>24</v>
      </c>
      <c r="D758" s="9" t="str">
        <f aca="false">IF(C758&gt;$N$5,"YES","NO")</f>
        <v>NO</v>
      </c>
      <c r="E758" s="9" t="n">
        <v>32</v>
      </c>
      <c r="F758" s="9" t="str">
        <f aca="false">IF(E758&gt;$N$6,"YES","NO")</f>
        <v>NO</v>
      </c>
      <c r="G758" s="13" t="s">
        <v>16</v>
      </c>
    </row>
    <row r="759" customFormat="false" ht="15.75" hidden="false" customHeight="false" outlineLevel="0" collapsed="false">
      <c r="A759" s="11" t="n">
        <v>663.789</v>
      </c>
      <c r="B759" s="11" t="str">
        <f aca="false">IF(A759&gt;$N$4,"YES","NO")</f>
        <v>NO</v>
      </c>
      <c r="C759" s="9" t="n">
        <v>6</v>
      </c>
      <c r="D759" s="9" t="str">
        <f aca="false">IF(C759&gt;$N$5,"YES","NO")</f>
        <v>NO</v>
      </c>
      <c r="E759" s="9" t="n">
        <v>74</v>
      </c>
      <c r="F759" s="9" t="str">
        <f aca="false">IF(E759&gt;$N$6,"YES","NO")</f>
        <v>YES</v>
      </c>
      <c r="G759" s="13" t="s">
        <v>13</v>
      </c>
    </row>
    <row r="760" customFormat="false" ht="15.75" hidden="false" customHeight="false" outlineLevel="0" collapsed="false">
      <c r="A760" s="11" t="n">
        <v>649.481</v>
      </c>
      <c r="B760" s="11" t="str">
        <f aca="false">IF(A760&gt;$N$4,"YES","NO")</f>
        <v>NO</v>
      </c>
      <c r="C760" s="9" t="n">
        <v>15</v>
      </c>
      <c r="D760" s="9" t="str">
        <f aca="false">IF(C760&gt;$N$5,"YES","NO")</f>
        <v>NO</v>
      </c>
      <c r="E760" s="9" t="n">
        <v>39</v>
      </c>
      <c r="F760" s="9" t="str">
        <f aca="false">IF(E760&gt;$N$6,"YES","NO")</f>
        <v>NO</v>
      </c>
      <c r="G760" s="13" t="s">
        <v>16</v>
      </c>
    </row>
    <row r="761" customFormat="false" ht="15.75" hidden="false" customHeight="false" outlineLevel="0" collapsed="false">
      <c r="A761" s="11" t="n">
        <v>711.823</v>
      </c>
      <c r="B761" s="11" t="str">
        <f aca="false">IF(A761&gt;$N$4,"YES","NO")</f>
        <v>NO</v>
      </c>
      <c r="C761" s="9" t="n">
        <v>24</v>
      </c>
      <c r="D761" s="9" t="str">
        <f aca="false">IF(C761&gt;$N$5,"YES","NO")</f>
        <v>NO</v>
      </c>
      <c r="E761" s="9" t="n">
        <v>31</v>
      </c>
      <c r="F761" s="9" t="str">
        <f aca="false">IF(E761&gt;$N$6,"YES","NO")</f>
        <v>NO</v>
      </c>
      <c r="G761" s="13" t="s">
        <v>13</v>
      </c>
    </row>
    <row r="762" customFormat="false" ht="15.75" hidden="false" customHeight="false" outlineLevel="0" collapsed="false">
      <c r="A762" s="11" t="n">
        <v>353.101</v>
      </c>
      <c r="B762" s="11" t="str">
        <f aca="false">IF(A762&gt;$N$4,"YES","NO")</f>
        <v>NO</v>
      </c>
      <c r="C762" s="9" t="n">
        <v>12</v>
      </c>
      <c r="D762" s="9" t="str">
        <f aca="false">IF(C762&gt;$N$5,"YES","NO")</f>
        <v>NO</v>
      </c>
      <c r="E762" s="9" t="n">
        <v>35</v>
      </c>
      <c r="F762" s="9" t="str">
        <f aca="false">IF(E762&gt;$N$6,"YES","NO")</f>
        <v>NO</v>
      </c>
      <c r="G762" s="13" t="s">
        <v>16</v>
      </c>
    </row>
    <row r="763" customFormat="false" ht="15.75" hidden="false" customHeight="false" outlineLevel="0" collapsed="false">
      <c r="A763" s="11" t="n">
        <v>2577.995</v>
      </c>
      <c r="B763" s="11" t="str">
        <f aca="false">IF(A763&gt;$N$4,"YES","NO")</f>
        <v>NO</v>
      </c>
      <c r="C763" s="9" t="n">
        <v>15</v>
      </c>
      <c r="D763" s="9" t="str">
        <f aca="false">IF(C763&gt;$N$5,"YES","NO")</f>
        <v>NO</v>
      </c>
      <c r="E763" s="9" t="n">
        <v>59</v>
      </c>
      <c r="F763" s="9" t="str">
        <f aca="false">IF(E763&gt;$N$6,"YES","NO")</f>
        <v>NO</v>
      </c>
      <c r="G763" s="13" t="s">
        <v>13</v>
      </c>
    </row>
    <row r="764" customFormat="false" ht="15.75" hidden="false" customHeight="false" outlineLevel="0" collapsed="false">
      <c r="A764" s="11" t="n">
        <v>1085.364</v>
      </c>
      <c r="B764" s="11" t="str">
        <f aca="false">IF(A764&gt;$N$4,"YES","NO")</f>
        <v>NO</v>
      </c>
      <c r="C764" s="9" t="n">
        <v>18</v>
      </c>
      <c r="D764" s="9" t="str">
        <f aca="false">IF(C764&gt;$N$5,"YES","NO")</f>
        <v>NO</v>
      </c>
      <c r="E764" s="9" t="n">
        <v>24</v>
      </c>
      <c r="F764" s="9" t="str">
        <f aca="false">IF(E764&gt;$N$6,"YES","NO")</f>
        <v>NO</v>
      </c>
      <c r="G764" s="13" t="s">
        <v>16</v>
      </c>
    </row>
    <row r="765" customFormat="false" ht="15.75" hidden="false" customHeight="false" outlineLevel="0" collapsed="false">
      <c r="A765" s="11" t="n">
        <v>1131.354</v>
      </c>
      <c r="B765" s="11" t="str">
        <f aca="false">IF(A765&gt;$N$4,"YES","NO")</f>
        <v>NO</v>
      </c>
      <c r="C765" s="9" t="n">
        <v>12</v>
      </c>
      <c r="D765" s="9" t="str">
        <f aca="false">IF(C765&gt;$N$5,"YES","NO")</f>
        <v>NO</v>
      </c>
      <c r="E765" s="9" t="n">
        <v>24</v>
      </c>
      <c r="F765" s="9" t="str">
        <f aca="false">IF(E765&gt;$N$6,"YES","NO")</f>
        <v>NO</v>
      </c>
      <c r="G765" s="13" t="s">
        <v>13</v>
      </c>
    </row>
    <row r="766" customFormat="false" ht="15.75" hidden="false" customHeight="false" outlineLevel="0" collapsed="false">
      <c r="A766" s="11" t="n">
        <v>6479.48</v>
      </c>
      <c r="B766" s="11" t="str">
        <f aca="false">IF(A766&gt;$N$4,"YES","NO")</f>
        <v>YES</v>
      </c>
      <c r="C766" s="9" t="n">
        <v>21</v>
      </c>
      <c r="D766" s="9" t="str">
        <f aca="false">IF(C766&gt;$N$5,"YES","NO")</f>
        <v>NO</v>
      </c>
      <c r="E766" s="9" t="n">
        <v>30</v>
      </c>
      <c r="F766" s="9" t="str">
        <f aca="false">IF(E766&gt;$N$6,"YES","NO")</f>
        <v>NO</v>
      </c>
      <c r="G766" s="13" t="s">
        <v>16</v>
      </c>
    </row>
    <row r="767" customFormat="false" ht="15.75" hidden="false" customHeight="false" outlineLevel="0" collapsed="false">
      <c r="A767" s="11" t="n">
        <v>1258.593</v>
      </c>
      <c r="B767" s="11" t="str">
        <f aca="false">IF(A767&gt;$N$4,"YES","NO")</f>
        <v>NO</v>
      </c>
      <c r="C767" s="9" t="n">
        <v>24</v>
      </c>
      <c r="D767" s="9" t="str">
        <f aca="false">IF(C767&gt;$N$5,"YES","NO")</f>
        <v>NO</v>
      </c>
      <c r="E767" s="9" t="n">
        <v>27</v>
      </c>
      <c r="F767" s="9" t="str">
        <f aca="false">IF(E767&gt;$N$6,"YES","NO")</f>
        <v>NO</v>
      </c>
      <c r="G767" s="13" t="s">
        <v>13</v>
      </c>
    </row>
    <row r="768" customFormat="false" ht="15.75" hidden="false" customHeight="false" outlineLevel="0" collapsed="false">
      <c r="A768" s="11" t="n">
        <v>590.205</v>
      </c>
      <c r="B768" s="11" t="str">
        <f aca="false">IF(A768&gt;$N$4,"YES","NO")</f>
        <v>NO</v>
      </c>
      <c r="C768" s="9" t="n">
        <v>12</v>
      </c>
      <c r="D768" s="9" t="str">
        <f aca="false">IF(C768&gt;$N$5,"YES","NO")</f>
        <v>NO</v>
      </c>
      <c r="E768" s="9" t="n">
        <v>40</v>
      </c>
      <c r="F768" s="9" t="str">
        <f aca="false">IF(E768&gt;$N$6,"YES","NO")</f>
        <v>NO</v>
      </c>
      <c r="G768" s="13" t="s">
        <v>13</v>
      </c>
    </row>
    <row r="769" customFormat="false" ht="15.75" hidden="false" customHeight="false" outlineLevel="0" collapsed="false">
      <c r="A769" s="11" t="n">
        <v>1588.188</v>
      </c>
      <c r="B769" s="11" t="str">
        <f aca="false">IF(A769&gt;$N$4,"YES","NO")</f>
        <v>NO</v>
      </c>
      <c r="C769" s="9" t="n">
        <v>30</v>
      </c>
      <c r="D769" s="9" t="str">
        <f aca="false">IF(C769&gt;$N$5,"YES","NO")</f>
        <v>NO</v>
      </c>
      <c r="E769" s="9" t="n">
        <v>31</v>
      </c>
      <c r="F769" s="9" t="str">
        <f aca="false">IF(E769&gt;$N$6,"YES","NO")</f>
        <v>NO</v>
      </c>
      <c r="G769" s="13" t="s">
        <v>16</v>
      </c>
    </row>
    <row r="770" customFormat="false" ht="15.75" hidden="false" customHeight="false" outlineLevel="0" collapsed="false">
      <c r="A770" s="11" t="n">
        <v>1482.411</v>
      </c>
      <c r="B770" s="11" t="str">
        <f aca="false">IF(A770&gt;$N$4,"YES","NO")</f>
        <v>NO</v>
      </c>
      <c r="C770" s="9" t="n">
        <v>10</v>
      </c>
      <c r="D770" s="9" t="str">
        <f aca="false">IF(C770&gt;$N$5,"YES","NO")</f>
        <v>NO</v>
      </c>
      <c r="E770" s="9" t="n">
        <v>31</v>
      </c>
      <c r="F770" s="9" t="str">
        <f aca="false">IF(E770&gt;$N$6,"YES","NO")</f>
        <v>NO</v>
      </c>
      <c r="G770" s="13" t="s">
        <v>13</v>
      </c>
    </row>
    <row r="771" customFormat="false" ht="15.75" hidden="false" customHeight="false" outlineLevel="0" collapsed="false">
      <c r="A771" s="11" t="n">
        <v>1848.287</v>
      </c>
      <c r="B771" s="11" t="str">
        <f aca="false">IF(A771&gt;$N$4,"YES","NO")</f>
        <v>NO</v>
      </c>
      <c r="C771" s="9" t="n">
        <v>12</v>
      </c>
      <c r="D771" s="9" t="str">
        <f aca="false">IF(C771&gt;$N$5,"YES","NO")</f>
        <v>NO</v>
      </c>
      <c r="E771" s="9" t="n">
        <v>28</v>
      </c>
      <c r="F771" s="9" t="str">
        <f aca="false">IF(E771&gt;$N$6,"YES","NO")</f>
        <v>NO</v>
      </c>
      <c r="G771" s="13" t="s">
        <v>13</v>
      </c>
    </row>
    <row r="772" customFormat="false" ht="15.75" hidden="false" customHeight="false" outlineLevel="0" collapsed="false">
      <c r="A772" s="11" t="n">
        <v>845.705</v>
      </c>
      <c r="B772" s="11" t="str">
        <f aca="false">IF(A772&gt;$N$4,"YES","NO")</f>
        <v>NO</v>
      </c>
      <c r="C772" s="9" t="n">
        <v>12</v>
      </c>
      <c r="D772" s="9" t="str">
        <f aca="false">IF(C772&gt;$N$5,"YES","NO")</f>
        <v>NO</v>
      </c>
      <c r="E772" s="9" t="n">
        <v>63</v>
      </c>
      <c r="F772" s="9" t="str">
        <f aca="false">IF(E772&gt;$N$6,"YES","NO")</f>
        <v>NO</v>
      </c>
      <c r="G772" s="13" t="s">
        <v>13</v>
      </c>
    </row>
    <row r="773" customFormat="false" ht="15.75" hidden="false" customHeight="false" outlineLevel="0" collapsed="false">
      <c r="A773" s="11" t="n">
        <v>1436.932</v>
      </c>
      <c r="B773" s="11" t="str">
        <f aca="false">IF(A773&gt;$N$4,"YES","NO")</f>
        <v>NO</v>
      </c>
      <c r="C773" s="9" t="n">
        <v>24</v>
      </c>
      <c r="D773" s="9" t="str">
        <f aca="false">IF(C773&gt;$N$5,"YES","NO")</f>
        <v>NO</v>
      </c>
      <c r="E773" s="9" t="n">
        <v>26</v>
      </c>
      <c r="F773" s="9" t="str">
        <f aca="false">IF(E773&gt;$N$6,"YES","NO")</f>
        <v>NO</v>
      </c>
      <c r="G773" s="13" t="s">
        <v>13</v>
      </c>
    </row>
    <row r="774" customFormat="false" ht="15.75" hidden="false" customHeight="false" outlineLevel="0" collapsed="false">
      <c r="A774" s="11" t="n">
        <v>4121.215</v>
      </c>
      <c r="B774" s="11" t="str">
        <f aca="false">IF(A774&gt;$N$4,"YES","NO")</f>
        <v>YES</v>
      </c>
      <c r="C774" s="9" t="n">
        <v>36</v>
      </c>
      <c r="D774" s="9" t="str">
        <f aca="false">IF(C774&gt;$N$5,"YES","NO")</f>
        <v>NO</v>
      </c>
      <c r="E774" s="9" t="n">
        <v>25</v>
      </c>
      <c r="F774" s="9" t="str">
        <f aca="false">IF(E774&gt;$N$6,"YES","NO")</f>
        <v>NO</v>
      </c>
      <c r="G774" s="13" t="s">
        <v>16</v>
      </c>
    </row>
    <row r="775" customFormat="false" ht="15.75" hidden="false" customHeight="false" outlineLevel="0" collapsed="false">
      <c r="A775" s="11" t="n">
        <v>1673.525</v>
      </c>
      <c r="B775" s="11" t="str">
        <f aca="false">IF(A775&gt;$N$4,"YES","NO")</f>
        <v>NO</v>
      </c>
      <c r="C775" s="9" t="n">
        <v>21</v>
      </c>
      <c r="D775" s="9" t="str">
        <f aca="false">IF(C775&gt;$N$5,"YES","NO")</f>
        <v>NO</v>
      </c>
      <c r="E775" s="9" t="n">
        <v>36</v>
      </c>
      <c r="F775" s="9" t="str">
        <f aca="false">IF(E775&gt;$N$6,"YES","NO")</f>
        <v>NO</v>
      </c>
      <c r="G775" s="13" t="s">
        <v>13</v>
      </c>
    </row>
    <row r="776" customFormat="false" ht="15.75" hidden="false" customHeight="false" outlineLevel="0" collapsed="false">
      <c r="A776" s="11" t="n">
        <v>1135.953</v>
      </c>
      <c r="B776" s="11" t="str">
        <f aca="false">IF(A776&gt;$N$4,"YES","NO")</f>
        <v>NO</v>
      </c>
      <c r="C776" s="9" t="n">
        <v>24</v>
      </c>
      <c r="D776" s="9" t="str">
        <f aca="false">IF(C776&gt;$N$5,"YES","NO")</f>
        <v>NO</v>
      </c>
      <c r="E776" s="9" t="n">
        <v>52</v>
      </c>
      <c r="F776" s="9" t="str">
        <f aca="false">IF(E776&gt;$N$6,"YES","NO")</f>
        <v>NO</v>
      </c>
      <c r="G776" s="13" t="s">
        <v>13</v>
      </c>
    </row>
    <row r="777" customFormat="false" ht="15.75" hidden="false" customHeight="false" outlineLevel="0" collapsed="false">
      <c r="A777" s="11" t="n">
        <v>756.28</v>
      </c>
      <c r="B777" s="11" t="str">
        <f aca="false">IF(A777&gt;$N$4,"YES","NO")</f>
        <v>NO</v>
      </c>
      <c r="C777" s="9" t="n">
        <v>12</v>
      </c>
      <c r="D777" s="9" t="str">
        <f aca="false">IF(C777&gt;$N$5,"YES","NO")</f>
        <v>NO</v>
      </c>
      <c r="E777" s="9" t="n">
        <v>66</v>
      </c>
      <c r="F777" s="9" t="str">
        <f aca="false">IF(E777&gt;$N$6,"YES","NO")</f>
        <v>YES</v>
      </c>
      <c r="G777" s="13" t="s">
        <v>13</v>
      </c>
    </row>
    <row r="778" customFormat="false" ht="15.75" hidden="false" customHeight="false" outlineLevel="0" collapsed="false">
      <c r="A778" s="11" t="n">
        <v>700.581</v>
      </c>
      <c r="B778" s="11" t="str">
        <f aca="false">IF(A778&gt;$N$4,"YES","NO")</f>
        <v>NO</v>
      </c>
      <c r="C778" s="9" t="n">
        <v>24</v>
      </c>
      <c r="D778" s="9" t="str">
        <f aca="false">IF(C778&gt;$N$5,"YES","NO")</f>
        <v>NO</v>
      </c>
      <c r="E778" s="9" t="n">
        <v>25</v>
      </c>
      <c r="F778" s="9" t="str">
        <f aca="false">IF(E778&gt;$N$6,"YES","NO")</f>
        <v>NO</v>
      </c>
      <c r="G778" s="13" t="s">
        <v>16</v>
      </c>
    </row>
    <row r="779" customFormat="false" ht="15.75" hidden="false" customHeight="false" outlineLevel="0" collapsed="false">
      <c r="A779" s="11" t="n">
        <v>1806.385</v>
      </c>
      <c r="B779" s="11" t="str">
        <f aca="false">IF(A779&gt;$N$4,"YES","NO")</f>
        <v>NO</v>
      </c>
      <c r="C779" s="9" t="n">
        <v>36</v>
      </c>
      <c r="D779" s="9" t="str">
        <f aca="false">IF(C779&gt;$N$5,"YES","NO")</f>
        <v>NO</v>
      </c>
      <c r="E779" s="9" t="n">
        <v>37</v>
      </c>
      <c r="F779" s="9" t="str">
        <f aca="false">IF(E779&gt;$N$6,"YES","NO")</f>
        <v>NO</v>
      </c>
      <c r="G779" s="13" t="s">
        <v>13</v>
      </c>
    </row>
    <row r="780" customFormat="false" ht="15.75" hidden="false" customHeight="false" outlineLevel="0" collapsed="false">
      <c r="A780" s="11" t="n">
        <v>1793.099</v>
      </c>
      <c r="B780" s="11" t="str">
        <f aca="false">IF(A780&gt;$N$4,"YES","NO")</f>
        <v>NO</v>
      </c>
      <c r="C780" s="9" t="n">
        <v>18</v>
      </c>
      <c r="D780" s="9" t="str">
        <f aca="false">IF(C780&gt;$N$5,"YES","NO")</f>
        <v>NO</v>
      </c>
      <c r="E780" s="9" t="n">
        <v>25</v>
      </c>
      <c r="F780" s="9" t="str">
        <f aca="false">IF(E780&gt;$N$6,"YES","NO")</f>
        <v>NO</v>
      </c>
      <c r="G780" s="13" t="s">
        <v>13</v>
      </c>
    </row>
    <row r="781" customFormat="false" ht="15.75" hidden="false" customHeight="false" outlineLevel="0" collapsed="false">
      <c r="A781" s="11" t="n">
        <v>2918.321</v>
      </c>
      <c r="B781" s="11" t="str">
        <f aca="false">IF(A781&gt;$N$4,"YES","NO")</f>
        <v>NO</v>
      </c>
      <c r="C781" s="9" t="n">
        <v>36</v>
      </c>
      <c r="D781" s="9" t="str">
        <f aca="false">IF(C781&gt;$N$5,"YES","NO")</f>
        <v>NO</v>
      </c>
      <c r="E781" s="9" t="n">
        <v>38</v>
      </c>
      <c r="F781" s="9" t="str">
        <f aca="false">IF(E781&gt;$N$6,"YES","NO")</f>
        <v>NO</v>
      </c>
      <c r="G781" s="13" t="s">
        <v>13</v>
      </c>
    </row>
    <row r="782" customFormat="false" ht="15.75" hidden="false" customHeight="false" outlineLevel="0" collapsed="false">
      <c r="A782" s="11" t="n">
        <v>1978.592</v>
      </c>
      <c r="B782" s="11" t="str">
        <f aca="false">IF(A782&gt;$N$4,"YES","NO")</f>
        <v>NO</v>
      </c>
      <c r="C782" s="9" t="n">
        <v>18</v>
      </c>
      <c r="D782" s="9" t="str">
        <f aca="false">IF(C782&gt;$N$5,"YES","NO")</f>
        <v>NO</v>
      </c>
      <c r="E782" s="9" t="n">
        <v>67</v>
      </c>
      <c r="F782" s="9" t="str">
        <f aca="false">IF(E782&gt;$N$6,"YES","NO")</f>
        <v>YES</v>
      </c>
      <c r="G782" s="13" t="s">
        <v>13</v>
      </c>
    </row>
    <row r="783" customFormat="false" ht="15.75" hidden="false" customHeight="false" outlineLevel="0" collapsed="false">
      <c r="A783" s="11" t="n">
        <v>2520.763</v>
      </c>
      <c r="B783" s="11" t="str">
        <f aca="false">IF(A783&gt;$N$4,"YES","NO")</f>
        <v>NO</v>
      </c>
      <c r="C783" s="9" t="n">
        <v>39</v>
      </c>
      <c r="D783" s="9" t="str">
        <f aca="false">IF(C783&gt;$N$5,"YES","NO")</f>
        <v>NO</v>
      </c>
      <c r="E783" s="9" t="n">
        <v>25</v>
      </c>
      <c r="F783" s="9" t="str">
        <f aca="false">IF(E783&gt;$N$6,"YES","NO")</f>
        <v>NO</v>
      </c>
      <c r="G783" s="13" t="s">
        <v>16</v>
      </c>
    </row>
    <row r="784" customFormat="false" ht="15.75" hidden="false" customHeight="false" outlineLevel="0" collapsed="false">
      <c r="A784" s="11" t="n">
        <v>991.34</v>
      </c>
      <c r="B784" s="11" t="str">
        <f aca="false">IF(A784&gt;$N$4,"YES","NO")</f>
        <v>NO</v>
      </c>
      <c r="C784" s="9" t="n">
        <v>24</v>
      </c>
      <c r="D784" s="9" t="str">
        <f aca="false">IF(C784&gt;$N$5,"YES","NO")</f>
        <v>NO</v>
      </c>
      <c r="E784" s="9" t="n">
        <v>60</v>
      </c>
      <c r="F784" s="9" t="str">
        <f aca="false">IF(E784&gt;$N$6,"YES","NO")</f>
        <v>NO</v>
      </c>
      <c r="G784" s="13" t="s">
        <v>13</v>
      </c>
    </row>
    <row r="785" customFormat="false" ht="15.75" hidden="false" customHeight="false" outlineLevel="0" collapsed="false">
      <c r="A785" s="11" t="n">
        <v>720.51</v>
      </c>
      <c r="B785" s="11" t="str">
        <f aca="false">IF(A785&gt;$N$4,"YES","NO")</f>
        <v>NO</v>
      </c>
      <c r="C785" s="9" t="n">
        <v>12</v>
      </c>
      <c r="D785" s="9" t="str">
        <f aca="false">IF(C785&gt;$N$5,"YES","NO")</f>
        <v>NO</v>
      </c>
      <c r="E785" s="9" t="n">
        <v>31</v>
      </c>
      <c r="F785" s="9" t="str">
        <f aca="false">IF(E785&gt;$N$6,"YES","NO")</f>
        <v>NO</v>
      </c>
      <c r="G785" s="13" t="s">
        <v>13</v>
      </c>
    </row>
    <row r="786" customFormat="false" ht="15.75" hidden="false" customHeight="false" outlineLevel="0" collapsed="false">
      <c r="A786" s="11" t="n">
        <v>427.196</v>
      </c>
      <c r="B786" s="11" t="str">
        <f aca="false">IF(A786&gt;$N$4,"YES","NO")</f>
        <v>NO</v>
      </c>
      <c r="C786" s="9" t="n">
        <v>12</v>
      </c>
      <c r="D786" s="9" t="str">
        <f aca="false">IF(C786&gt;$N$5,"YES","NO")</f>
        <v>NO</v>
      </c>
      <c r="E786" s="9" t="n">
        <v>23</v>
      </c>
      <c r="F786" s="9" t="str">
        <f aca="false">IF(E786&gt;$N$6,"YES","NO")</f>
        <v>NO</v>
      </c>
      <c r="G786" s="13" t="s">
        <v>16</v>
      </c>
    </row>
    <row r="787" customFormat="false" ht="15.75" hidden="false" customHeight="false" outlineLevel="0" collapsed="false">
      <c r="A787" s="11" t="n">
        <v>3305.148</v>
      </c>
      <c r="B787" s="11" t="str">
        <f aca="false">IF(A787&gt;$N$4,"YES","NO")</f>
        <v>NO</v>
      </c>
      <c r="C787" s="9" t="n">
        <v>20</v>
      </c>
      <c r="D787" s="9" t="str">
        <f aca="false">IF(C787&gt;$N$5,"YES","NO")</f>
        <v>NO</v>
      </c>
      <c r="E787" s="9" t="n">
        <v>60</v>
      </c>
      <c r="F787" s="9" t="str">
        <f aca="false">IF(E787&gt;$N$6,"YES","NO")</f>
        <v>NO</v>
      </c>
      <c r="G787" s="13" t="s">
        <v>13</v>
      </c>
    </row>
    <row r="788" customFormat="false" ht="15.75" hidden="false" customHeight="false" outlineLevel="0" collapsed="false">
      <c r="A788" s="11" t="n">
        <v>991.851</v>
      </c>
      <c r="B788" s="11" t="str">
        <f aca="false">IF(A788&gt;$N$4,"YES","NO")</f>
        <v>NO</v>
      </c>
      <c r="C788" s="9" t="n">
        <v>18</v>
      </c>
      <c r="D788" s="9" t="str">
        <f aca="false">IF(C788&gt;$N$5,"YES","NO")</f>
        <v>NO</v>
      </c>
      <c r="E788" s="9" t="n">
        <v>35</v>
      </c>
      <c r="F788" s="9" t="str">
        <f aca="false">IF(E788&gt;$N$6,"YES","NO")</f>
        <v>NO</v>
      </c>
      <c r="G788" s="13" t="s">
        <v>13</v>
      </c>
    </row>
    <row r="789" customFormat="false" ht="15.75" hidden="false" customHeight="false" outlineLevel="0" collapsed="false">
      <c r="A789" s="11" t="n">
        <v>1366.925</v>
      </c>
      <c r="B789" s="11" t="str">
        <f aca="false">IF(A789&gt;$N$4,"YES","NO")</f>
        <v>NO</v>
      </c>
      <c r="C789" s="9" t="n">
        <v>22</v>
      </c>
      <c r="D789" s="9" t="str">
        <f aca="false">IF(C789&gt;$N$5,"YES","NO")</f>
        <v>NO</v>
      </c>
      <c r="E789" s="9" t="n">
        <v>40</v>
      </c>
      <c r="F789" s="9" t="str">
        <f aca="false">IF(E789&gt;$N$6,"YES","NO")</f>
        <v>NO</v>
      </c>
      <c r="G789" s="13" t="s">
        <v>13</v>
      </c>
    </row>
    <row r="790" customFormat="false" ht="15.75" hidden="false" customHeight="false" outlineLevel="0" collapsed="false">
      <c r="A790" s="11" t="n">
        <v>1405.761</v>
      </c>
      <c r="B790" s="11" t="str">
        <f aca="false">IF(A790&gt;$N$4,"YES","NO")</f>
        <v>NO</v>
      </c>
      <c r="C790" s="9" t="n">
        <v>48</v>
      </c>
      <c r="D790" s="9" t="str">
        <f aca="false">IF(C790&gt;$N$5,"YES","NO")</f>
        <v>YES</v>
      </c>
      <c r="E790" s="9" t="n">
        <v>38</v>
      </c>
      <c r="F790" s="9" t="str">
        <f aca="false">IF(E790&gt;$N$6,"YES","NO")</f>
        <v>NO</v>
      </c>
      <c r="G790" s="13" t="s">
        <v>13</v>
      </c>
    </row>
    <row r="791" customFormat="false" ht="15.75" hidden="false" customHeight="false" outlineLevel="0" collapsed="false">
      <c r="A791" s="11" t="n">
        <v>3180.464</v>
      </c>
      <c r="B791" s="11" t="str">
        <f aca="false">IF(A791&gt;$N$4,"YES","NO")</f>
        <v>NO</v>
      </c>
      <c r="C791" s="9" t="n">
        <v>48</v>
      </c>
      <c r="D791" s="9" t="str">
        <f aca="false">IF(C791&gt;$N$5,"YES","NO")</f>
        <v>YES</v>
      </c>
      <c r="E791" s="9" t="n">
        <v>50</v>
      </c>
      <c r="F791" s="9" t="str">
        <f aca="false">IF(E791&gt;$N$6,"YES","NO")</f>
        <v>NO</v>
      </c>
      <c r="G791" s="13" t="s">
        <v>16</v>
      </c>
    </row>
    <row r="792" customFormat="false" ht="15.75" hidden="false" customHeight="false" outlineLevel="0" collapsed="false">
      <c r="A792" s="11" t="n">
        <v>3064.978</v>
      </c>
      <c r="B792" s="11" t="str">
        <f aca="false">IF(A792&gt;$N$4,"YES","NO")</f>
        <v>NO</v>
      </c>
      <c r="C792" s="9" t="n">
        <v>40</v>
      </c>
      <c r="D792" s="9" t="str">
        <f aca="false">IF(C792&gt;$N$5,"YES","NO")</f>
        <v>NO</v>
      </c>
      <c r="E792" s="9" t="n">
        <v>27</v>
      </c>
      <c r="F792" s="9" t="str">
        <f aca="false">IF(E792&gt;$N$6,"YES","NO")</f>
        <v>NO</v>
      </c>
      <c r="G792" s="13" t="s">
        <v>16</v>
      </c>
    </row>
    <row r="793" customFormat="false" ht="15.75" hidden="false" customHeight="false" outlineLevel="0" collapsed="false">
      <c r="A793" s="11" t="n">
        <v>607.068</v>
      </c>
      <c r="B793" s="11" t="str">
        <f aca="false">IF(A793&gt;$N$4,"YES","NO")</f>
        <v>NO</v>
      </c>
      <c r="C793" s="9" t="n">
        <v>21</v>
      </c>
      <c r="D793" s="9" t="str">
        <f aca="false">IF(C793&gt;$N$5,"YES","NO")</f>
        <v>NO</v>
      </c>
      <c r="E793" s="9" t="n">
        <v>39</v>
      </c>
      <c r="F793" s="9" t="str">
        <f aca="false">IF(E793&gt;$N$6,"YES","NO")</f>
        <v>NO</v>
      </c>
      <c r="G793" s="13" t="s">
        <v>16</v>
      </c>
    </row>
    <row r="794" customFormat="false" ht="15.75" hidden="false" customHeight="false" outlineLevel="0" collapsed="false">
      <c r="A794" s="11" t="n">
        <v>3225.943</v>
      </c>
      <c r="B794" s="11" t="str">
        <f aca="false">IF(A794&gt;$N$4,"YES","NO")</f>
        <v>NO</v>
      </c>
      <c r="C794" s="9" t="n">
        <v>24</v>
      </c>
      <c r="D794" s="9" t="str">
        <f aca="false">IF(C794&gt;$N$5,"YES","NO")</f>
        <v>NO</v>
      </c>
      <c r="E794" s="9" t="n">
        <v>41</v>
      </c>
      <c r="F794" s="9" t="str">
        <f aca="false">IF(E794&gt;$N$6,"YES","NO")</f>
        <v>NO</v>
      </c>
      <c r="G794" s="13" t="s">
        <v>13</v>
      </c>
    </row>
    <row r="795" customFormat="false" ht="15.75" hidden="false" customHeight="false" outlineLevel="0" collapsed="false">
      <c r="A795" s="11" t="n">
        <v>623.931</v>
      </c>
      <c r="B795" s="11" t="str">
        <f aca="false">IF(A795&gt;$N$4,"YES","NO")</f>
        <v>NO</v>
      </c>
      <c r="C795" s="9" t="n">
        <v>6</v>
      </c>
      <c r="D795" s="9" t="str">
        <f aca="false">IF(C795&gt;$N$5,"YES","NO")</f>
        <v>NO</v>
      </c>
      <c r="E795" s="9" t="n">
        <v>27</v>
      </c>
      <c r="F795" s="9" t="str">
        <f aca="false">IF(E795&gt;$N$6,"YES","NO")</f>
        <v>NO</v>
      </c>
      <c r="G795" s="13" t="s">
        <v>13</v>
      </c>
    </row>
    <row r="796" customFormat="false" ht="15.75" hidden="false" customHeight="false" outlineLevel="0" collapsed="false">
      <c r="A796" s="11" t="n">
        <v>1477.812</v>
      </c>
      <c r="B796" s="11" t="str">
        <f aca="false">IF(A796&gt;$N$4,"YES","NO")</f>
        <v>NO</v>
      </c>
      <c r="C796" s="9" t="n">
        <v>24</v>
      </c>
      <c r="D796" s="9" t="str">
        <f aca="false">IF(C796&gt;$N$5,"YES","NO")</f>
        <v>NO</v>
      </c>
      <c r="E796" s="9" t="n">
        <v>51</v>
      </c>
      <c r="F796" s="9" t="str">
        <f aca="false">IF(E796&gt;$N$6,"YES","NO")</f>
        <v>NO</v>
      </c>
      <c r="G796" s="13" t="s">
        <v>13</v>
      </c>
    </row>
    <row r="797" customFormat="false" ht="15.75" hidden="false" customHeight="false" outlineLevel="0" collapsed="false">
      <c r="A797" s="11" t="n">
        <v>1564.682</v>
      </c>
      <c r="B797" s="11" t="str">
        <f aca="false">IF(A797&gt;$N$4,"YES","NO")</f>
        <v>NO</v>
      </c>
      <c r="C797" s="9" t="n">
        <v>24</v>
      </c>
      <c r="D797" s="9" t="str">
        <f aca="false">IF(C797&gt;$N$5,"YES","NO")</f>
        <v>NO</v>
      </c>
      <c r="E797" s="9" t="n">
        <v>32</v>
      </c>
      <c r="F797" s="9" t="str">
        <f aca="false">IF(E797&gt;$N$6,"YES","NO")</f>
        <v>NO</v>
      </c>
      <c r="G797" s="13" t="s">
        <v>13</v>
      </c>
    </row>
    <row r="798" customFormat="false" ht="15.75" hidden="false" customHeight="false" outlineLevel="0" collapsed="false">
      <c r="A798" s="11" t="n">
        <v>1175.811</v>
      </c>
      <c r="B798" s="11" t="str">
        <f aca="false">IF(A798&gt;$N$4,"YES","NO")</f>
        <v>NO</v>
      </c>
      <c r="C798" s="9" t="n">
        <v>9</v>
      </c>
      <c r="D798" s="9" t="str">
        <f aca="false">IF(C798&gt;$N$5,"YES","NO")</f>
        <v>NO</v>
      </c>
      <c r="E798" s="9" t="n">
        <v>22</v>
      </c>
      <c r="F798" s="9" t="str">
        <f aca="false">IF(E798&gt;$N$6,"YES","NO")</f>
        <v>NO</v>
      </c>
      <c r="G798" s="13" t="s">
        <v>13</v>
      </c>
    </row>
    <row r="799" customFormat="false" ht="15.75" hidden="false" customHeight="false" outlineLevel="0" collapsed="false">
      <c r="A799" s="11" t="n">
        <v>3838.121</v>
      </c>
      <c r="B799" s="11" t="str">
        <f aca="false">IF(A799&gt;$N$4,"YES","NO")</f>
        <v>NO</v>
      </c>
      <c r="C799" s="9" t="n">
        <v>18</v>
      </c>
      <c r="D799" s="9" t="str">
        <f aca="false">IF(C799&gt;$N$5,"YES","NO")</f>
        <v>NO</v>
      </c>
      <c r="E799" s="9" t="n">
        <v>51</v>
      </c>
      <c r="F799" s="9" t="str">
        <f aca="false">IF(E799&gt;$N$6,"YES","NO")</f>
        <v>NO</v>
      </c>
      <c r="G799" s="13" t="s">
        <v>16</v>
      </c>
    </row>
    <row r="800" customFormat="false" ht="15.75" hidden="false" customHeight="false" outlineLevel="0" collapsed="false">
      <c r="A800" s="11" t="n">
        <v>642.838</v>
      </c>
      <c r="B800" s="11" t="str">
        <f aca="false">IF(A800&gt;$N$4,"YES","NO")</f>
        <v>NO</v>
      </c>
      <c r="C800" s="9" t="n">
        <v>12</v>
      </c>
      <c r="D800" s="9" t="str">
        <f aca="false">IF(C800&gt;$N$5,"YES","NO")</f>
        <v>NO</v>
      </c>
      <c r="E800" s="9" t="n">
        <v>22</v>
      </c>
      <c r="F800" s="9" t="str">
        <f aca="false">IF(E800&gt;$N$6,"YES","NO")</f>
        <v>NO</v>
      </c>
      <c r="G800" s="13" t="s">
        <v>13</v>
      </c>
    </row>
    <row r="801" customFormat="false" ht="15.75" hidden="false" customHeight="false" outlineLevel="0" collapsed="false">
      <c r="A801" s="11" t="n">
        <v>366.387</v>
      </c>
      <c r="B801" s="11" t="str">
        <f aca="false">IF(A801&gt;$N$4,"YES","NO")</f>
        <v>NO</v>
      </c>
      <c r="C801" s="9" t="n">
        <v>24</v>
      </c>
      <c r="D801" s="9" t="str">
        <f aca="false">IF(C801&gt;$N$5,"YES","NO")</f>
        <v>NO</v>
      </c>
      <c r="E801" s="9" t="n">
        <v>54</v>
      </c>
      <c r="F801" s="9" t="str">
        <f aca="false">IF(E801&gt;$N$6,"YES","NO")</f>
        <v>NO</v>
      </c>
      <c r="G801" s="13" t="s">
        <v>13</v>
      </c>
    </row>
    <row r="802" customFormat="false" ht="15.75" hidden="false" customHeight="false" outlineLevel="0" collapsed="false">
      <c r="A802" s="11" t="n">
        <v>791.539</v>
      </c>
      <c r="B802" s="11" t="str">
        <f aca="false">IF(A802&gt;$N$4,"YES","NO")</f>
        <v>NO</v>
      </c>
      <c r="C802" s="9" t="n">
        <v>9</v>
      </c>
      <c r="D802" s="9" t="str">
        <f aca="false">IF(C802&gt;$N$5,"YES","NO")</f>
        <v>NO</v>
      </c>
      <c r="E802" s="9" t="n">
        <v>35</v>
      </c>
      <c r="F802" s="9" t="str">
        <f aca="false">IF(E802&gt;$N$6,"YES","NO")</f>
        <v>NO</v>
      </c>
      <c r="G802" s="13" t="s">
        <v>13</v>
      </c>
    </row>
    <row r="803" customFormat="false" ht="15.75" hidden="false" customHeight="false" outlineLevel="0" collapsed="false">
      <c r="A803" s="11" t="n">
        <v>816.067</v>
      </c>
      <c r="B803" s="11" t="str">
        <f aca="false">IF(A803&gt;$N$4,"YES","NO")</f>
        <v>NO</v>
      </c>
      <c r="C803" s="9" t="n">
        <v>24</v>
      </c>
      <c r="D803" s="9" t="str">
        <f aca="false">IF(C803&gt;$N$5,"YES","NO")</f>
        <v>NO</v>
      </c>
      <c r="E803" s="9" t="n">
        <v>54</v>
      </c>
      <c r="F803" s="9" t="str">
        <f aca="false">IF(E803&gt;$N$6,"YES","NO")</f>
        <v>NO</v>
      </c>
      <c r="G803" s="13" t="s">
        <v>13</v>
      </c>
    </row>
    <row r="804" customFormat="false" ht="15.75" hidden="false" customHeight="false" outlineLevel="0" collapsed="false">
      <c r="A804" s="11" t="n">
        <v>917.245</v>
      </c>
      <c r="B804" s="11" t="str">
        <f aca="false">IF(A804&gt;$N$4,"YES","NO")</f>
        <v>NO</v>
      </c>
      <c r="C804" s="9" t="n">
        <v>18</v>
      </c>
      <c r="D804" s="9" t="str">
        <f aca="false">IF(C804&gt;$N$5,"YES","NO")</f>
        <v>NO</v>
      </c>
      <c r="E804" s="9" t="n">
        <v>48</v>
      </c>
      <c r="F804" s="9" t="str">
        <f aca="false">IF(E804&gt;$N$6,"YES","NO")</f>
        <v>NO</v>
      </c>
      <c r="G804" s="13" t="s">
        <v>13</v>
      </c>
    </row>
    <row r="805" customFormat="false" ht="15.75" hidden="false" customHeight="false" outlineLevel="0" collapsed="false">
      <c r="A805" s="11" t="n">
        <v>2182.992</v>
      </c>
      <c r="B805" s="11" t="str">
        <f aca="false">IF(A805&gt;$N$4,"YES","NO")</f>
        <v>NO</v>
      </c>
      <c r="C805" s="9" t="n">
        <v>20</v>
      </c>
      <c r="D805" s="9" t="str">
        <f aca="false">IF(C805&gt;$N$5,"YES","NO")</f>
        <v>NO</v>
      </c>
      <c r="E805" s="9" t="n">
        <v>24</v>
      </c>
      <c r="F805" s="9" t="str">
        <f aca="false">IF(E805&gt;$N$6,"YES","NO")</f>
        <v>NO</v>
      </c>
      <c r="G805" s="13" t="s">
        <v>13</v>
      </c>
    </row>
    <row r="806" customFormat="false" ht="15.75" hidden="false" customHeight="false" outlineLevel="0" collapsed="false">
      <c r="A806" s="11" t="n">
        <v>498.736</v>
      </c>
      <c r="B806" s="11" t="str">
        <f aca="false">IF(A806&gt;$N$4,"YES","NO")</f>
        <v>NO</v>
      </c>
      <c r="C806" s="9" t="n">
        <v>12</v>
      </c>
      <c r="D806" s="9" t="str">
        <f aca="false">IF(C806&gt;$N$5,"YES","NO")</f>
        <v>NO</v>
      </c>
      <c r="E806" s="9" t="n">
        <v>35</v>
      </c>
      <c r="F806" s="9" t="str">
        <f aca="false">IF(E806&gt;$N$6,"YES","NO")</f>
        <v>NO</v>
      </c>
      <c r="G806" s="13" t="s">
        <v>13</v>
      </c>
    </row>
    <row r="807" customFormat="false" ht="15.75" hidden="false" customHeight="false" outlineLevel="0" collapsed="false">
      <c r="A807" s="11" t="n">
        <v>3818.192</v>
      </c>
      <c r="B807" s="11" t="str">
        <f aca="false">IF(A807&gt;$N$4,"YES","NO")</f>
        <v>NO</v>
      </c>
      <c r="C807" s="9" t="n">
        <v>12</v>
      </c>
      <c r="D807" s="9" t="str">
        <f aca="false">IF(C807&gt;$N$5,"YES","NO")</f>
        <v>NO</v>
      </c>
      <c r="E807" s="9" t="n">
        <v>24</v>
      </c>
      <c r="F807" s="9" t="str">
        <f aca="false">IF(E807&gt;$N$6,"YES","NO")</f>
        <v>NO</v>
      </c>
      <c r="G807" s="13" t="s">
        <v>13</v>
      </c>
    </row>
    <row r="808" customFormat="false" ht="15.75" hidden="false" customHeight="false" outlineLevel="0" collapsed="false">
      <c r="A808" s="11" t="n">
        <v>4737.481</v>
      </c>
      <c r="B808" s="11" t="str">
        <f aca="false">IF(A808&gt;$N$4,"YES","NO")</f>
        <v>YES</v>
      </c>
      <c r="C808" s="9" t="n">
        <v>36</v>
      </c>
      <c r="D808" s="9" t="str">
        <f aca="false">IF(C808&gt;$N$5,"YES","NO")</f>
        <v>NO</v>
      </c>
      <c r="E808" s="9" t="n">
        <v>24</v>
      </c>
      <c r="F808" s="9" t="str">
        <f aca="false">IF(E808&gt;$N$6,"YES","NO")</f>
        <v>NO</v>
      </c>
      <c r="G808" s="13" t="s">
        <v>16</v>
      </c>
    </row>
    <row r="809" customFormat="false" ht="15.75" hidden="false" customHeight="false" outlineLevel="0" collapsed="false">
      <c r="A809" s="11" t="n">
        <v>301.49</v>
      </c>
      <c r="B809" s="11" t="str">
        <f aca="false">IF(A809&gt;$N$4,"YES","NO")</f>
        <v>NO</v>
      </c>
      <c r="C809" s="9" t="n">
        <v>6</v>
      </c>
      <c r="D809" s="9" t="str">
        <f aca="false">IF(C809&gt;$N$5,"YES","NO")</f>
        <v>NO</v>
      </c>
      <c r="E809" s="9" t="n">
        <v>26</v>
      </c>
      <c r="F809" s="9" t="str">
        <f aca="false">IF(E809&gt;$N$6,"YES","NO")</f>
        <v>NO</v>
      </c>
      <c r="G809" s="13" t="s">
        <v>13</v>
      </c>
    </row>
    <row r="810" customFormat="false" ht="15.75" hidden="false" customHeight="false" outlineLevel="0" collapsed="false">
      <c r="A810" s="11" t="n">
        <v>475.23</v>
      </c>
      <c r="B810" s="11" t="str">
        <f aca="false">IF(A810&gt;$N$4,"YES","NO")</f>
        <v>NO</v>
      </c>
      <c r="C810" s="9" t="n">
        <v>12</v>
      </c>
      <c r="D810" s="9" t="str">
        <f aca="false">IF(C810&gt;$N$5,"YES","NO")</f>
        <v>NO</v>
      </c>
      <c r="E810" s="9" t="n">
        <v>65</v>
      </c>
      <c r="F810" s="9" t="str">
        <f aca="false">IF(E810&gt;$N$6,"YES","NO")</f>
        <v>YES</v>
      </c>
      <c r="G810" s="13" t="s">
        <v>13</v>
      </c>
    </row>
    <row r="811" customFormat="false" ht="15.75" hidden="false" customHeight="false" outlineLevel="0" collapsed="false">
      <c r="A811" s="11" t="n">
        <v>4743.613</v>
      </c>
      <c r="B811" s="11" t="str">
        <f aca="false">IF(A811&gt;$N$4,"YES","NO")</f>
        <v>YES</v>
      </c>
      <c r="C811" s="9" t="n">
        <v>42</v>
      </c>
      <c r="D811" s="9" t="str">
        <f aca="false">IF(C811&gt;$N$5,"YES","NO")</f>
        <v>NO</v>
      </c>
      <c r="E811" s="9" t="n">
        <v>55</v>
      </c>
      <c r="F811" s="9" t="str">
        <f aca="false">IF(E811&gt;$N$6,"YES","NO")</f>
        <v>NO</v>
      </c>
      <c r="G811" s="13" t="s">
        <v>13</v>
      </c>
    </row>
    <row r="812" customFormat="false" ht="15.75" hidden="false" customHeight="false" outlineLevel="0" collapsed="false">
      <c r="A812" s="11" t="n">
        <v>908.558</v>
      </c>
      <c r="B812" s="11" t="str">
        <f aca="false">IF(A812&gt;$N$4,"YES","NO")</f>
        <v>NO</v>
      </c>
      <c r="C812" s="9" t="n">
        <v>15</v>
      </c>
      <c r="D812" s="9" t="str">
        <f aca="false">IF(C812&gt;$N$5,"YES","NO")</f>
        <v>NO</v>
      </c>
      <c r="E812" s="9" t="n">
        <v>26</v>
      </c>
      <c r="F812" s="9" t="str">
        <f aca="false">IF(E812&gt;$N$6,"YES","NO")</f>
        <v>NO</v>
      </c>
      <c r="G812" s="13" t="s">
        <v>16</v>
      </c>
    </row>
    <row r="813" customFormat="false" ht="15.75" hidden="false" customHeight="false" outlineLevel="0" collapsed="false">
      <c r="A813" s="11" t="n">
        <v>463.477</v>
      </c>
      <c r="B813" s="11" t="str">
        <f aca="false">IF(A813&gt;$N$4,"YES","NO")</f>
        <v>NO</v>
      </c>
      <c r="C813" s="9" t="n">
        <v>8</v>
      </c>
      <c r="D813" s="9" t="str">
        <f aca="false">IF(C813&gt;$N$5,"YES","NO")</f>
        <v>NO</v>
      </c>
      <c r="E813" s="9" t="n">
        <v>26</v>
      </c>
      <c r="F813" s="9" t="str">
        <f aca="false">IF(E813&gt;$N$6,"YES","NO")</f>
        <v>NO</v>
      </c>
      <c r="G813" s="13" t="s">
        <v>13</v>
      </c>
    </row>
    <row r="814" customFormat="false" ht="15.75" hidden="false" customHeight="false" outlineLevel="0" collapsed="false">
      <c r="A814" s="11" t="n">
        <v>247.324</v>
      </c>
      <c r="B814" s="11" t="str">
        <f aca="false">IF(A814&gt;$N$4,"YES","NO")</f>
        <v>NO</v>
      </c>
      <c r="C814" s="9" t="n">
        <v>6</v>
      </c>
      <c r="D814" s="9" t="str">
        <f aca="false">IF(C814&gt;$N$5,"YES","NO")</f>
        <v>NO</v>
      </c>
      <c r="E814" s="9" t="n">
        <v>28</v>
      </c>
      <c r="F814" s="9" t="str">
        <f aca="false">IF(E814&gt;$N$6,"YES","NO")</f>
        <v>NO</v>
      </c>
      <c r="G814" s="13" t="s">
        <v>13</v>
      </c>
    </row>
    <row r="815" customFormat="false" ht="15.75" hidden="false" customHeight="false" outlineLevel="0" collapsed="false">
      <c r="A815" s="11" t="n">
        <v>4920.419</v>
      </c>
      <c r="B815" s="11" t="str">
        <f aca="false">IF(A815&gt;$N$4,"YES","NO")</f>
        <v>YES</v>
      </c>
      <c r="C815" s="9" t="n">
        <v>36</v>
      </c>
      <c r="D815" s="9" t="str">
        <f aca="false">IF(C815&gt;$N$5,"YES","NO")</f>
        <v>NO</v>
      </c>
      <c r="E815" s="9" t="n">
        <v>24</v>
      </c>
      <c r="F815" s="9" t="str">
        <f aca="false">IF(E815&gt;$N$6,"YES","NO")</f>
        <v>NO</v>
      </c>
      <c r="G815" s="13" t="s">
        <v>16</v>
      </c>
    </row>
    <row r="816" customFormat="false" ht="15.75" hidden="false" customHeight="false" outlineLevel="0" collapsed="false">
      <c r="A816" s="11" t="n">
        <v>1559.061</v>
      </c>
      <c r="B816" s="11" t="str">
        <f aca="false">IF(A816&gt;$N$4,"YES","NO")</f>
        <v>NO</v>
      </c>
      <c r="C816" s="9" t="n">
        <v>48</v>
      </c>
      <c r="D816" s="9" t="str">
        <f aca="false">IF(C816&gt;$N$5,"YES","NO")</f>
        <v>YES</v>
      </c>
      <c r="E816" s="9" t="n">
        <v>54</v>
      </c>
      <c r="F816" s="9" t="str">
        <f aca="false">IF(E816&gt;$N$6,"YES","NO")</f>
        <v>NO</v>
      </c>
      <c r="G816" s="13" t="s">
        <v>16</v>
      </c>
    </row>
    <row r="817" customFormat="false" ht="15.75" hidden="false" customHeight="false" outlineLevel="0" collapsed="false">
      <c r="A817" s="11" t="n">
        <v>2008.741</v>
      </c>
      <c r="B817" s="11" t="str">
        <f aca="false">IF(A817&gt;$N$4,"YES","NO")</f>
        <v>NO</v>
      </c>
      <c r="C817" s="9" t="n">
        <v>48</v>
      </c>
      <c r="D817" s="9" t="str">
        <f aca="false">IF(C817&gt;$N$5,"YES","NO")</f>
        <v>YES</v>
      </c>
      <c r="E817" s="9" t="n">
        <v>46</v>
      </c>
      <c r="F817" s="9" t="str">
        <f aca="false">IF(E817&gt;$N$6,"YES","NO")</f>
        <v>NO</v>
      </c>
      <c r="G817" s="13" t="s">
        <v>16</v>
      </c>
    </row>
    <row r="818" customFormat="false" ht="15.75" hidden="false" customHeight="false" outlineLevel="0" collapsed="false">
      <c r="A818" s="11" t="n">
        <v>3797.752</v>
      </c>
      <c r="B818" s="11" t="str">
        <f aca="false">IF(A818&gt;$N$4,"YES","NO")</f>
        <v>NO</v>
      </c>
      <c r="C818" s="9" t="n">
        <v>36</v>
      </c>
      <c r="D818" s="9" t="str">
        <f aca="false">IF(C818&gt;$N$5,"YES","NO")</f>
        <v>NO</v>
      </c>
      <c r="E818" s="9" t="n">
        <v>54</v>
      </c>
      <c r="F818" s="9" t="str">
        <f aca="false">IF(E818&gt;$N$6,"YES","NO")</f>
        <v>NO</v>
      </c>
      <c r="G818" s="13" t="s">
        <v>13</v>
      </c>
    </row>
    <row r="819" customFormat="false" ht="15.75" hidden="false" customHeight="false" outlineLevel="0" collapsed="false">
      <c r="A819" s="11" t="n">
        <v>683.718</v>
      </c>
      <c r="B819" s="11" t="str">
        <f aca="false">IF(A819&gt;$N$4,"YES","NO")</f>
        <v>NO</v>
      </c>
      <c r="C819" s="9" t="n">
        <v>6</v>
      </c>
      <c r="D819" s="9" t="str">
        <f aca="false">IF(C819&gt;$N$5,"YES","NO")</f>
        <v>NO</v>
      </c>
      <c r="E819" s="9" t="n">
        <v>62</v>
      </c>
      <c r="F819" s="9" t="str">
        <f aca="false">IF(E819&gt;$N$6,"YES","NO")</f>
        <v>NO</v>
      </c>
      <c r="G819" s="13" t="s">
        <v>13</v>
      </c>
    </row>
    <row r="820" customFormat="false" ht="15.75" hidden="false" customHeight="false" outlineLevel="0" collapsed="false">
      <c r="A820" s="11" t="n">
        <v>794.094</v>
      </c>
      <c r="B820" s="11" t="str">
        <f aca="false">IF(A820&gt;$N$4,"YES","NO")</f>
        <v>NO</v>
      </c>
      <c r="C820" s="9" t="n">
        <v>6</v>
      </c>
      <c r="D820" s="9" t="str">
        <f aca="false">IF(C820&gt;$N$5,"YES","NO")</f>
        <v>NO</v>
      </c>
      <c r="E820" s="9" t="n">
        <v>24</v>
      </c>
      <c r="F820" s="9" t="str">
        <f aca="false">IF(E820&gt;$N$6,"YES","NO")</f>
        <v>NO</v>
      </c>
      <c r="G820" s="13" t="s">
        <v>13</v>
      </c>
    </row>
    <row r="821" customFormat="false" ht="15.75" hidden="false" customHeight="false" outlineLevel="0" collapsed="false">
      <c r="A821" s="11" t="n">
        <v>8102.927</v>
      </c>
      <c r="B821" s="11" t="str">
        <f aca="false">IF(A821&gt;$N$4,"YES","NO")</f>
        <v>YES</v>
      </c>
      <c r="C821" s="9" t="n">
        <v>36</v>
      </c>
      <c r="D821" s="9" t="str">
        <f aca="false">IF(C821&gt;$N$5,"YES","NO")</f>
        <v>NO</v>
      </c>
      <c r="E821" s="9" t="n">
        <v>43</v>
      </c>
      <c r="F821" s="9" t="str">
        <f aca="false">IF(E821&gt;$N$6,"YES","NO")</f>
        <v>NO</v>
      </c>
      <c r="G821" s="13" t="s">
        <v>13</v>
      </c>
    </row>
    <row r="822" customFormat="false" ht="15.75" hidden="false" customHeight="false" outlineLevel="0" collapsed="false">
      <c r="A822" s="11" t="n">
        <v>687.295</v>
      </c>
      <c r="B822" s="11" t="str">
        <f aca="false">IF(A822&gt;$N$4,"YES","NO")</f>
        <v>NO</v>
      </c>
      <c r="C822" s="9" t="n">
        <v>18</v>
      </c>
      <c r="D822" s="9" t="str">
        <f aca="false">IF(C822&gt;$N$5,"YES","NO")</f>
        <v>NO</v>
      </c>
      <c r="E822" s="9" t="n">
        <v>26</v>
      </c>
      <c r="F822" s="9" t="str">
        <f aca="false">IF(E822&gt;$N$6,"YES","NO")</f>
        <v>NO</v>
      </c>
      <c r="G822" s="13" t="s">
        <v>16</v>
      </c>
    </row>
    <row r="823" customFormat="false" ht="15.75" hidden="false" customHeight="false" outlineLevel="0" collapsed="false">
      <c r="A823" s="11" t="n">
        <v>562.611</v>
      </c>
      <c r="B823" s="11" t="str">
        <f aca="false">IF(A823&gt;$N$4,"YES","NO")</f>
        <v>NO</v>
      </c>
      <c r="C823" s="9" t="n">
        <v>12</v>
      </c>
      <c r="D823" s="9" t="str">
        <f aca="false">IF(C823&gt;$N$5,"YES","NO")</f>
        <v>NO</v>
      </c>
      <c r="E823" s="9" t="n">
        <v>27</v>
      </c>
      <c r="F823" s="9" t="str">
        <f aca="false">IF(E823&gt;$N$6,"YES","NO")</f>
        <v>NO</v>
      </c>
      <c r="G823" s="13" t="s">
        <v>13</v>
      </c>
    </row>
    <row r="824" customFormat="false" ht="15.75" hidden="false" customHeight="false" outlineLevel="0" collapsed="false">
      <c r="A824" s="11" t="n">
        <v>1541.176</v>
      </c>
      <c r="B824" s="11" t="str">
        <f aca="false">IF(A824&gt;$N$4,"YES","NO")</f>
        <v>NO</v>
      </c>
      <c r="C824" s="9" t="n">
        <v>12</v>
      </c>
      <c r="D824" s="9" t="str">
        <f aca="false">IF(C824&gt;$N$5,"YES","NO")</f>
        <v>NO</v>
      </c>
      <c r="E824" s="9" t="n">
        <v>24</v>
      </c>
      <c r="F824" s="9" t="str">
        <f aca="false">IF(E824&gt;$N$6,"YES","NO")</f>
        <v>NO</v>
      </c>
      <c r="G824" s="13" t="s">
        <v>13</v>
      </c>
    </row>
    <row r="825" customFormat="false" ht="15.75" hidden="false" customHeight="false" outlineLevel="0" collapsed="false">
      <c r="A825" s="11" t="n">
        <v>1385.832</v>
      </c>
      <c r="B825" s="11" t="str">
        <f aca="false">IF(A825&gt;$N$4,"YES","NO")</f>
        <v>NO</v>
      </c>
      <c r="C825" s="9" t="n">
        <v>36</v>
      </c>
      <c r="D825" s="9" t="str">
        <f aca="false">IF(C825&gt;$N$5,"YES","NO")</f>
        <v>NO</v>
      </c>
      <c r="E825" s="9" t="n">
        <v>41</v>
      </c>
      <c r="F825" s="9" t="str">
        <f aca="false">IF(E825&gt;$N$6,"YES","NO")</f>
        <v>NO</v>
      </c>
      <c r="G825" s="13" t="s">
        <v>16</v>
      </c>
    </row>
    <row r="826" customFormat="false" ht="15.75" hidden="false" customHeight="false" outlineLevel="0" collapsed="false">
      <c r="A826" s="11" t="n">
        <v>373.541</v>
      </c>
      <c r="B826" s="11" t="str">
        <f aca="false">IF(A826&gt;$N$4,"YES","NO")</f>
        <v>NO</v>
      </c>
      <c r="C826" s="9" t="n">
        <v>8</v>
      </c>
      <c r="D826" s="9" t="str">
        <f aca="false">IF(C826&gt;$N$5,"YES","NO")</f>
        <v>NO</v>
      </c>
      <c r="E826" s="9" t="n">
        <v>47</v>
      </c>
      <c r="F826" s="9" t="str">
        <f aca="false">IF(E826&gt;$N$6,"YES","NO")</f>
        <v>NO</v>
      </c>
      <c r="G826" s="13" t="s">
        <v>13</v>
      </c>
    </row>
    <row r="827" customFormat="false" ht="15.75" hidden="false" customHeight="false" outlineLevel="0" collapsed="false">
      <c r="A827" s="11" t="n">
        <v>1931.58</v>
      </c>
      <c r="B827" s="11" t="str">
        <f aca="false">IF(A827&gt;$N$4,"YES","NO")</f>
        <v>NO</v>
      </c>
      <c r="C827" s="9" t="n">
        <v>18</v>
      </c>
      <c r="D827" s="9" t="str">
        <f aca="false">IF(C827&gt;$N$5,"YES","NO")</f>
        <v>NO</v>
      </c>
      <c r="E827" s="9" t="n">
        <v>35</v>
      </c>
      <c r="F827" s="9" t="str">
        <f aca="false">IF(E827&gt;$N$6,"YES","NO")</f>
        <v>NO</v>
      </c>
      <c r="G827" s="13" t="s">
        <v>13</v>
      </c>
    </row>
    <row r="828" customFormat="false" ht="15.75" hidden="false" customHeight="false" outlineLevel="0" collapsed="false">
      <c r="A828" s="11" t="n">
        <v>818.622</v>
      </c>
      <c r="B828" s="11" t="str">
        <f aca="false">IF(A828&gt;$N$4,"YES","NO")</f>
        <v>NO</v>
      </c>
      <c r="C828" s="9" t="n">
        <v>21</v>
      </c>
      <c r="D828" s="9" t="str">
        <f aca="false">IF(C828&gt;$N$5,"YES","NO")</f>
        <v>NO</v>
      </c>
      <c r="E828" s="9" t="n">
        <v>30</v>
      </c>
      <c r="F828" s="9" t="str">
        <f aca="false">IF(E828&gt;$N$6,"YES","NO")</f>
        <v>NO</v>
      </c>
      <c r="G828" s="13" t="s">
        <v>13</v>
      </c>
    </row>
    <row r="829" customFormat="false" ht="15.75" hidden="false" customHeight="false" outlineLevel="0" collapsed="false">
      <c r="A829" s="11" t="n">
        <v>2026.626</v>
      </c>
      <c r="B829" s="11" t="str">
        <f aca="false">IF(A829&gt;$N$4,"YES","NO")</f>
        <v>NO</v>
      </c>
      <c r="C829" s="9" t="n">
        <v>18</v>
      </c>
      <c r="D829" s="9" t="str">
        <f aca="false">IF(C829&gt;$N$5,"YES","NO")</f>
        <v>NO</v>
      </c>
      <c r="E829" s="9" t="n">
        <v>33</v>
      </c>
      <c r="F829" s="9" t="str">
        <f aca="false">IF(E829&gt;$N$6,"YES","NO")</f>
        <v>NO</v>
      </c>
      <c r="G829" s="13" t="s">
        <v>16</v>
      </c>
    </row>
    <row r="830" customFormat="false" ht="15.75" hidden="false" customHeight="false" outlineLevel="0" collapsed="false">
      <c r="A830" s="11" t="n">
        <v>2128.315</v>
      </c>
      <c r="B830" s="11" t="str">
        <f aca="false">IF(A830&gt;$N$4,"YES","NO")</f>
        <v>NO</v>
      </c>
      <c r="C830" s="9" t="n">
        <v>18</v>
      </c>
      <c r="D830" s="9" t="str">
        <f aca="false">IF(C830&gt;$N$5,"YES","NO")</f>
        <v>NO</v>
      </c>
      <c r="E830" s="9" t="n">
        <v>36</v>
      </c>
      <c r="F830" s="9" t="str">
        <f aca="false">IF(E830&gt;$N$6,"YES","NO")</f>
        <v>NO</v>
      </c>
      <c r="G830" s="13" t="s">
        <v>16</v>
      </c>
    </row>
    <row r="831" customFormat="false" ht="15.75" hidden="false" customHeight="false" outlineLevel="0" collapsed="false">
      <c r="A831" s="11" t="n">
        <v>4259.185</v>
      </c>
      <c r="B831" s="11" t="str">
        <f aca="false">IF(A831&gt;$N$4,"YES","NO")</f>
        <v>YES</v>
      </c>
      <c r="C831" s="9" t="n">
        <v>36</v>
      </c>
      <c r="D831" s="9" t="str">
        <f aca="false">IF(C831&gt;$N$5,"YES","NO")</f>
        <v>NO</v>
      </c>
      <c r="E831" s="9" t="n">
        <v>47</v>
      </c>
      <c r="F831" s="9" t="str">
        <f aca="false">IF(E831&gt;$N$6,"YES","NO")</f>
        <v>NO</v>
      </c>
      <c r="G831" s="13" t="s">
        <v>16</v>
      </c>
    </row>
    <row r="832" customFormat="false" ht="15.75" hidden="false" customHeight="false" outlineLevel="0" collapsed="false">
      <c r="A832" s="11" t="n">
        <v>3413.991</v>
      </c>
      <c r="B832" s="11" t="str">
        <f aca="false">IF(A832&gt;$N$4,"YES","NO")</f>
        <v>NO</v>
      </c>
      <c r="C832" s="9" t="n">
        <v>48</v>
      </c>
      <c r="D832" s="9" t="str">
        <f aca="false">IF(C832&gt;$N$5,"YES","NO")</f>
        <v>YES</v>
      </c>
      <c r="E832" s="9" t="n">
        <v>38</v>
      </c>
      <c r="F832" s="9" t="str">
        <f aca="false">IF(E832&gt;$N$6,"YES","NO")</f>
        <v>NO</v>
      </c>
      <c r="G832" s="13" t="s">
        <v>13</v>
      </c>
    </row>
    <row r="833" customFormat="false" ht="15.75" hidden="false" customHeight="false" outlineLevel="0" collapsed="false">
      <c r="A833" s="11" t="n">
        <v>1213.625</v>
      </c>
      <c r="B833" s="11" t="str">
        <f aca="false">IF(A833&gt;$N$4,"YES","NO")</f>
        <v>NO</v>
      </c>
      <c r="C833" s="9" t="n">
        <v>24</v>
      </c>
      <c r="D833" s="9" t="str">
        <f aca="false">IF(C833&gt;$N$5,"YES","NO")</f>
        <v>NO</v>
      </c>
      <c r="E833" s="9" t="n">
        <v>44</v>
      </c>
      <c r="F833" s="9" t="str">
        <f aca="false">IF(E833&gt;$N$6,"YES","NO")</f>
        <v>NO</v>
      </c>
      <c r="G833" s="13" t="s">
        <v>13</v>
      </c>
    </row>
    <row r="834" customFormat="false" ht="15.75" hidden="false" customHeight="false" outlineLevel="0" collapsed="false">
      <c r="A834" s="11" t="n">
        <v>621.376</v>
      </c>
      <c r="B834" s="11" t="str">
        <f aca="false">IF(A834&gt;$N$4,"YES","NO")</f>
        <v>NO</v>
      </c>
      <c r="C834" s="9" t="n">
        <v>18</v>
      </c>
      <c r="D834" s="9" t="str">
        <f aca="false">IF(C834&gt;$N$5,"YES","NO")</f>
        <v>NO</v>
      </c>
      <c r="E834" s="9" t="n">
        <v>23</v>
      </c>
      <c r="F834" s="9" t="str">
        <f aca="false">IF(E834&gt;$N$6,"YES","NO")</f>
        <v>NO</v>
      </c>
      <c r="G834" s="13" t="s">
        <v>16</v>
      </c>
    </row>
    <row r="835" customFormat="false" ht="15.75" hidden="false" customHeight="false" outlineLevel="0" collapsed="false">
      <c r="A835" s="11" t="n">
        <v>6037.976</v>
      </c>
      <c r="B835" s="11" t="str">
        <f aca="false">IF(A835&gt;$N$4,"YES","NO")</f>
        <v>YES</v>
      </c>
      <c r="C835" s="9" t="n">
        <v>45</v>
      </c>
      <c r="D835" s="9" t="str">
        <f aca="false">IF(C835&gt;$N$5,"YES","NO")</f>
        <v>YES</v>
      </c>
      <c r="E835" s="9" t="n">
        <v>29</v>
      </c>
      <c r="F835" s="9" t="str">
        <f aca="false">IF(E835&gt;$N$6,"YES","NO")</f>
        <v>NO</v>
      </c>
      <c r="G835" s="13" t="s">
        <v>16</v>
      </c>
    </row>
    <row r="836" customFormat="false" ht="15.75" hidden="false" customHeight="false" outlineLevel="0" collapsed="false">
      <c r="A836" s="11" t="n">
        <v>2597.924</v>
      </c>
      <c r="B836" s="11" t="str">
        <f aca="false">IF(A836&gt;$N$4,"YES","NO")</f>
        <v>NO</v>
      </c>
      <c r="C836" s="9" t="n">
        <v>24</v>
      </c>
      <c r="D836" s="9" t="str">
        <f aca="false">IF(C836&gt;$N$5,"YES","NO")</f>
        <v>NO</v>
      </c>
      <c r="E836" s="9" t="n">
        <v>42</v>
      </c>
      <c r="F836" s="9" t="str">
        <f aca="false">IF(E836&gt;$N$6,"YES","NO")</f>
        <v>NO</v>
      </c>
      <c r="G836" s="13" t="s">
        <v>13</v>
      </c>
    </row>
    <row r="837" customFormat="false" ht="15.75" hidden="false" customHeight="false" outlineLevel="0" collapsed="false">
      <c r="A837" s="11" t="n">
        <v>1189.097</v>
      </c>
      <c r="B837" s="11" t="str">
        <f aca="false">IF(A837&gt;$N$4,"YES","NO")</f>
        <v>NO</v>
      </c>
      <c r="C837" s="9" t="n">
        <v>15</v>
      </c>
      <c r="D837" s="9" t="str">
        <f aca="false">IF(C837&gt;$N$5,"YES","NO")</f>
        <v>NO</v>
      </c>
      <c r="E837" s="9" t="n">
        <v>25</v>
      </c>
      <c r="F837" s="9" t="str">
        <f aca="false">IF(E837&gt;$N$6,"YES","NO")</f>
        <v>NO</v>
      </c>
      <c r="G837" s="13" t="s">
        <v>16</v>
      </c>
    </row>
    <row r="838" customFormat="false" ht="15.75" hidden="false" customHeight="false" outlineLevel="0" collapsed="false">
      <c r="A838" s="11" t="n">
        <v>552.902</v>
      </c>
      <c r="B838" s="11" t="str">
        <f aca="false">IF(A838&gt;$N$4,"YES","NO")</f>
        <v>NO</v>
      </c>
      <c r="C838" s="9" t="n">
        <v>12</v>
      </c>
      <c r="D838" s="9" t="str">
        <f aca="false">IF(C838&gt;$N$5,"YES","NO")</f>
        <v>NO</v>
      </c>
      <c r="E838" s="9" t="n">
        <v>48</v>
      </c>
      <c r="F838" s="9" t="str">
        <f aca="false">IF(E838&gt;$N$6,"YES","NO")</f>
        <v>NO</v>
      </c>
      <c r="G838" s="13" t="s">
        <v>16</v>
      </c>
    </row>
    <row r="839" customFormat="false" ht="15.75" hidden="false" customHeight="false" outlineLevel="0" collapsed="false">
      <c r="A839" s="11" t="n">
        <v>452.746</v>
      </c>
      <c r="B839" s="11" t="str">
        <f aca="false">IF(A839&gt;$N$4,"YES","NO")</f>
        <v>NO</v>
      </c>
      <c r="C839" s="9" t="n">
        <v>12</v>
      </c>
      <c r="D839" s="9" t="str">
        <f aca="false">IF(C839&gt;$N$5,"YES","NO")</f>
        <v>NO</v>
      </c>
      <c r="E839" s="9" t="n">
        <v>21</v>
      </c>
      <c r="F839" s="9" t="str">
        <f aca="false">IF(E839&gt;$N$6,"YES","NO")</f>
        <v>NO</v>
      </c>
      <c r="G839" s="13" t="s">
        <v>13</v>
      </c>
    </row>
    <row r="840" customFormat="false" ht="15.75" hidden="false" customHeight="false" outlineLevel="0" collapsed="false">
      <c r="A840" s="11" t="n">
        <v>307.111</v>
      </c>
      <c r="B840" s="11" t="str">
        <f aca="false">IF(A840&gt;$N$4,"YES","NO")</f>
        <v>NO</v>
      </c>
      <c r="C840" s="9" t="n">
        <v>4</v>
      </c>
      <c r="D840" s="9" t="str">
        <f aca="false">IF(C840&gt;$N$5,"YES","NO")</f>
        <v>NO</v>
      </c>
      <c r="E840" s="9" t="n">
        <v>23</v>
      </c>
      <c r="F840" s="9" t="str">
        <f aca="false">IF(E840&gt;$N$6,"YES","NO")</f>
        <v>NO</v>
      </c>
      <c r="G840" s="13" t="s">
        <v>13</v>
      </c>
    </row>
    <row r="841" customFormat="false" ht="15.75" hidden="false" customHeight="false" outlineLevel="0" collapsed="false">
      <c r="A841" s="11" t="n">
        <v>1511.027</v>
      </c>
      <c r="B841" s="11" t="str">
        <f aca="false">IF(A841&gt;$N$4,"YES","NO")</f>
        <v>NO</v>
      </c>
      <c r="C841" s="9" t="n">
        <v>24</v>
      </c>
      <c r="D841" s="9" t="str">
        <f aca="false">IF(C841&gt;$N$5,"YES","NO")</f>
        <v>NO</v>
      </c>
      <c r="E841" s="9" t="n">
        <v>63</v>
      </c>
      <c r="F841" s="9" t="str">
        <f aca="false">IF(E841&gt;$N$6,"YES","NO")</f>
        <v>NO</v>
      </c>
      <c r="G841" s="13" t="s">
        <v>13</v>
      </c>
    </row>
    <row r="842" customFormat="false" ht="15.75" hidden="false" customHeight="false" outlineLevel="0" collapsed="false">
      <c r="A842" s="11" t="n">
        <v>1334.221</v>
      </c>
      <c r="B842" s="11" t="str">
        <f aca="false">IF(A842&gt;$N$4,"YES","NO")</f>
        <v>NO</v>
      </c>
      <c r="C842" s="9" t="n">
        <v>24</v>
      </c>
      <c r="D842" s="9" t="str">
        <f aca="false">IF(C842&gt;$N$5,"YES","NO")</f>
        <v>NO</v>
      </c>
      <c r="E842" s="9" t="n">
        <v>46</v>
      </c>
      <c r="F842" s="9" t="str">
        <f aca="false">IF(E842&gt;$N$6,"YES","NO")</f>
        <v>NO</v>
      </c>
      <c r="G842" s="13" t="s">
        <v>13</v>
      </c>
    </row>
    <row r="843" customFormat="false" ht="15.75" hidden="false" customHeight="false" outlineLevel="0" collapsed="false">
      <c r="A843" s="11" t="n">
        <v>2646.469</v>
      </c>
      <c r="B843" s="11" t="str">
        <f aca="false">IF(A843&gt;$N$4,"YES","NO")</f>
        <v>NO</v>
      </c>
      <c r="C843" s="9" t="n">
        <v>36</v>
      </c>
      <c r="D843" s="9" t="str">
        <f aca="false">IF(C843&gt;$N$5,"YES","NO")</f>
        <v>NO</v>
      </c>
      <c r="E843" s="9" t="n">
        <v>29</v>
      </c>
      <c r="F843" s="9" t="str">
        <f aca="false">IF(E843&gt;$N$6,"YES","NO")</f>
        <v>NO</v>
      </c>
      <c r="G843" s="13" t="s">
        <v>16</v>
      </c>
    </row>
    <row r="844" customFormat="false" ht="15.75" hidden="false" customHeight="false" outlineLevel="0" collapsed="false">
      <c r="A844" s="11" t="n">
        <v>1529.423</v>
      </c>
      <c r="B844" s="11" t="str">
        <f aca="false">IF(A844&gt;$N$4,"YES","NO")</f>
        <v>NO</v>
      </c>
      <c r="C844" s="9" t="n">
        <v>21</v>
      </c>
      <c r="D844" s="9" t="str">
        <f aca="false">IF(C844&gt;$N$5,"YES","NO")</f>
        <v>NO</v>
      </c>
      <c r="E844" s="9" t="n">
        <v>28</v>
      </c>
      <c r="F844" s="9" t="str">
        <f aca="false">IF(E844&gt;$N$6,"YES","NO")</f>
        <v>NO</v>
      </c>
      <c r="G844" s="13" t="s">
        <v>13</v>
      </c>
    </row>
    <row r="845" customFormat="false" ht="15.75" hidden="false" customHeight="false" outlineLevel="0" collapsed="false">
      <c r="A845" s="11" t="n">
        <v>992.873</v>
      </c>
      <c r="B845" s="11" t="str">
        <f aca="false">IF(A845&gt;$N$4,"YES","NO")</f>
        <v>NO</v>
      </c>
      <c r="C845" s="9" t="n">
        <v>18</v>
      </c>
      <c r="D845" s="9" t="str">
        <f aca="false">IF(C845&gt;$N$5,"YES","NO")</f>
        <v>NO</v>
      </c>
      <c r="E845" s="9" t="n">
        <v>23</v>
      </c>
      <c r="F845" s="9" t="str">
        <f aca="false">IF(E845&gt;$N$6,"YES","NO")</f>
        <v>NO</v>
      </c>
      <c r="G845" s="13" t="s">
        <v>16</v>
      </c>
    </row>
    <row r="846" customFormat="false" ht="15.75" hidden="false" customHeight="false" outlineLevel="0" collapsed="false">
      <c r="A846" s="11" t="n">
        <v>796.649</v>
      </c>
      <c r="B846" s="11" t="str">
        <f aca="false">IF(A846&gt;$N$4,"YES","NO")</f>
        <v>NO</v>
      </c>
      <c r="C846" s="9" t="n">
        <v>24</v>
      </c>
      <c r="D846" s="9" t="str">
        <f aca="false">IF(C846&gt;$N$5,"YES","NO")</f>
        <v>NO</v>
      </c>
      <c r="E846" s="9" t="n">
        <v>50</v>
      </c>
      <c r="F846" s="9" t="str">
        <f aca="false">IF(E846&gt;$N$6,"YES","NO")</f>
        <v>NO</v>
      </c>
      <c r="G846" s="13" t="s">
        <v>13</v>
      </c>
    </row>
    <row r="847" customFormat="false" ht="15.75" hidden="false" customHeight="false" outlineLevel="0" collapsed="false">
      <c r="A847" s="11" t="n">
        <v>1748.642</v>
      </c>
      <c r="B847" s="11" t="str">
        <f aca="false">IF(A847&gt;$N$4,"YES","NO")</f>
        <v>NO</v>
      </c>
      <c r="C847" s="9" t="n">
        <v>18</v>
      </c>
      <c r="D847" s="9" t="str">
        <f aca="false">IF(C847&gt;$N$5,"YES","NO")</f>
        <v>NO</v>
      </c>
      <c r="E847" s="9" t="n">
        <v>47</v>
      </c>
      <c r="F847" s="9" t="str">
        <f aca="false">IF(E847&gt;$N$6,"YES","NO")</f>
        <v>NO</v>
      </c>
      <c r="G847" s="13" t="s">
        <v>13</v>
      </c>
    </row>
    <row r="848" customFormat="false" ht="15.75" hidden="false" customHeight="false" outlineLevel="0" collapsed="false">
      <c r="A848" s="11" t="n">
        <v>2031.736</v>
      </c>
      <c r="B848" s="11" t="str">
        <f aca="false">IF(A848&gt;$N$4,"YES","NO")</f>
        <v>NO</v>
      </c>
      <c r="C848" s="9" t="n">
        <v>21</v>
      </c>
      <c r="D848" s="9" t="str">
        <f aca="false">IF(C848&gt;$N$5,"YES","NO")</f>
        <v>NO</v>
      </c>
      <c r="E848" s="9" t="n">
        <v>35</v>
      </c>
      <c r="F848" s="9" t="str">
        <f aca="false">IF(E848&gt;$N$6,"YES","NO")</f>
        <v>NO</v>
      </c>
      <c r="G848" s="13" t="s">
        <v>13</v>
      </c>
    </row>
    <row r="849" customFormat="false" ht="15.75" hidden="false" customHeight="false" outlineLevel="0" collapsed="false">
      <c r="A849" s="11" t="n">
        <v>3454.871</v>
      </c>
      <c r="B849" s="11" t="str">
        <f aca="false">IF(A849&gt;$N$4,"YES","NO")</f>
        <v>NO</v>
      </c>
      <c r="C849" s="9" t="n">
        <v>18</v>
      </c>
      <c r="D849" s="9" t="str">
        <f aca="false">IF(C849&gt;$N$5,"YES","NO")</f>
        <v>NO</v>
      </c>
      <c r="E849" s="9" t="n">
        <v>68</v>
      </c>
      <c r="F849" s="9" t="str">
        <f aca="false">IF(E849&gt;$N$6,"YES","NO")</f>
        <v>YES</v>
      </c>
      <c r="G849" s="13" t="s">
        <v>16</v>
      </c>
    </row>
    <row r="850" customFormat="false" ht="15.75" hidden="false" customHeight="false" outlineLevel="0" collapsed="false">
      <c r="A850" s="11" t="n">
        <v>638.239</v>
      </c>
      <c r="B850" s="11" t="str">
        <f aca="false">IF(A850&gt;$N$4,"YES","NO")</f>
        <v>NO</v>
      </c>
      <c r="C850" s="9" t="n">
        <v>24</v>
      </c>
      <c r="D850" s="9" t="str">
        <f aca="false">IF(C850&gt;$N$5,"YES","NO")</f>
        <v>NO</v>
      </c>
      <c r="E850" s="9" t="n">
        <v>28</v>
      </c>
      <c r="F850" s="9" t="str">
        <f aca="false">IF(E850&gt;$N$6,"YES","NO")</f>
        <v>NO</v>
      </c>
      <c r="G850" s="13" t="s">
        <v>13</v>
      </c>
    </row>
    <row r="851" customFormat="false" ht="15.75" hidden="false" customHeight="false" outlineLevel="0" collapsed="false">
      <c r="A851" s="11" t="n">
        <v>697.004</v>
      </c>
      <c r="B851" s="11" t="str">
        <f aca="false">IF(A851&gt;$N$4,"YES","NO")</f>
        <v>NO</v>
      </c>
      <c r="C851" s="9" t="n">
        <v>9</v>
      </c>
      <c r="D851" s="9" t="str">
        <f aca="false">IF(C851&gt;$N$5,"YES","NO")</f>
        <v>NO</v>
      </c>
      <c r="E851" s="9" t="n">
        <v>59</v>
      </c>
      <c r="F851" s="9" t="str">
        <f aca="false">IF(E851&gt;$N$6,"YES","NO")</f>
        <v>NO</v>
      </c>
      <c r="G851" s="13" t="s">
        <v>13</v>
      </c>
    </row>
    <row r="852" customFormat="false" ht="15.75" hidden="false" customHeight="false" outlineLevel="0" collapsed="false">
      <c r="A852" s="11" t="n">
        <v>362.299</v>
      </c>
      <c r="B852" s="11" t="str">
        <f aca="false">IF(A852&gt;$N$4,"YES","NO")</f>
        <v>NO</v>
      </c>
      <c r="C852" s="9" t="n">
        <v>12</v>
      </c>
      <c r="D852" s="9" t="str">
        <f aca="false">IF(C852&gt;$N$5,"YES","NO")</f>
        <v>NO</v>
      </c>
      <c r="E852" s="9" t="n">
        <v>57</v>
      </c>
      <c r="F852" s="9" t="str">
        <f aca="false">IF(E852&gt;$N$6,"YES","NO")</f>
        <v>NO</v>
      </c>
      <c r="G852" s="13" t="s">
        <v>16</v>
      </c>
    </row>
    <row r="853" customFormat="false" ht="15.75" hidden="false" customHeight="false" outlineLevel="0" collapsed="false">
      <c r="A853" s="11" t="n">
        <v>1142.085</v>
      </c>
      <c r="B853" s="11" t="str">
        <f aca="false">IF(A853&gt;$N$4,"YES","NO")</f>
        <v>NO</v>
      </c>
      <c r="C853" s="9" t="n">
        <v>20</v>
      </c>
      <c r="D853" s="9" t="str">
        <f aca="false">IF(C853&gt;$N$5,"YES","NO")</f>
        <v>NO</v>
      </c>
      <c r="E853" s="9" t="n">
        <v>33</v>
      </c>
      <c r="F853" s="9" t="str">
        <f aca="false">IF(E853&gt;$N$6,"YES","NO")</f>
        <v>NO</v>
      </c>
      <c r="G853" s="13" t="s">
        <v>16</v>
      </c>
    </row>
    <row r="854" customFormat="false" ht="15.75" hidden="false" customHeight="false" outlineLevel="0" collapsed="false">
      <c r="A854" s="11" t="n">
        <v>2065.462</v>
      </c>
      <c r="B854" s="11" t="str">
        <f aca="false">IF(A854&gt;$N$4,"YES","NO")</f>
        <v>NO</v>
      </c>
      <c r="C854" s="9" t="n">
        <v>24</v>
      </c>
      <c r="D854" s="9" t="str">
        <f aca="false">IF(C854&gt;$N$5,"YES","NO")</f>
        <v>NO</v>
      </c>
      <c r="E854" s="9" t="n">
        <v>43</v>
      </c>
      <c r="F854" s="9" t="str">
        <f aca="false">IF(E854&gt;$N$6,"YES","NO")</f>
        <v>NO</v>
      </c>
      <c r="G854" s="13" t="s">
        <v>13</v>
      </c>
    </row>
    <row r="855" customFormat="false" ht="15.75" hidden="false" customHeight="false" outlineLevel="0" collapsed="false">
      <c r="A855" s="11" t="n">
        <v>751.681</v>
      </c>
      <c r="B855" s="11" t="str">
        <f aca="false">IF(A855&gt;$N$4,"YES","NO")</f>
        <v>NO</v>
      </c>
      <c r="C855" s="9" t="n">
        <v>15</v>
      </c>
      <c r="D855" s="9" t="str">
        <f aca="false">IF(C855&gt;$N$5,"YES","NO")</f>
        <v>NO</v>
      </c>
      <c r="E855" s="9" t="n">
        <v>35</v>
      </c>
      <c r="F855" s="9" t="str">
        <f aca="false">IF(E855&gt;$N$6,"YES","NO")</f>
        <v>NO</v>
      </c>
      <c r="G855" s="13" t="s">
        <v>13</v>
      </c>
    </row>
    <row r="856" customFormat="false" ht="15.75" hidden="false" customHeight="false" outlineLevel="0" collapsed="false">
      <c r="A856" s="11" t="n">
        <v>736.862</v>
      </c>
      <c r="B856" s="11" t="str">
        <f aca="false">IF(A856&gt;$N$4,"YES","NO")</f>
        <v>NO</v>
      </c>
      <c r="C856" s="9" t="n">
        <v>18</v>
      </c>
      <c r="D856" s="9" t="str">
        <f aca="false">IF(C856&gt;$N$5,"YES","NO")</f>
        <v>NO</v>
      </c>
      <c r="E856" s="9" t="n">
        <v>32</v>
      </c>
      <c r="F856" s="9" t="str">
        <f aca="false">IF(E856&gt;$N$6,"YES","NO")</f>
        <v>NO</v>
      </c>
      <c r="G856" s="13" t="s">
        <v>16</v>
      </c>
    </row>
    <row r="857" customFormat="false" ht="15.75" hidden="false" customHeight="false" outlineLevel="0" collapsed="false">
      <c r="A857" s="11" t="n">
        <v>5557.125</v>
      </c>
      <c r="B857" s="11" t="str">
        <f aca="false">IF(A857&gt;$N$4,"YES","NO")</f>
        <v>YES</v>
      </c>
      <c r="C857" s="9" t="n">
        <v>36</v>
      </c>
      <c r="D857" s="9" t="str">
        <f aca="false">IF(C857&gt;$N$5,"YES","NO")</f>
        <v>NO</v>
      </c>
      <c r="E857" s="9" t="n">
        <v>45</v>
      </c>
      <c r="F857" s="9" t="str">
        <f aca="false">IF(E857&gt;$N$6,"YES","NO")</f>
        <v>NO</v>
      </c>
      <c r="G857" s="13" t="s">
        <v>13</v>
      </c>
    </row>
    <row r="858" customFormat="false" ht="15.75" hidden="false" customHeight="false" outlineLevel="0" collapsed="false">
      <c r="A858" s="11" t="n">
        <v>753.214</v>
      </c>
      <c r="B858" s="11" t="str">
        <f aca="false">IF(A858&gt;$N$4,"YES","NO")</f>
        <v>NO</v>
      </c>
      <c r="C858" s="9" t="n">
        <v>24</v>
      </c>
      <c r="D858" s="9" t="str">
        <f aca="false">IF(C858&gt;$N$5,"YES","NO")</f>
        <v>NO</v>
      </c>
      <c r="E858" s="9" t="n">
        <v>33</v>
      </c>
      <c r="F858" s="9" t="str">
        <f aca="false">IF(E858&gt;$N$6,"YES","NO")</f>
        <v>NO</v>
      </c>
      <c r="G858" s="13" t="s">
        <v>13</v>
      </c>
    </row>
    <row r="859" customFormat="false" ht="15.75" hidden="false" customHeight="false" outlineLevel="0" collapsed="false">
      <c r="A859" s="11" t="n">
        <v>456.834</v>
      </c>
      <c r="B859" s="11" t="str">
        <f aca="false">IF(A859&gt;$N$4,"YES","NO")</f>
        <v>NO</v>
      </c>
      <c r="C859" s="9" t="n">
        <v>10</v>
      </c>
      <c r="D859" s="9" t="str">
        <f aca="false">IF(C859&gt;$N$5,"YES","NO")</f>
        <v>NO</v>
      </c>
      <c r="E859" s="9" t="n">
        <v>40</v>
      </c>
      <c r="F859" s="9" t="str">
        <f aca="false">IF(E859&gt;$N$6,"YES","NO")</f>
        <v>NO</v>
      </c>
      <c r="G859" s="13" t="s">
        <v>13</v>
      </c>
    </row>
    <row r="860" customFormat="false" ht="15.75" hidden="false" customHeight="false" outlineLevel="0" collapsed="false">
      <c r="A860" s="11" t="n">
        <v>1708.273</v>
      </c>
      <c r="B860" s="11" t="str">
        <f aca="false">IF(A860&gt;$N$4,"YES","NO")</f>
        <v>NO</v>
      </c>
      <c r="C860" s="9" t="n">
        <v>15</v>
      </c>
      <c r="D860" s="9" t="str">
        <f aca="false">IF(C860&gt;$N$5,"YES","NO")</f>
        <v>NO</v>
      </c>
      <c r="E860" s="9" t="n">
        <v>28</v>
      </c>
      <c r="F860" s="9" t="str">
        <f aca="false">IF(E860&gt;$N$6,"YES","NO")</f>
        <v>NO</v>
      </c>
      <c r="G860" s="13" t="s">
        <v>13</v>
      </c>
    </row>
    <row r="861" customFormat="false" ht="15.75" hidden="false" customHeight="false" outlineLevel="0" collapsed="false">
      <c r="A861" s="11" t="n">
        <v>2023.049</v>
      </c>
      <c r="B861" s="11" t="str">
        <f aca="false">IF(A861&gt;$N$4,"YES","NO")</f>
        <v>NO</v>
      </c>
      <c r="C861" s="9" t="n">
        <v>15</v>
      </c>
      <c r="D861" s="9" t="str">
        <f aca="false">IF(C861&gt;$N$5,"YES","NO")</f>
        <v>NO</v>
      </c>
      <c r="E861" s="9" t="n">
        <v>29</v>
      </c>
      <c r="F861" s="9" t="str">
        <f aca="false">IF(E861&gt;$N$6,"YES","NO")</f>
        <v>NO</v>
      </c>
      <c r="G861" s="13" t="s">
        <v>16</v>
      </c>
    </row>
    <row r="862" customFormat="false" ht="15.75" hidden="false" customHeight="false" outlineLevel="0" collapsed="false">
      <c r="A862" s="11" t="n">
        <v>1827.847</v>
      </c>
      <c r="B862" s="11" t="str">
        <f aca="false">IF(A862&gt;$N$4,"YES","NO")</f>
        <v>NO</v>
      </c>
      <c r="C862" s="9" t="n">
        <v>9</v>
      </c>
      <c r="D862" s="9" t="str">
        <f aca="false">IF(C862&gt;$N$5,"YES","NO")</f>
        <v>NO</v>
      </c>
      <c r="E862" s="9" t="n">
        <v>26</v>
      </c>
      <c r="F862" s="9" t="str">
        <f aca="false">IF(E862&gt;$N$6,"YES","NO")</f>
        <v>NO</v>
      </c>
      <c r="G862" s="13" t="s">
        <v>13</v>
      </c>
    </row>
    <row r="863" customFormat="false" ht="15.75" hidden="false" customHeight="false" outlineLevel="0" collapsed="false">
      <c r="A863" s="11" t="n">
        <v>2965.844</v>
      </c>
      <c r="B863" s="11" t="str">
        <f aca="false">IF(A863&gt;$N$4,"YES","NO")</f>
        <v>NO</v>
      </c>
      <c r="C863" s="9" t="n">
        <v>24</v>
      </c>
      <c r="D863" s="9" t="str">
        <f aca="false">IF(C863&gt;$N$5,"YES","NO")</f>
        <v>NO</v>
      </c>
      <c r="E863" s="9" t="n">
        <v>27</v>
      </c>
      <c r="F863" s="9" t="str">
        <f aca="false">IF(E863&gt;$N$6,"YES","NO")</f>
        <v>NO</v>
      </c>
      <c r="G863" s="13" t="s">
        <v>13</v>
      </c>
    </row>
    <row r="864" customFormat="false" ht="15.75" hidden="false" customHeight="false" outlineLevel="0" collapsed="false">
      <c r="A864" s="11" t="n">
        <v>1108.359</v>
      </c>
      <c r="B864" s="11" t="str">
        <f aca="false">IF(A864&gt;$N$4,"YES","NO")</f>
        <v>NO</v>
      </c>
      <c r="C864" s="9" t="n">
        <v>18</v>
      </c>
      <c r="D864" s="9" t="str">
        <f aca="false">IF(C864&gt;$N$5,"YES","NO")</f>
        <v>NO</v>
      </c>
      <c r="E864" s="9" t="n">
        <v>28</v>
      </c>
      <c r="F864" s="9" t="str">
        <f aca="false">IF(E864&gt;$N$6,"YES","NO")</f>
        <v>NO</v>
      </c>
      <c r="G864" s="13" t="s">
        <v>16</v>
      </c>
    </row>
    <row r="865" customFormat="false" ht="15.75" hidden="false" customHeight="false" outlineLevel="0" collapsed="false">
      <c r="A865" s="11" t="n">
        <v>1246.329</v>
      </c>
      <c r="B865" s="11" t="str">
        <f aca="false">IF(A865&gt;$N$4,"YES","NO")</f>
        <v>NO</v>
      </c>
      <c r="C865" s="9" t="n">
        <v>24</v>
      </c>
      <c r="D865" s="9" t="str">
        <f aca="false">IF(C865&gt;$N$5,"YES","NO")</f>
        <v>NO</v>
      </c>
      <c r="E865" s="9" t="n">
        <v>35</v>
      </c>
      <c r="F865" s="9" t="str">
        <f aca="false">IF(E865&gt;$N$6,"YES","NO")</f>
        <v>NO</v>
      </c>
      <c r="G865" s="13" t="s">
        <v>16</v>
      </c>
    </row>
    <row r="866" customFormat="false" ht="15.75" hidden="false" customHeight="false" outlineLevel="0" collapsed="false">
      <c r="A866" s="11" t="n">
        <v>2312.786</v>
      </c>
      <c r="B866" s="11" t="str">
        <f aca="false">IF(A866&gt;$N$4,"YES","NO")</f>
        <v>NO</v>
      </c>
      <c r="C866" s="9" t="n">
        <v>27</v>
      </c>
      <c r="D866" s="9" t="str">
        <f aca="false">IF(C866&gt;$N$5,"YES","NO")</f>
        <v>NO</v>
      </c>
      <c r="E866" s="9" t="n">
        <v>32</v>
      </c>
      <c r="F866" s="9" t="str">
        <f aca="false">IF(E866&gt;$N$6,"YES","NO")</f>
        <v>NO</v>
      </c>
      <c r="G866" s="13" t="s">
        <v>13</v>
      </c>
    </row>
    <row r="867" customFormat="false" ht="15.75" hidden="false" customHeight="false" outlineLevel="0" collapsed="false">
      <c r="A867" s="11" t="n">
        <v>1129.31</v>
      </c>
      <c r="B867" s="11" t="str">
        <f aca="false">IF(A867&gt;$N$4,"YES","NO")</f>
        <v>NO</v>
      </c>
      <c r="C867" s="9" t="n">
        <v>10</v>
      </c>
      <c r="D867" s="9" t="str">
        <f aca="false">IF(C867&gt;$N$5,"YES","NO")</f>
        <v>NO</v>
      </c>
      <c r="E867" s="9" t="n">
        <v>25</v>
      </c>
      <c r="F867" s="9" t="str">
        <f aca="false">IF(E867&gt;$N$6,"YES","NO")</f>
        <v>NO</v>
      </c>
      <c r="G867" s="13" t="s">
        <v>16</v>
      </c>
    </row>
    <row r="868" customFormat="false" ht="15.75" hidden="false" customHeight="false" outlineLevel="0" collapsed="false">
      <c r="A868" s="11" t="n">
        <v>1134.931</v>
      </c>
      <c r="B868" s="11" t="str">
        <f aca="false">IF(A868&gt;$N$4,"YES","NO")</f>
        <v>NO</v>
      </c>
      <c r="C868" s="9" t="n">
        <v>15</v>
      </c>
      <c r="D868" s="9" t="str">
        <f aca="false">IF(C868&gt;$N$5,"YES","NO")</f>
        <v>NO</v>
      </c>
      <c r="E868" s="9" t="n">
        <v>20</v>
      </c>
      <c r="F868" s="9" t="str">
        <f aca="false">IF(E868&gt;$N$6,"YES","NO")</f>
        <v>NO</v>
      </c>
      <c r="G868" s="13" t="s">
        <v>13</v>
      </c>
    </row>
    <row r="869" customFormat="false" ht="15.75" hidden="false" customHeight="false" outlineLevel="0" collapsed="false">
      <c r="A869" s="11" t="n">
        <v>1220.779</v>
      </c>
      <c r="B869" s="11" t="str">
        <f aca="false">IF(A869&gt;$N$4,"YES","NO")</f>
        <v>NO</v>
      </c>
      <c r="C869" s="9" t="n">
        <v>18</v>
      </c>
      <c r="D869" s="9" t="str">
        <f aca="false">IF(C869&gt;$N$5,"YES","NO")</f>
        <v>NO</v>
      </c>
      <c r="E869" s="9" t="n">
        <v>27</v>
      </c>
      <c r="F869" s="9" t="str">
        <f aca="false">IF(E869&gt;$N$6,"YES","NO")</f>
        <v>NO</v>
      </c>
      <c r="G869" s="13" t="s">
        <v>13</v>
      </c>
    </row>
    <row r="870" customFormat="false" ht="15.75" hidden="false" customHeight="false" outlineLevel="0" collapsed="false">
      <c r="A870" s="11" t="n">
        <v>1702.141</v>
      </c>
      <c r="B870" s="11" t="str">
        <f aca="false">IF(A870&gt;$N$4,"YES","NO")</f>
        <v>NO</v>
      </c>
      <c r="C870" s="9" t="n">
        <v>12</v>
      </c>
      <c r="D870" s="9" t="str">
        <f aca="false">IF(C870&gt;$N$5,"YES","NO")</f>
        <v>NO</v>
      </c>
      <c r="E870" s="9" t="n">
        <v>42</v>
      </c>
      <c r="F870" s="9" t="str">
        <f aca="false">IF(E870&gt;$N$6,"YES","NO")</f>
        <v>NO</v>
      </c>
      <c r="G870" s="13" t="s">
        <v>13</v>
      </c>
    </row>
    <row r="871" customFormat="false" ht="15.75" hidden="false" customHeight="false" outlineLevel="0" collapsed="false">
      <c r="A871" s="11" t="n">
        <v>3785.999</v>
      </c>
      <c r="B871" s="11" t="str">
        <f aca="false">IF(A871&gt;$N$4,"YES","NO")</f>
        <v>NO</v>
      </c>
      <c r="C871" s="9" t="n">
        <v>36</v>
      </c>
      <c r="D871" s="9" t="str">
        <f aca="false">IF(C871&gt;$N$5,"YES","NO")</f>
        <v>NO</v>
      </c>
      <c r="E871" s="9" t="n">
        <v>37</v>
      </c>
      <c r="F871" s="9" t="str">
        <f aca="false">IF(E871&gt;$N$6,"YES","NO")</f>
        <v>NO</v>
      </c>
      <c r="G871" s="13" t="s">
        <v>13</v>
      </c>
    </row>
    <row r="872" customFormat="false" ht="15.75" hidden="false" customHeight="false" outlineLevel="0" collapsed="false">
      <c r="A872" s="11" t="n">
        <v>333.172</v>
      </c>
      <c r="B872" s="11" t="str">
        <f aca="false">IF(A872&gt;$N$4,"YES","NO")</f>
        <v>NO</v>
      </c>
      <c r="C872" s="9" t="n">
        <v>12</v>
      </c>
      <c r="D872" s="9" t="str">
        <f aca="false">IF(C872&gt;$N$5,"YES","NO")</f>
        <v>NO</v>
      </c>
      <c r="E872" s="9" t="n">
        <v>24</v>
      </c>
      <c r="F872" s="9" t="str">
        <f aca="false">IF(E872&gt;$N$6,"YES","NO")</f>
        <v>NO</v>
      </c>
      <c r="G872" s="13" t="s">
        <v>13</v>
      </c>
    </row>
    <row r="873" customFormat="false" ht="15.75" hidden="false" customHeight="false" outlineLevel="0" collapsed="false">
      <c r="A873" s="11" t="n">
        <v>3923.458</v>
      </c>
      <c r="B873" s="11" t="str">
        <f aca="false">IF(A873&gt;$N$4,"YES","NO")</f>
        <v>NO</v>
      </c>
      <c r="C873" s="9" t="n">
        <v>36</v>
      </c>
      <c r="D873" s="9" t="str">
        <f aca="false">IF(C873&gt;$N$5,"YES","NO")</f>
        <v>NO</v>
      </c>
      <c r="E873" s="9" t="n">
        <v>40</v>
      </c>
      <c r="F873" s="9" t="str">
        <f aca="false">IF(E873&gt;$N$6,"YES","NO")</f>
        <v>NO</v>
      </c>
      <c r="G873" s="13" t="s">
        <v>13</v>
      </c>
    </row>
    <row r="874" customFormat="false" ht="15.75" hidden="false" customHeight="false" outlineLevel="0" collapsed="false">
      <c r="A874" s="11" t="n">
        <v>686.273</v>
      </c>
      <c r="B874" s="11" t="str">
        <f aca="false">IF(A874&gt;$N$4,"YES","NO")</f>
        <v>NO</v>
      </c>
      <c r="C874" s="9" t="n">
        <v>6</v>
      </c>
      <c r="D874" s="9" t="str">
        <f aca="false">IF(C874&gt;$N$5,"YES","NO")</f>
        <v>NO</v>
      </c>
      <c r="E874" s="9" t="n">
        <v>46</v>
      </c>
      <c r="F874" s="9" t="str">
        <f aca="false">IF(E874&gt;$N$6,"YES","NO")</f>
        <v>NO</v>
      </c>
      <c r="G874" s="13" t="s">
        <v>13</v>
      </c>
    </row>
    <row r="875" customFormat="false" ht="15.75" hidden="false" customHeight="false" outlineLevel="0" collapsed="false">
      <c r="A875" s="11" t="n">
        <v>706.202</v>
      </c>
      <c r="B875" s="11" t="str">
        <f aca="false">IF(A875&gt;$N$4,"YES","NO")</f>
        <v>NO</v>
      </c>
      <c r="C875" s="9" t="n">
        <v>24</v>
      </c>
      <c r="D875" s="9" t="str">
        <f aca="false">IF(C875&gt;$N$5,"YES","NO")</f>
        <v>NO</v>
      </c>
      <c r="E875" s="9" t="n">
        <v>26</v>
      </c>
      <c r="F875" s="9" t="str">
        <f aca="false">IF(E875&gt;$N$6,"YES","NO")</f>
        <v>NO</v>
      </c>
      <c r="G875" s="13" t="s">
        <v>13</v>
      </c>
    </row>
    <row r="876" customFormat="false" ht="15.75" hidden="false" customHeight="false" outlineLevel="0" collapsed="false">
      <c r="A876" s="11" t="n">
        <v>446.614</v>
      </c>
      <c r="B876" s="11" t="str">
        <f aca="false">IF(A876&gt;$N$4,"YES","NO")</f>
        <v>NO</v>
      </c>
      <c r="C876" s="9" t="n">
        <v>15</v>
      </c>
      <c r="D876" s="9" t="str">
        <f aca="false">IF(C876&gt;$N$5,"YES","NO")</f>
        <v>NO</v>
      </c>
      <c r="E876" s="9" t="n">
        <v>24</v>
      </c>
      <c r="F876" s="9" t="str">
        <f aca="false">IF(E876&gt;$N$6,"YES","NO")</f>
        <v>NO</v>
      </c>
      <c r="G876" s="13" t="s">
        <v>13</v>
      </c>
    </row>
    <row r="877" customFormat="false" ht="15.75" hidden="false" customHeight="false" outlineLevel="0" collapsed="false">
      <c r="A877" s="11" t="n">
        <v>1834.49</v>
      </c>
      <c r="B877" s="11" t="str">
        <f aca="false">IF(A877&gt;$N$4,"YES","NO")</f>
        <v>NO</v>
      </c>
      <c r="C877" s="9" t="n">
        <v>12</v>
      </c>
      <c r="D877" s="9" t="str">
        <f aca="false">IF(C877&gt;$N$5,"YES","NO")</f>
        <v>NO</v>
      </c>
      <c r="E877" s="9" t="n">
        <v>29</v>
      </c>
      <c r="F877" s="9" t="str">
        <f aca="false">IF(E877&gt;$N$6,"YES","NO")</f>
        <v>NO</v>
      </c>
      <c r="G877" s="13" t="s">
        <v>13</v>
      </c>
    </row>
    <row r="878" customFormat="false" ht="15.75" hidden="false" customHeight="false" outlineLevel="0" collapsed="false">
      <c r="A878" s="11" t="n">
        <v>675.542</v>
      </c>
      <c r="B878" s="11" t="str">
        <f aca="false">IF(A878&gt;$N$4,"YES","NO")</f>
        <v>NO</v>
      </c>
      <c r="C878" s="9" t="n">
        <v>11</v>
      </c>
      <c r="D878" s="9" t="str">
        <f aca="false">IF(C878&gt;$N$5,"YES","NO")</f>
        <v>NO</v>
      </c>
      <c r="E878" s="9" t="n">
        <v>40</v>
      </c>
      <c r="F878" s="9" t="str">
        <f aca="false">IF(E878&gt;$N$6,"YES","NO")</f>
        <v>NO</v>
      </c>
      <c r="G878" s="13" t="s">
        <v>13</v>
      </c>
    </row>
    <row r="879" customFormat="false" ht="15.75" hidden="false" customHeight="false" outlineLevel="0" collapsed="false">
      <c r="A879" s="11" t="n">
        <v>991.34</v>
      </c>
      <c r="B879" s="11" t="str">
        <f aca="false">IF(A879&gt;$N$4,"YES","NO")</f>
        <v>NO</v>
      </c>
      <c r="C879" s="9" t="n">
        <v>18</v>
      </c>
      <c r="D879" s="9" t="str">
        <f aca="false">IF(C879&gt;$N$5,"YES","NO")</f>
        <v>NO</v>
      </c>
      <c r="E879" s="9" t="n">
        <v>36</v>
      </c>
      <c r="F879" s="9" t="str">
        <f aca="false">IF(E879&gt;$N$6,"YES","NO")</f>
        <v>NO</v>
      </c>
      <c r="G879" s="13" t="s">
        <v>13</v>
      </c>
    </row>
    <row r="880" customFormat="false" ht="15.75" hidden="false" customHeight="false" outlineLevel="0" collapsed="false">
      <c r="A880" s="11" t="n">
        <v>1837.045</v>
      </c>
      <c r="B880" s="11" t="str">
        <f aca="false">IF(A880&gt;$N$4,"YES","NO")</f>
        <v>NO</v>
      </c>
      <c r="C880" s="9" t="n">
        <v>36</v>
      </c>
      <c r="D880" s="9" t="str">
        <f aca="false">IF(C880&gt;$N$5,"YES","NO")</f>
        <v>NO</v>
      </c>
      <c r="E880" s="9" t="n">
        <v>28</v>
      </c>
      <c r="F880" s="9" t="str">
        <f aca="false">IF(E880&gt;$N$6,"YES","NO")</f>
        <v>NO</v>
      </c>
      <c r="G880" s="13" t="s">
        <v>13</v>
      </c>
    </row>
    <row r="881" customFormat="false" ht="15.75" hidden="false" customHeight="false" outlineLevel="0" collapsed="false">
      <c r="A881" s="11" t="n">
        <v>726.642</v>
      </c>
      <c r="B881" s="11" t="str">
        <f aca="false">IF(A881&gt;$N$4,"YES","NO")</f>
        <v>NO</v>
      </c>
      <c r="C881" s="9" t="n">
        <v>9</v>
      </c>
      <c r="D881" s="9" t="str">
        <f aca="false">IF(C881&gt;$N$5,"YES","NO")</f>
        <v>NO</v>
      </c>
      <c r="E881" s="9" t="n">
        <v>27</v>
      </c>
      <c r="F881" s="9" t="str">
        <f aca="false">IF(E881&gt;$N$6,"YES","NO")</f>
        <v>NO</v>
      </c>
      <c r="G881" s="13" t="s">
        <v>16</v>
      </c>
    </row>
    <row r="882" customFormat="false" ht="15.75" hidden="false" customHeight="false" outlineLevel="0" collapsed="false">
      <c r="A882" s="11" t="n">
        <v>3445.162</v>
      </c>
      <c r="B882" s="11" t="str">
        <f aca="false">IF(A882&gt;$N$4,"YES","NO")</f>
        <v>NO</v>
      </c>
      <c r="C882" s="9" t="n">
        <v>30</v>
      </c>
      <c r="D882" s="9" t="str">
        <f aca="false">IF(C882&gt;$N$5,"YES","NO")</f>
        <v>NO</v>
      </c>
      <c r="E882" s="9" t="n">
        <v>36</v>
      </c>
      <c r="F882" s="9" t="str">
        <f aca="false">IF(E882&gt;$N$6,"YES","NO")</f>
        <v>NO</v>
      </c>
      <c r="G882" s="13" t="s">
        <v>13</v>
      </c>
    </row>
    <row r="883" customFormat="false" ht="15.75" hidden="false" customHeight="false" outlineLevel="0" collapsed="false">
      <c r="A883" s="11" t="n">
        <v>3992.954</v>
      </c>
      <c r="B883" s="11" t="str">
        <f aca="false">IF(A883&gt;$N$4,"YES","NO")</f>
        <v>NO</v>
      </c>
      <c r="C883" s="9" t="n">
        <v>24</v>
      </c>
      <c r="D883" s="9" t="str">
        <f aca="false">IF(C883&gt;$N$5,"YES","NO")</f>
        <v>NO</v>
      </c>
      <c r="E883" s="9" t="n">
        <v>38</v>
      </c>
      <c r="F883" s="9" t="str">
        <f aca="false">IF(E883&gt;$N$6,"YES","NO")</f>
        <v>NO</v>
      </c>
      <c r="G883" s="13" t="s">
        <v>13</v>
      </c>
    </row>
    <row r="884" customFormat="false" ht="15.75" hidden="false" customHeight="false" outlineLevel="0" collapsed="false">
      <c r="A884" s="11" t="n">
        <v>4740.547</v>
      </c>
      <c r="B884" s="11" t="str">
        <f aca="false">IF(A884&gt;$N$4,"YES","NO")</f>
        <v>YES</v>
      </c>
      <c r="C884" s="9" t="n">
        <v>24</v>
      </c>
      <c r="D884" s="9" t="str">
        <f aca="false">IF(C884&gt;$N$5,"YES","NO")</f>
        <v>NO</v>
      </c>
      <c r="E884" s="9" t="n">
        <v>48</v>
      </c>
      <c r="F884" s="9" t="str">
        <f aca="false">IF(E884&gt;$N$6,"YES","NO")</f>
        <v>NO</v>
      </c>
      <c r="G884" s="13" t="s">
        <v>13</v>
      </c>
    </row>
    <row r="885" customFormat="false" ht="15.75" hidden="false" customHeight="false" outlineLevel="0" collapsed="false">
      <c r="A885" s="11" t="n">
        <v>1114.491</v>
      </c>
      <c r="B885" s="11" t="str">
        <f aca="false">IF(A885&gt;$N$4,"YES","NO")</f>
        <v>NO</v>
      </c>
      <c r="C885" s="9" t="n">
        <v>30</v>
      </c>
      <c r="D885" s="9" t="str">
        <f aca="false">IF(C885&gt;$N$5,"YES","NO")</f>
        <v>NO</v>
      </c>
      <c r="E885" s="9" t="n">
        <v>36</v>
      </c>
      <c r="F885" s="9" t="str">
        <f aca="false">IF(E885&gt;$N$6,"YES","NO")</f>
        <v>NO</v>
      </c>
      <c r="G885" s="13" t="s">
        <v>13</v>
      </c>
    </row>
    <row r="886" customFormat="false" ht="15.75" hidden="false" customHeight="false" outlineLevel="0" collapsed="false">
      <c r="A886" s="11" t="n">
        <v>561.078</v>
      </c>
      <c r="B886" s="11" t="str">
        <f aca="false">IF(A886&gt;$N$4,"YES","NO")</f>
        <v>NO</v>
      </c>
      <c r="C886" s="9" t="n">
        <v>18</v>
      </c>
      <c r="D886" s="9" t="str">
        <f aca="false">IF(C886&gt;$N$5,"YES","NO")</f>
        <v>NO</v>
      </c>
      <c r="E886" s="9" t="n">
        <v>65</v>
      </c>
      <c r="F886" s="9" t="str">
        <f aca="false">IF(E886&gt;$N$6,"YES","NO")</f>
        <v>YES</v>
      </c>
      <c r="G886" s="13" t="s">
        <v>13</v>
      </c>
    </row>
    <row r="887" customFormat="false" ht="15.75" hidden="false" customHeight="false" outlineLevel="0" collapsed="false">
      <c r="A887" s="11" t="n">
        <v>2073.127</v>
      </c>
      <c r="B887" s="11" t="str">
        <f aca="false">IF(A887&gt;$N$4,"YES","NO")</f>
        <v>NO</v>
      </c>
      <c r="C887" s="9" t="n">
        <v>24</v>
      </c>
      <c r="D887" s="9" t="str">
        <f aca="false">IF(C887&gt;$N$5,"YES","NO")</f>
        <v>NO</v>
      </c>
      <c r="E887" s="9" t="n">
        <v>43</v>
      </c>
      <c r="F887" s="9" t="str">
        <f aca="false">IF(E887&gt;$N$6,"YES","NO")</f>
        <v>NO</v>
      </c>
      <c r="G887" s="13" t="s">
        <v>16</v>
      </c>
    </row>
    <row r="888" customFormat="false" ht="15.75" hidden="false" customHeight="false" outlineLevel="0" collapsed="false">
      <c r="A888" s="11" t="n">
        <v>406.245</v>
      </c>
      <c r="B888" s="11" t="str">
        <f aca="false">IF(A888&gt;$N$4,"YES","NO")</f>
        <v>NO</v>
      </c>
      <c r="C888" s="9" t="n">
        <v>12</v>
      </c>
      <c r="D888" s="9" t="str">
        <f aca="false">IF(C888&gt;$N$5,"YES","NO")</f>
        <v>NO</v>
      </c>
      <c r="E888" s="9" t="n">
        <v>53</v>
      </c>
      <c r="F888" s="9" t="str">
        <f aca="false">IF(E888&gt;$N$6,"YES","NO")</f>
        <v>NO</v>
      </c>
      <c r="G888" s="13" t="s">
        <v>16</v>
      </c>
    </row>
    <row r="889" customFormat="false" ht="15.75" hidden="false" customHeight="false" outlineLevel="0" collapsed="false">
      <c r="A889" s="11" t="n">
        <v>1443.575</v>
      </c>
      <c r="B889" s="11" t="str">
        <f aca="false">IF(A889&gt;$N$4,"YES","NO")</f>
        <v>NO</v>
      </c>
      <c r="C889" s="9" t="n">
        <v>24</v>
      </c>
      <c r="D889" s="9" t="str">
        <f aca="false">IF(C889&gt;$N$5,"YES","NO")</f>
        <v>NO</v>
      </c>
      <c r="E889" s="9" t="n">
        <v>34</v>
      </c>
      <c r="F889" s="9" t="str">
        <f aca="false">IF(E889&gt;$N$6,"YES","NO")</f>
        <v>NO</v>
      </c>
      <c r="G889" s="13" t="s">
        <v>13</v>
      </c>
    </row>
    <row r="890" customFormat="false" ht="15.75" hidden="false" customHeight="false" outlineLevel="0" collapsed="false">
      <c r="A890" s="11" t="n">
        <v>8008.392</v>
      </c>
      <c r="B890" s="11" t="str">
        <f aca="false">IF(A890&gt;$N$4,"YES","NO")</f>
        <v>YES</v>
      </c>
      <c r="C890" s="9" t="n">
        <v>48</v>
      </c>
      <c r="D890" s="9" t="str">
        <f aca="false">IF(C890&gt;$N$5,"YES","NO")</f>
        <v>YES</v>
      </c>
      <c r="E890" s="9" t="n">
        <v>23</v>
      </c>
      <c r="F890" s="9" t="str">
        <f aca="false">IF(E890&gt;$N$6,"YES","NO")</f>
        <v>NO</v>
      </c>
      <c r="G890" s="13" t="s">
        <v>16</v>
      </c>
    </row>
    <row r="891" customFormat="false" ht="15.75" hidden="false" customHeight="false" outlineLevel="0" collapsed="false">
      <c r="A891" s="11" t="n">
        <v>3379.754</v>
      </c>
      <c r="B891" s="11" t="str">
        <f aca="false">IF(A891&gt;$N$4,"YES","NO")</f>
        <v>NO</v>
      </c>
      <c r="C891" s="9" t="n">
        <v>36</v>
      </c>
      <c r="D891" s="9" t="str">
        <f aca="false">IF(C891&gt;$N$5,"YES","NO")</f>
        <v>NO</v>
      </c>
      <c r="E891" s="9" t="n">
        <v>34</v>
      </c>
      <c r="F891" s="9" t="str">
        <f aca="false">IF(E891&gt;$N$6,"YES","NO")</f>
        <v>NO</v>
      </c>
      <c r="G891" s="13" t="s">
        <v>13</v>
      </c>
    </row>
    <row r="892" customFormat="false" ht="15.75" hidden="false" customHeight="false" outlineLevel="0" collapsed="false">
      <c r="A892" s="11" t="n">
        <v>3998.064</v>
      </c>
      <c r="B892" s="11" t="str">
        <f aca="false">IF(A892&gt;$N$4,"YES","NO")</f>
        <v>NO</v>
      </c>
      <c r="C892" s="9" t="n">
        <v>28</v>
      </c>
      <c r="D892" s="9" t="str">
        <f aca="false">IF(C892&gt;$N$5,"YES","NO")</f>
        <v>NO</v>
      </c>
      <c r="E892" s="9" t="n">
        <v>40</v>
      </c>
      <c r="F892" s="9" t="str">
        <f aca="false">IF(E892&gt;$N$6,"YES","NO")</f>
        <v>NO</v>
      </c>
      <c r="G892" s="13" t="s">
        <v>13</v>
      </c>
    </row>
    <row r="893" customFormat="false" ht="15.75" hidden="false" customHeight="false" outlineLevel="0" collapsed="false">
      <c r="A893" s="11" t="n">
        <v>1247.862</v>
      </c>
      <c r="B893" s="11" t="str">
        <f aca="false">IF(A893&gt;$N$4,"YES","NO")</f>
        <v>NO</v>
      </c>
      <c r="C893" s="9" t="n">
        <v>27</v>
      </c>
      <c r="D893" s="9" t="str">
        <f aca="false">IF(C893&gt;$N$5,"YES","NO")</f>
        <v>NO</v>
      </c>
      <c r="E893" s="9" t="n">
        <v>43</v>
      </c>
      <c r="F893" s="9" t="str">
        <f aca="false">IF(E893&gt;$N$6,"YES","NO")</f>
        <v>NO</v>
      </c>
      <c r="G893" s="13" t="s">
        <v>13</v>
      </c>
    </row>
    <row r="894" customFormat="false" ht="15.75" hidden="false" customHeight="false" outlineLevel="0" collapsed="false">
      <c r="A894" s="11" t="n">
        <v>934.619</v>
      </c>
      <c r="B894" s="11" t="str">
        <f aca="false">IF(A894&gt;$N$4,"YES","NO")</f>
        <v>NO</v>
      </c>
      <c r="C894" s="9" t="n">
        <v>15</v>
      </c>
      <c r="D894" s="9" t="str">
        <f aca="false">IF(C894&gt;$N$5,"YES","NO")</f>
        <v>NO</v>
      </c>
      <c r="E894" s="9" t="n">
        <v>46</v>
      </c>
      <c r="F894" s="9" t="str">
        <f aca="false">IF(E894&gt;$N$6,"YES","NO")</f>
        <v>NO</v>
      </c>
      <c r="G894" s="13" t="s">
        <v>13</v>
      </c>
    </row>
    <row r="895" customFormat="false" ht="15.75" hidden="false" customHeight="false" outlineLevel="0" collapsed="false">
      <c r="A895" s="11" t="n">
        <v>1109.381</v>
      </c>
      <c r="B895" s="11" t="str">
        <f aca="false">IF(A895&gt;$N$4,"YES","NO")</f>
        <v>NO</v>
      </c>
      <c r="C895" s="9" t="n">
        <v>12</v>
      </c>
      <c r="D895" s="9" t="str">
        <f aca="false">IF(C895&gt;$N$5,"YES","NO")</f>
        <v>NO</v>
      </c>
      <c r="E895" s="9" t="n">
        <v>38</v>
      </c>
      <c r="F895" s="9" t="str">
        <f aca="false">IF(E895&gt;$N$6,"YES","NO")</f>
        <v>NO</v>
      </c>
      <c r="G895" s="13" t="s">
        <v>13</v>
      </c>
    </row>
    <row r="896" customFormat="false" ht="15.75" hidden="false" customHeight="false" outlineLevel="0" collapsed="false">
      <c r="A896" s="11" t="n">
        <v>2963.8</v>
      </c>
      <c r="B896" s="11" t="str">
        <f aca="false">IF(A896&gt;$N$4,"YES","NO")</f>
        <v>NO</v>
      </c>
      <c r="C896" s="9" t="n">
        <v>36</v>
      </c>
      <c r="D896" s="9" t="str">
        <f aca="false">IF(C896&gt;$N$5,"YES","NO")</f>
        <v>NO</v>
      </c>
      <c r="E896" s="9" t="n">
        <v>34</v>
      </c>
      <c r="F896" s="9" t="str">
        <f aca="false">IF(E896&gt;$N$6,"YES","NO")</f>
        <v>NO</v>
      </c>
      <c r="G896" s="13" t="s">
        <v>13</v>
      </c>
    </row>
    <row r="897" customFormat="false" ht="15.75" hidden="false" customHeight="false" outlineLevel="0" collapsed="false">
      <c r="A897" s="11" t="n">
        <v>597.359</v>
      </c>
      <c r="B897" s="11" t="str">
        <f aca="false">IF(A897&gt;$N$4,"YES","NO")</f>
        <v>NO</v>
      </c>
      <c r="C897" s="9" t="n">
        <v>18</v>
      </c>
      <c r="D897" s="9" t="str">
        <f aca="false">IF(C897&gt;$N$5,"YES","NO")</f>
        <v>NO</v>
      </c>
      <c r="E897" s="9" t="n">
        <v>29</v>
      </c>
      <c r="F897" s="9" t="str">
        <f aca="false">IF(E897&gt;$N$6,"YES","NO")</f>
        <v>NO</v>
      </c>
      <c r="G897" s="13" t="s">
        <v>13</v>
      </c>
    </row>
    <row r="898" customFormat="false" ht="15.75" hidden="false" customHeight="false" outlineLevel="0" collapsed="false">
      <c r="A898" s="11" t="n">
        <v>4571.917</v>
      </c>
      <c r="B898" s="11" t="str">
        <f aca="false">IF(A898&gt;$N$4,"YES","NO")</f>
        <v>YES</v>
      </c>
      <c r="C898" s="9" t="n">
        <v>36</v>
      </c>
      <c r="D898" s="9" t="str">
        <f aca="false">IF(C898&gt;$N$5,"YES","NO")</f>
        <v>NO</v>
      </c>
      <c r="E898" s="9" t="n">
        <v>31</v>
      </c>
      <c r="F898" s="9" t="str">
        <f aca="false">IF(E898&gt;$N$6,"YES","NO")</f>
        <v>NO</v>
      </c>
      <c r="G898" s="13" t="s">
        <v>13</v>
      </c>
    </row>
    <row r="899" customFormat="false" ht="15.75" hidden="false" customHeight="false" outlineLevel="0" collapsed="false">
      <c r="A899" s="11" t="n">
        <v>1331.666</v>
      </c>
      <c r="B899" s="11" t="str">
        <f aca="false">IF(A899&gt;$N$4,"YES","NO")</f>
        <v>NO</v>
      </c>
      <c r="C899" s="9" t="n">
        <v>21</v>
      </c>
      <c r="D899" s="9" t="str">
        <f aca="false">IF(C899&gt;$N$5,"YES","NO")</f>
        <v>NO</v>
      </c>
      <c r="E899" s="9" t="n">
        <v>28</v>
      </c>
      <c r="F899" s="9" t="str">
        <f aca="false">IF(E899&gt;$N$6,"YES","NO")</f>
        <v>NO</v>
      </c>
      <c r="G899" s="13" t="s">
        <v>13</v>
      </c>
    </row>
    <row r="900" customFormat="false" ht="15.75" hidden="false" customHeight="false" outlineLevel="0" collapsed="false">
      <c r="A900" s="11" t="n">
        <v>813.512</v>
      </c>
      <c r="B900" s="11" t="str">
        <f aca="false">IF(A900&gt;$N$4,"YES","NO")</f>
        <v>NO</v>
      </c>
      <c r="C900" s="9" t="n">
        <v>12</v>
      </c>
      <c r="D900" s="9" t="str">
        <f aca="false">IF(C900&gt;$N$5,"YES","NO")</f>
        <v>NO</v>
      </c>
      <c r="E900" s="9" t="n">
        <v>35</v>
      </c>
      <c r="F900" s="9" t="str">
        <f aca="false">IF(E900&gt;$N$6,"YES","NO")</f>
        <v>NO</v>
      </c>
      <c r="G900" s="13" t="s">
        <v>13</v>
      </c>
    </row>
    <row r="901" customFormat="false" ht="15.75" hidden="false" customHeight="false" outlineLevel="0" collapsed="false">
      <c r="A901" s="11" t="n">
        <v>1117.046</v>
      </c>
      <c r="B901" s="11" t="str">
        <f aca="false">IF(A901&gt;$N$4,"YES","NO")</f>
        <v>NO</v>
      </c>
      <c r="C901" s="9" t="n">
        <v>15</v>
      </c>
      <c r="D901" s="9" t="str">
        <f aca="false">IF(C901&gt;$N$5,"YES","NO")</f>
        <v>NO</v>
      </c>
      <c r="E901" s="9" t="n">
        <v>33</v>
      </c>
      <c r="F901" s="9" t="str">
        <f aca="false">IF(E901&gt;$N$6,"YES","NO")</f>
        <v>NO</v>
      </c>
      <c r="G901" s="13" t="s">
        <v>13</v>
      </c>
    </row>
    <row r="902" customFormat="false" ht="15.75" hidden="false" customHeight="false" outlineLevel="0" collapsed="false">
      <c r="A902" s="11" t="n">
        <v>2122.183</v>
      </c>
      <c r="B902" s="11" t="str">
        <f aca="false">IF(A902&gt;$N$4,"YES","NO")</f>
        <v>NO</v>
      </c>
      <c r="C902" s="9" t="n">
        <v>18</v>
      </c>
      <c r="D902" s="9" t="str">
        <f aca="false">IF(C902&gt;$N$5,"YES","NO")</f>
        <v>NO</v>
      </c>
      <c r="E902" s="9" t="n">
        <v>42</v>
      </c>
      <c r="F902" s="9" t="str">
        <f aca="false">IF(E902&gt;$N$6,"YES","NO")</f>
        <v>NO</v>
      </c>
      <c r="G902" s="13" t="s">
        <v>16</v>
      </c>
    </row>
    <row r="903" customFormat="false" ht="15.75" hidden="false" customHeight="false" outlineLevel="0" collapsed="false">
      <c r="A903" s="11" t="n">
        <v>1341.375</v>
      </c>
      <c r="B903" s="11" t="str">
        <f aca="false">IF(A903&gt;$N$4,"YES","NO")</f>
        <v>NO</v>
      </c>
      <c r="C903" s="9" t="n">
        <v>16</v>
      </c>
      <c r="D903" s="9" t="str">
        <f aca="false">IF(C903&gt;$N$5,"YES","NO")</f>
        <v>NO</v>
      </c>
      <c r="E903" s="9" t="n">
        <v>43</v>
      </c>
      <c r="F903" s="9" t="str">
        <f aca="false">IF(E903&gt;$N$6,"YES","NO")</f>
        <v>NO</v>
      </c>
      <c r="G903" s="13" t="s">
        <v>16</v>
      </c>
    </row>
    <row r="904" customFormat="false" ht="15.75" hidden="false" customHeight="false" outlineLevel="0" collapsed="false">
      <c r="A904" s="11" t="n">
        <v>1780.835</v>
      </c>
      <c r="B904" s="11" t="str">
        <f aca="false">IF(A904&gt;$N$4,"YES","NO")</f>
        <v>NO</v>
      </c>
      <c r="C904" s="9" t="n">
        <v>20</v>
      </c>
      <c r="D904" s="9" t="str">
        <f aca="false">IF(C904&gt;$N$5,"YES","NO")</f>
        <v>NO</v>
      </c>
      <c r="E904" s="9" t="n">
        <v>44</v>
      </c>
      <c r="F904" s="9" t="str">
        <f aca="false">IF(E904&gt;$N$6,"YES","NO")</f>
        <v>NO</v>
      </c>
      <c r="G904" s="13" t="s">
        <v>13</v>
      </c>
    </row>
    <row r="905" customFormat="false" ht="15.75" hidden="false" customHeight="false" outlineLevel="0" collapsed="false">
      <c r="A905" s="11" t="n">
        <v>5353.747</v>
      </c>
      <c r="B905" s="11" t="str">
        <f aca="false">IF(A905&gt;$N$4,"YES","NO")</f>
        <v>YES</v>
      </c>
      <c r="C905" s="9" t="n">
        <v>36</v>
      </c>
      <c r="D905" s="9" t="str">
        <f aca="false">IF(C905&gt;$N$5,"YES","NO")</f>
        <v>NO</v>
      </c>
      <c r="E905" s="9" t="n">
        <v>42</v>
      </c>
      <c r="F905" s="9" t="str">
        <f aca="false">IF(E905&gt;$N$6,"YES","NO")</f>
        <v>NO</v>
      </c>
      <c r="G905" s="13" t="s">
        <v>13</v>
      </c>
    </row>
    <row r="906" customFormat="false" ht="15.75" hidden="false" customHeight="false" outlineLevel="0" collapsed="false">
      <c r="A906" s="11" t="n">
        <v>708.246</v>
      </c>
      <c r="B906" s="11" t="str">
        <f aca="false">IF(A906&gt;$N$4,"YES","NO")</f>
        <v>NO</v>
      </c>
      <c r="C906" s="9" t="n">
        <v>15</v>
      </c>
      <c r="D906" s="9" t="str">
        <f aca="false">IF(C906&gt;$N$5,"YES","NO")</f>
        <v>NO</v>
      </c>
      <c r="E906" s="9" t="n">
        <v>40</v>
      </c>
      <c r="F906" s="9" t="str">
        <f aca="false">IF(E906&gt;$N$6,"YES","NO")</f>
        <v>NO</v>
      </c>
      <c r="G906" s="13" t="s">
        <v>13</v>
      </c>
    </row>
    <row r="907" customFormat="false" ht="15.75" hidden="false" customHeight="false" outlineLevel="0" collapsed="false">
      <c r="A907" s="11" t="n">
        <v>653.058</v>
      </c>
      <c r="B907" s="11" t="str">
        <f aca="false">IF(A907&gt;$N$4,"YES","NO")</f>
        <v>NO</v>
      </c>
      <c r="C907" s="9" t="n">
        <v>24</v>
      </c>
      <c r="D907" s="9" t="str">
        <f aca="false">IF(C907&gt;$N$5,"YES","NO")</f>
        <v>NO</v>
      </c>
      <c r="E907" s="9" t="n">
        <v>36</v>
      </c>
      <c r="F907" s="9" t="str">
        <f aca="false">IF(E907&gt;$N$6,"YES","NO")</f>
        <v>NO</v>
      </c>
      <c r="G907" s="13" t="s">
        <v>13</v>
      </c>
    </row>
    <row r="908" customFormat="false" ht="15.75" hidden="false" customHeight="false" outlineLevel="0" collapsed="false">
      <c r="A908" s="11" t="n">
        <v>565.677</v>
      </c>
      <c r="B908" s="11" t="str">
        <f aca="false">IF(A908&gt;$N$4,"YES","NO")</f>
        <v>NO</v>
      </c>
      <c r="C908" s="9" t="n">
        <v>12</v>
      </c>
      <c r="D908" s="9" t="str">
        <f aca="false">IF(C908&gt;$N$5,"YES","NO")</f>
        <v>NO</v>
      </c>
      <c r="E908" s="9" t="n">
        <v>20</v>
      </c>
      <c r="F908" s="9" t="str">
        <f aca="false">IF(E908&gt;$N$6,"YES","NO")</f>
        <v>NO</v>
      </c>
      <c r="G908" s="13" t="s">
        <v>13</v>
      </c>
    </row>
    <row r="909" customFormat="false" ht="15.75" hidden="false" customHeight="false" outlineLevel="0" collapsed="false">
      <c r="A909" s="11" t="n">
        <v>1922.893</v>
      </c>
      <c r="B909" s="11" t="str">
        <f aca="false">IF(A909&gt;$N$4,"YES","NO")</f>
        <v>NO</v>
      </c>
      <c r="C909" s="9" t="n">
        <v>21</v>
      </c>
      <c r="D909" s="9" t="str">
        <f aca="false">IF(C909&gt;$N$5,"YES","NO")</f>
        <v>NO</v>
      </c>
      <c r="E909" s="9" t="n">
        <v>24</v>
      </c>
      <c r="F909" s="9" t="str">
        <f aca="false">IF(E909&gt;$N$6,"YES","NO")</f>
        <v>NO</v>
      </c>
      <c r="G909" s="13" t="s">
        <v>13</v>
      </c>
    </row>
    <row r="910" customFormat="false" ht="15.75" hidden="false" customHeight="false" outlineLevel="0" collapsed="false">
      <c r="A910" s="11" t="n">
        <v>1896.321</v>
      </c>
      <c r="B910" s="11" t="str">
        <f aca="false">IF(A910&gt;$N$4,"YES","NO")</f>
        <v>NO</v>
      </c>
      <c r="C910" s="9" t="n">
        <v>36</v>
      </c>
      <c r="D910" s="9" t="str">
        <f aca="false">IF(C910&gt;$N$5,"YES","NO")</f>
        <v>NO</v>
      </c>
      <c r="E910" s="9" t="n">
        <v>27</v>
      </c>
      <c r="F910" s="9" t="str">
        <f aca="false">IF(E910&gt;$N$6,"YES","NO")</f>
        <v>NO</v>
      </c>
      <c r="G910" s="13" t="s">
        <v>13</v>
      </c>
    </row>
    <row r="911" customFormat="false" ht="15.75" hidden="false" customHeight="false" outlineLevel="0" collapsed="false">
      <c r="A911" s="11" t="n">
        <v>1836.534</v>
      </c>
      <c r="B911" s="11" t="str">
        <f aca="false">IF(A911&gt;$N$4,"YES","NO")</f>
        <v>NO</v>
      </c>
      <c r="C911" s="9" t="n">
        <v>15</v>
      </c>
      <c r="D911" s="9" t="str">
        <f aca="false">IF(C911&gt;$N$5,"YES","NO")</f>
        <v>NO</v>
      </c>
      <c r="E911" s="9" t="n">
        <v>46</v>
      </c>
      <c r="F911" s="9" t="str">
        <f aca="false">IF(E911&gt;$N$6,"YES","NO")</f>
        <v>NO</v>
      </c>
      <c r="G911" s="13" t="s">
        <v>13</v>
      </c>
    </row>
    <row r="912" customFormat="false" ht="15.75" hidden="false" customHeight="false" outlineLevel="0" collapsed="false">
      <c r="A912" s="11" t="n">
        <v>1632.645</v>
      </c>
      <c r="B912" s="11" t="str">
        <f aca="false">IF(A912&gt;$N$4,"YES","NO")</f>
        <v>NO</v>
      </c>
      <c r="C912" s="9" t="n">
        <v>9</v>
      </c>
      <c r="D912" s="9" t="str">
        <f aca="false">IF(C912&gt;$N$5,"YES","NO")</f>
        <v>NO</v>
      </c>
      <c r="E912" s="9" t="n">
        <v>33</v>
      </c>
      <c r="F912" s="9" t="str">
        <f aca="false">IF(E912&gt;$N$6,"YES","NO")</f>
        <v>NO</v>
      </c>
      <c r="G912" s="13" t="s">
        <v>13</v>
      </c>
    </row>
    <row r="913" customFormat="false" ht="15.75" hidden="false" customHeight="false" outlineLevel="0" collapsed="false">
      <c r="A913" s="11" t="n">
        <v>2275.994</v>
      </c>
      <c r="B913" s="11" t="str">
        <f aca="false">IF(A913&gt;$N$4,"YES","NO")</f>
        <v>NO</v>
      </c>
      <c r="C913" s="9" t="n">
        <v>36</v>
      </c>
      <c r="D913" s="9" t="str">
        <f aca="false">IF(C913&gt;$N$5,"YES","NO")</f>
        <v>NO</v>
      </c>
      <c r="E913" s="9" t="n">
        <v>34</v>
      </c>
      <c r="F913" s="9" t="str">
        <f aca="false">IF(E913&gt;$N$6,"YES","NO")</f>
        <v>NO</v>
      </c>
      <c r="G913" s="13" t="s">
        <v>13</v>
      </c>
    </row>
    <row r="914" customFormat="false" ht="15.75" hidden="false" customHeight="false" outlineLevel="0" collapsed="false">
      <c r="A914" s="11" t="n">
        <v>2420.096</v>
      </c>
      <c r="B914" s="11" t="str">
        <f aca="false">IF(A914&gt;$N$4,"YES","NO")</f>
        <v>NO</v>
      </c>
      <c r="C914" s="9" t="n">
        <v>24</v>
      </c>
      <c r="D914" s="9" t="str">
        <f aca="false">IF(C914&gt;$N$5,"YES","NO")</f>
        <v>NO</v>
      </c>
      <c r="E914" s="9" t="n">
        <v>25</v>
      </c>
      <c r="F914" s="9" t="str">
        <f aca="false">IF(E914&gt;$N$6,"YES","NO")</f>
        <v>NO</v>
      </c>
      <c r="G914" s="13" t="s">
        <v>16</v>
      </c>
    </row>
    <row r="915" customFormat="false" ht="15.75" hidden="false" customHeight="false" outlineLevel="0" collapsed="false">
      <c r="A915" s="11" t="n">
        <v>1528.401</v>
      </c>
      <c r="B915" s="11" t="str">
        <f aca="false">IF(A915&gt;$N$4,"YES","NO")</f>
        <v>NO</v>
      </c>
      <c r="C915" s="9" t="n">
        <v>30</v>
      </c>
      <c r="D915" s="9" t="str">
        <f aca="false">IF(C915&gt;$N$5,"YES","NO")</f>
        <v>NO</v>
      </c>
      <c r="E915" s="9" t="n">
        <v>25</v>
      </c>
      <c r="F915" s="9" t="str">
        <f aca="false">IF(E915&gt;$N$6,"YES","NO")</f>
        <v>NO</v>
      </c>
      <c r="G915" s="13" t="s">
        <v>13</v>
      </c>
    </row>
    <row r="916" customFormat="false" ht="15.75" hidden="false" customHeight="false" outlineLevel="0" collapsed="false">
      <c r="A916" s="11" t="n">
        <v>1094.562</v>
      </c>
      <c r="B916" s="11" t="str">
        <f aca="false">IF(A916&gt;$N$4,"YES","NO")</f>
        <v>NO</v>
      </c>
      <c r="C916" s="9" t="n">
        <v>11</v>
      </c>
      <c r="D916" s="9" t="str">
        <f aca="false">IF(C916&gt;$N$5,"YES","NO")</f>
        <v>NO</v>
      </c>
      <c r="E916" s="9" t="n">
        <v>28</v>
      </c>
      <c r="F916" s="9" t="str">
        <f aca="false">IF(E916&gt;$N$6,"YES","NO")</f>
        <v>NO</v>
      </c>
      <c r="G916" s="13" t="s">
        <v>13</v>
      </c>
    </row>
    <row r="917" customFormat="false" ht="15.75" hidden="false" customHeight="false" outlineLevel="0" collapsed="false">
      <c r="A917" s="11" t="n">
        <v>1615.271</v>
      </c>
      <c r="B917" s="11" t="str">
        <f aca="false">IF(A917&gt;$N$4,"YES","NO")</f>
        <v>NO</v>
      </c>
      <c r="C917" s="9" t="n">
        <v>24</v>
      </c>
      <c r="D917" s="9" t="str">
        <f aca="false">IF(C917&gt;$N$5,"YES","NO")</f>
        <v>NO</v>
      </c>
      <c r="E917" s="9" t="n">
        <v>31</v>
      </c>
      <c r="F917" s="9" t="str">
        <f aca="false">IF(E917&gt;$N$6,"YES","NO")</f>
        <v>NO</v>
      </c>
      <c r="G917" s="13" t="s">
        <v>16</v>
      </c>
    </row>
    <row r="918" customFormat="false" ht="15.75" hidden="false" customHeight="false" outlineLevel="0" collapsed="false">
      <c r="A918" s="11" t="n">
        <v>9414.664</v>
      </c>
      <c r="B918" s="11" t="str">
        <f aca="false">IF(A918&gt;$N$4,"YES","NO")</f>
        <v>YES</v>
      </c>
      <c r="C918" s="9" t="n">
        <v>48</v>
      </c>
      <c r="D918" s="9" t="str">
        <f aca="false">IF(C918&gt;$N$5,"YES","NO")</f>
        <v>YES</v>
      </c>
      <c r="E918" s="9" t="n">
        <v>32</v>
      </c>
      <c r="F918" s="9" t="str">
        <f aca="false">IF(E918&gt;$N$6,"YES","NO")</f>
        <v>NO</v>
      </c>
      <c r="G918" s="13" t="s">
        <v>16</v>
      </c>
    </row>
    <row r="919" customFormat="false" ht="15.75" hidden="false" customHeight="false" outlineLevel="0" collapsed="false">
      <c r="A919" s="11" t="n">
        <v>1455.328</v>
      </c>
      <c r="B919" s="11" t="str">
        <f aca="false">IF(A919&gt;$N$4,"YES","NO")</f>
        <v>NO</v>
      </c>
      <c r="C919" s="9" t="n">
        <v>10</v>
      </c>
      <c r="D919" s="9" t="str">
        <f aca="false">IF(C919&gt;$N$5,"YES","NO")</f>
        <v>NO</v>
      </c>
      <c r="E919" s="9" t="n">
        <v>32</v>
      </c>
      <c r="F919" s="9" t="str">
        <f aca="false">IF(E919&gt;$N$6,"YES","NO")</f>
        <v>NO</v>
      </c>
      <c r="G919" s="13" t="s">
        <v>13</v>
      </c>
    </row>
    <row r="920" customFormat="false" ht="15.75" hidden="false" customHeight="false" outlineLevel="0" collapsed="false">
      <c r="A920" s="11" t="n">
        <v>7611.856</v>
      </c>
      <c r="B920" s="11" t="str">
        <f aca="false">IF(A920&gt;$N$4,"YES","NO")</f>
        <v>YES</v>
      </c>
      <c r="C920" s="9" t="n">
        <v>6</v>
      </c>
      <c r="D920" s="9" t="str">
        <f aca="false">IF(C920&gt;$N$5,"YES","NO")</f>
        <v>NO</v>
      </c>
      <c r="E920" s="9" t="n">
        <v>68</v>
      </c>
      <c r="F920" s="9" t="str">
        <f aca="false">IF(E920&gt;$N$6,"YES","NO")</f>
        <v>YES</v>
      </c>
      <c r="G920" s="13" t="s">
        <v>16</v>
      </c>
    </row>
    <row r="921" customFormat="false" ht="15.75" hidden="false" customHeight="false" outlineLevel="0" collapsed="false">
      <c r="A921" s="11" t="n">
        <v>1205.449</v>
      </c>
      <c r="B921" s="11" t="str">
        <f aca="false">IF(A921&gt;$N$4,"YES","NO")</f>
        <v>NO</v>
      </c>
      <c r="C921" s="9" t="n">
        <v>24</v>
      </c>
      <c r="D921" s="9" t="str">
        <f aca="false">IF(C921&gt;$N$5,"YES","NO")</f>
        <v>NO</v>
      </c>
      <c r="E921" s="9" t="n">
        <v>33</v>
      </c>
      <c r="F921" s="9" t="str">
        <f aca="false">IF(E921&gt;$N$6,"YES","NO")</f>
        <v>NO</v>
      </c>
      <c r="G921" s="13" t="s">
        <v>16</v>
      </c>
    </row>
    <row r="922" customFormat="false" ht="15.75" hidden="false" customHeight="false" outlineLevel="0" collapsed="false">
      <c r="A922" s="11" t="n">
        <v>1709.295</v>
      </c>
      <c r="B922" s="11" t="str">
        <f aca="false">IF(A922&gt;$N$4,"YES","NO")</f>
        <v>NO</v>
      </c>
      <c r="C922" s="9" t="n">
        <v>24</v>
      </c>
      <c r="D922" s="9" t="str">
        <f aca="false">IF(C922&gt;$N$5,"YES","NO")</f>
        <v>NO</v>
      </c>
      <c r="E922" s="9" t="n">
        <v>39</v>
      </c>
      <c r="F922" s="9" t="str">
        <f aca="false">IF(E922&gt;$N$6,"YES","NO")</f>
        <v>NO</v>
      </c>
      <c r="G922" s="13" t="s">
        <v>16</v>
      </c>
    </row>
    <row r="923" customFormat="false" ht="15.75" hidden="false" customHeight="false" outlineLevel="0" collapsed="false">
      <c r="A923" s="11" t="n">
        <v>928.487</v>
      </c>
      <c r="B923" s="11" t="str">
        <f aca="false">IF(A923&gt;$N$4,"YES","NO")</f>
        <v>NO</v>
      </c>
      <c r="C923" s="9" t="n">
        <v>18</v>
      </c>
      <c r="D923" s="9" t="str">
        <f aca="false">IF(C923&gt;$N$5,"YES","NO")</f>
        <v>NO</v>
      </c>
      <c r="E923" s="9" t="n">
        <v>28</v>
      </c>
      <c r="F923" s="9" t="str">
        <f aca="false">IF(E923&gt;$N$6,"YES","NO")</f>
        <v>NO</v>
      </c>
      <c r="G923" s="13" t="s">
        <v>13</v>
      </c>
    </row>
    <row r="924" customFormat="false" ht="15.75" hidden="false" customHeight="false" outlineLevel="0" collapsed="false">
      <c r="A924" s="11" t="n">
        <v>6514.739</v>
      </c>
      <c r="B924" s="11" t="str">
        <f aca="false">IF(A924&gt;$N$4,"YES","NO")</f>
        <v>YES</v>
      </c>
      <c r="C924" s="9" t="n">
        <v>48</v>
      </c>
      <c r="D924" s="9" t="str">
        <f aca="false">IF(C924&gt;$N$5,"YES","NO")</f>
        <v>YES</v>
      </c>
      <c r="E924" s="9" t="n">
        <v>37</v>
      </c>
      <c r="F924" s="9" t="str">
        <f aca="false">IF(E924&gt;$N$6,"YES","NO")</f>
        <v>NO</v>
      </c>
      <c r="G924" s="13" t="s">
        <v>13</v>
      </c>
    </row>
    <row r="925" customFormat="false" ht="15.75" hidden="false" customHeight="false" outlineLevel="0" collapsed="false">
      <c r="A925" s="11" t="n">
        <v>698.026</v>
      </c>
      <c r="B925" s="11" t="str">
        <f aca="false">IF(A925&gt;$N$4,"YES","NO")</f>
        <v>NO</v>
      </c>
      <c r="C925" s="9" t="n">
        <v>9</v>
      </c>
      <c r="D925" s="9" t="str">
        <f aca="false">IF(C925&gt;$N$5,"YES","NO")</f>
        <v>NO</v>
      </c>
      <c r="E925" s="9" t="n">
        <v>22</v>
      </c>
      <c r="F925" s="9" t="str">
        <f aca="false">IF(E925&gt;$N$6,"YES","NO")</f>
        <v>NO</v>
      </c>
      <c r="G925" s="13" t="s">
        <v>16</v>
      </c>
    </row>
    <row r="926" customFormat="false" ht="15.75" hidden="false" customHeight="false" outlineLevel="0" collapsed="false">
      <c r="A926" s="11" t="n">
        <v>1023.022</v>
      </c>
      <c r="B926" s="11" t="str">
        <f aca="false">IF(A926&gt;$N$4,"YES","NO")</f>
        <v>NO</v>
      </c>
      <c r="C926" s="9" t="n">
        <v>12</v>
      </c>
      <c r="D926" s="9" t="str">
        <f aca="false">IF(C926&gt;$N$5,"YES","NO")</f>
        <v>NO</v>
      </c>
      <c r="E926" s="9" t="n">
        <v>30</v>
      </c>
      <c r="F926" s="9" t="str">
        <f aca="false">IF(E926&gt;$N$6,"YES","NO")</f>
        <v>NO</v>
      </c>
      <c r="G926" s="13" t="s">
        <v>13</v>
      </c>
    </row>
    <row r="927" customFormat="false" ht="15.75" hidden="false" customHeight="false" outlineLevel="0" collapsed="false">
      <c r="A927" s="11" t="n">
        <v>3511.592</v>
      </c>
      <c r="B927" s="11" t="str">
        <f aca="false">IF(A927&gt;$N$4,"YES","NO")</f>
        <v>NO</v>
      </c>
      <c r="C927" s="9" t="n">
        <v>24</v>
      </c>
      <c r="D927" s="9" t="str">
        <f aca="false">IF(C927&gt;$N$5,"YES","NO")</f>
        <v>NO</v>
      </c>
      <c r="E927" s="9" t="n">
        <v>55</v>
      </c>
      <c r="F927" s="9" t="str">
        <f aca="false">IF(E927&gt;$N$6,"YES","NO")</f>
        <v>NO</v>
      </c>
      <c r="G927" s="13" t="s">
        <v>16</v>
      </c>
    </row>
    <row r="928" customFormat="false" ht="15.75" hidden="false" customHeight="false" outlineLevel="0" collapsed="false">
      <c r="A928" s="11" t="n">
        <v>356.167</v>
      </c>
      <c r="B928" s="11" t="str">
        <f aca="false">IF(A928&gt;$N$4,"YES","NO")</f>
        <v>NO</v>
      </c>
      <c r="C928" s="9" t="n">
        <v>12</v>
      </c>
      <c r="D928" s="9" t="str">
        <f aca="false">IF(C928&gt;$N$5,"YES","NO")</f>
        <v>NO</v>
      </c>
      <c r="E928" s="9" t="n">
        <v>46</v>
      </c>
      <c r="F928" s="9" t="str">
        <f aca="false">IF(E928&gt;$N$6,"YES","NO")</f>
        <v>NO</v>
      </c>
      <c r="G928" s="13" t="s">
        <v>16</v>
      </c>
    </row>
    <row r="929" customFormat="false" ht="15.75" hidden="false" customHeight="false" outlineLevel="0" collapsed="false">
      <c r="A929" s="11" t="n">
        <v>536.039</v>
      </c>
      <c r="B929" s="11" t="str">
        <f aca="false">IF(A929&gt;$N$4,"YES","NO")</f>
        <v>NO</v>
      </c>
      <c r="C929" s="9" t="n">
        <v>18</v>
      </c>
      <c r="D929" s="9" t="str">
        <f aca="false">IF(C929&gt;$N$5,"YES","NO")</f>
        <v>NO</v>
      </c>
      <c r="E929" s="9" t="n">
        <v>21</v>
      </c>
      <c r="F929" s="9" t="str">
        <f aca="false">IF(E929&gt;$N$6,"YES","NO")</f>
        <v>NO</v>
      </c>
      <c r="G929" s="13" t="s">
        <v>13</v>
      </c>
    </row>
    <row r="930" customFormat="false" ht="15.75" hidden="false" customHeight="false" outlineLevel="0" collapsed="false">
      <c r="A930" s="11" t="n">
        <v>5261.767</v>
      </c>
      <c r="B930" s="11" t="str">
        <f aca="false">IF(A930&gt;$N$4,"YES","NO")</f>
        <v>YES</v>
      </c>
      <c r="C930" s="9" t="n">
        <v>48</v>
      </c>
      <c r="D930" s="9" t="str">
        <f aca="false">IF(C930&gt;$N$5,"YES","NO")</f>
        <v>YES</v>
      </c>
      <c r="E930" s="9" t="n">
        <v>39</v>
      </c>
      <c r="F930" s="9" t="str">
        <f aca="false">IF(E930&gt;$N$6,"YES","NO")</f>
        <v>NO</v>
      </c>
      <c r="G930" s="13" t="s">
        <v>16</v>
      </c>
    </row>
    <row r="931" customFormat="false" ht="15.75" hidden="false" customHeight="false" outlineLevel="0" collapsed="false">
      <c r="A931" s="11" t="n">
        <v>954.037</v>
      </c>
      <c r="B931" s="11" t="str">
        <f aca="false">IF(A931&gt;$N$4,"YES","NO")</f>
        <v>NO</v>
      </c>
      <c r="C931" s="9" t="n">
        <v>30</v>
      </c>
      <c r="D931" s="9" t="str">
        <f aca="false">IF(C931&gt;$N$5,"YES","NO")</f>
        <v>NO</v>
      </c>
      <c r="E931" s="9" t="n">
        <v>58</v>
      </c>
      <c r="F931" s="9" t="str">
        <f aca="false">IF(E931&gt;$N$6,"YES","NO")</f>
        <v>NO</v>
      </c>
      <c r="G931" s="13" t="s">
        <v>13</v>
      </c>
    </row>
    <row r="932" customFormat="false" ht="15.75" hidden="false" customHeight="false" outlineLevel="0" collapsed="false">
      <c r="A932" s="11" t="n">
        <v>686.784</v>
      </c>
      <c r="B932" s="11" t="str">
        <f aca="false">IF(A932&gt;$N$4,"YES","NO")</f>
        <v>NO</v>
      </c>
      <c r="C932" s="9" t="n">
        <v>12</v>
      </c>
      <c r="D932" s="9" t="str">
        <f aca="false">IF(C932&gt;$N$5,"YES","NO")</f>
        <v>NO</v>
      </c>
      <c r="E932" s="9" t="n">
        <v>43</v>
      </c>
      <c r="F932" s="9" t="str">
        <f aca="false">IF(E932&gt;$N$6,"YES","NO")</f>
        <v>NO</v>
      </c>
      <c r="G932" s="13" t="s">
        <v>13</v>
      </c>
    </row>
    <row r="933" customFormat="false" ht="15.75" hidden="false" customHeight="false" outlineLevel="0" collapsed="false">
      <c r="A933" s="11" t="n">
        <v>892.717</v>
      </c>
      <c r="B933" s="11" t="str">
        <f aca="false">IF(A933&gt;$N$4,"YES","NO")</f>
        <v>NO</v>
      </c>
      <c r="C933" s="9" t="n">
        <v>24</v>
      </c>
      <c r="D933" s="9" t="str">
        <f aca="false">IF(C933&gt;$N$5,"YES","NO")</f>
        <v>NO</v>
      </c>
      <c r="E933" s="9" t="n">
        <v>24</v>
      </c>
      <c r="F933" s="9" t="str">
        <f aca="false">IF(E933&gt;$N$6,"YES","NO")</f>
        <v>NO</v>
      </c>
      <c r="G933" s="13" t="s">
        <v>13</v>
      </c>
    </row>
    <row r="934" customFormat="false" ht="15.75" hidden="false" customHeight="false" outlineLevel="0" collapsed="false">
      <c r="A934" s="11" t="n">
        <v>853.37</v>
      </c>
      <c r="B934" s="11" t="str">
        <f aca="false">IF(A934&gt;$N$4,"YES","NO")</f>
        <v>NO</v>
      </c>
      <c r="C934" s="9" t="n">
        <v>9</v>
      </c>
      <c r="D934" s="9" t="str">
        <f aca="false">IF(C934&gt;$N$5,"YES","NO")</f>
        <v>NO</v>
      </c>
      <c r="E934" s="9" t="n">
        <v>22</v>
      </c>
      <c r="F934" s="9" t="str">
        <f aca="false">IF(E934&gt;$N$6,"YES","NO")</f>
        <v>NO</v>
      </c>
      <c r="G934" s="13" t="s">
        <v>16</v>
      </c>
    </row>
    <row r="935" customFormat="false" ht="15.75" hidden="false" customHeight="false" outlineLevel="0" collapsed="false">
      <c r="A935" s="11" t="n">
        <v>625.464</v>
      </c>
      <c r="B935" s="11" t="str">
        <f aca="false">IF(A935&gt;$N$4,"YES","NO")</f>
        <v>NO</v>
      </c>
      <c r="C935" s="9" t="n">
        <v>9</v>
      </c>
      <c r="D935" s="9" t="str">
        <f aca="false">IF(C935&gt;$N$5,"YES","NO")</f>
        <v>NO</v>
      </c>
      <c r="E935" s="9" t="n">
        <v>30</v>
      </c>
      <c r="F935" s="9" t="str">
        <f aca="false">IF(E935&gt;$N$6,"YES","NO")</f>
        <v>NO</v>
      </c>
      <c r="G935" s="13" t="s">
        <v>13</v>
      </c>
    </row>
    <row r="936" customFormat="false" ht="15.75" hidden="false" customHeight="false" outlineLevel="0" collapsed="false">
      <c r="A936" s="11" t="n">
        <v>266.742</v>
      </c>
      <c r="B936" s="11" t="str">
        <f aca="false">IF(A936&gt;$N$4,"YES","NO")</f>
        <v>NO</v>
      </c>
      <c r="C936" s="9" t="n">
        <v>12</v>
      </c>
      <c r="D936" s="9" t="str">
        <f aca="false">IF(C936&gt;$N$5,"YES","NO")</f>
        <v>NO</v>
      </c>
      <c r="E936" s="9" t="n">
        <v>42</v>
      </c>
      <c r="F936" s="9" t="str">
        <f aca="false">IF(E936&gt;$N$6,"YES","NO")</f>
        <v>NO</v>
      </c>
      <c r="G936" s="13" t="s">
        <v>13</v>
      </c>
    </row>
    <row r="937" customFormat="false" ht="15.75" hidden="false" customHeight="false" outlineLevel="0" collapsed="false">
      <c r="A937" s="11" t="n">
        <v>765.478</v>
      </c>
      <c r="B937" s="11" t="str">
        <f aca="false">IF(A937&gt;$N$4,"YES","NO")</f>
        <v>NO</v>
      </c>
      <c r="C937" s="9" t="n">
        <v>12</v>
      </c>
      <c r="D937" s="9" t="str">
        <f aca="false">IF(C937&gt;$N$5,"YES","NO")</f>
        <v>NO</v>
      </c>
      <c r="E937" s="9" t="n">
        <v>23</v>
      </c>
      <c r="F937" s="9" t="str">
        <f aca="false">IF(E937&gt;$N$6,"YES","NO")</f>
        <v>NO</v>
      </c>
      <c r="G937" s="13" t="s">
        <v>13</v>
      </c>
    </row>
    <row r="938" customFormat="false" ht="15.75" hidden="false" customHeight="false" outlineLevel="0" collapsed="false">
      <c r="A938" s="11" t="n">
        <v>980.609</v>
      </c>
      <c r="B938" s="11" t="str">
        <f aca="false">IF(A938&gt;$N$4,"YES","NO")</f>
        <v>NO</v>
      </c>
      <c r="C938" s="9" t="n">
        <v>30</v>
      </c>
      <c r="D938" s="9" t="str">
        <f aca="false">IF(C938&gt;$N$5,"YES","NO")</f>
        <v>NO</v>
      </c>
      <c r="E938" s="9" t="n">
        <v>30</v>
      </c>
      <c r="F938" s="9" t="str">
        <f aca="false">IF(E938&gt;$N$6,"YES","NO")</f>
        <v>NO</v>
      </c>
      <c r="G938" s="13" t="s">
        <v>16</v>
      </c>
    </row>
    <row r="939" customFormat="false" ht="15.75" hidden="false" customHeight="false" outlineLevel="0" collapsed="false">
      <c r="A939" s="11" t="n">
        <v>380.695</v>
      </c>
      <c r="B939" s="11" t="str">
        <f aca="false">IF(A939&gt;$N$4,"YES","NO")</f>
        <v>NO</v>
      </c>
      <c r="C939" s="9" t="n">
        <v>9</v>
      </c>
      <c r="D939" s="9" t="str">
        <f aca="false">IF(C939&gt;$N$5,"YES","NO")</f>
        <v>NO</v>
      </c>
      <c r="E939" s="9" t="n">
        <v>28</v>
      </c>
      <c r="F939" s="9" t="str">
        <f aca="false">IF(E939&gt;$N$6,"YES","NO")</f>
        <v>NO</v>
      </c>
      <c r="G939" s="13" t="s">
        <v>16</v>
      </c>
    </row>
    <row r="940" customFormat="false" ht="15.75" hidden="false" customHeight="false" outlineLevel="0" collapsed="false">
      <c r="A940" s="11" t="n">
        <v>1054.193</v>
      </c>
      <c r="B940" s="11" t="str">
        <f aca="false">IF(A940&gt;$N$4,"YES","NO")</f>
        <v>NO</v>
      </c>
      <c r="C940" s="9" t="n">
        <v>6</v>
      </c>
      <c r="D940" s="9" t="str">
        <f aca="false">IF(C940&gt;$N$5,"YES","NO")</f>
        <v>NO</v>
      </c>
      <c r="E940" s="9" t="n">
        <v>30</v>
      </c>
      <c r="F940" s="9" t="str">
        <f aca="false">IF(E940&gt;$N$6,"YES","NO")</f>
        <v>NO</v>
      </c>
      <c r="G940" s="13" t="s">
        <v>13</v>
      </c>
    </row>
    <row r="941" customFormat="false" ht="15.75" hidden="false" customHeight="false" outlineLevel="0" collapsed="false">
      <c r="A941" s="11" t="n">
        <v>3213.168</v>
      </c>
      <c r="B941" s="11" t="str">
        <f aca="false">IF(A941&gt;$N$4,"YES","NO")</f>
        <v>NO</v>
      </c>
      <c r="C941" s="9" t="n">
        <v>60</v>
      </c>
      <c r="D941" s="9" t="str">
        <f aca="false">IF(C941&gt;$N$5,"YES","NO")</f>
        <v>YES</v>
      </c>
      <c r="E941" s="9" t="n">
        <v>42</v>
      </c>
      <c r="F941" s="9" t="str">
        <f aca="false">IF(E941&gt;$N$6,"YES","NO")</f>
        <v>NO</v>
      </c>
      <c r="G941" s="13" t="s">
        <v>16</v>
      </c>
    </row>
    <row r="942" customFormat="false" ht="15.75" hidden="false" customHeight="false" outlineLevel="0" collapsed="false">
      <c r="A942" s="11" t="n">
        <v>3496.262</v>
      </c>
      <c r="B942" s="11" t="str">
        <f aca="false">IF(A942&gt;$N$4,"YES","NO")</f>
        <v>NO</v>
      </c>
      <c r="C942" s="9" t="n">
        <v>24</v>
      </c>
      <c r="D942" s="9" t="str">
        <f aca="false">IF(C942&gt;$N$5,"YES","NO")</f>
        <v>NO</v>
      </c>
      <c r="E942" s="9" t="n">
        <v>46</v>
      </c>
      <c r="F942" s="9" t="str">
        <f aca="false">IF(E942&gt;$N$6,"YES","NO")</f>
        <v>NO</v>
      </c>
      <c r="G942" s="13" t="s">
        <v>13</v>
      </c>
    </row>
    <row r="943" customFormat="false" ht="15.75" hidden="false" customHeight="false" outlineLevel="0" collapsed="false">
      <c r="A943" s="11" t="n">
        <v>1802.297</v>
      </c>
      <c r="B943" s="11" t="str">
        <f aca="false">IF(A943&gt;$N$4,"YES","NO")</f>
        <v>NO</v>
      </c>
      <c r="C943" s="9" t="n">
        <v>12</v>
      </c>
      <c r="D943" s="9" t="str">
        <f aca="false">IF(C943&gt;$N$5,"YES","NO")</f>
        <v>NO</v>
      </c>
      <c r="E943" s="9" t="n">
        <v>45</v>
      </c>
      <c r="F943" s="9" t="str">
        <f aca="false">IF(E943&gt;$N$6,"YES","NO")</f>
        <v>NO</v>
      </c>
      <c r="G943" s="13" t="s">
        <v>13</v>
      </c>
    </row>
    <row r="944" customFormat="false" ht="15.75" hidden="false" customHeight="false" outlineLevel="0" collapsed="false">
      <c r="A944" s="11" t="n">
        <v>790.006</v>
      </c>
      <c r="B944" s="11" t="str">
        <f aca="false">IF(A944&gt;$N$4,"YES","NO")</f>
        <v>NO</v>
      </c>
      <c r="C944" s="9" t="n">
        <v>10</v>
      </c>
      <c r="D944" s="9" t="str">
        <f aca="false">IF(C944&gt;$N$5,"YES","NO")</f>
        <v>NO</v>
      </c>
      <c r="E944" s="9" t="n">
        <v>31</v>
      </c>
      <c r="F944" s="9" t="str">
        <f aca="false">IF(E944&gt;$N$6,"YES","NO")</f>
        <v>NO</v>
      </c>
      <c r="G944" s="13" t="s">
        <v>13</v>
      </c>
    </row>
    <row r="945" customFormat="false" ht="15.75" hidden="false" customHeight="false" outlineLevel="0" collapsed="false">
      <c r="A945" s="11" t="n">
        <v>474.719</v>
      </c>
      <c r="B945" s="11" t="str">
        <f aca="false">IF(A945&gt;$N$4,"YES","NO")</f>
        <v>NO</v>
      </c>
      <c r="C945" s="9" t="n">
        <v>24</v>
      </c>
      <c r="D945" s="9" t="str">
        <f aca="false">IF(C945&gt;$N$5,"YES","NO")</f>
        <v>NO</v>
      </c>
      <c r="E945" s="9" t="n">
        <v>31</v>
      </c>
      <c r="F945" s="9" t="str">
        <f aca="false">IF(E945&gt;$N$6,"YES","NO")</f>
        <v>NO</v>
      </c>
      <c r="G945" s="13" t="s">
        <v>13</v>
      </c>
    </row>
    <row r="946" customFormat="false" ht="15.75" hidden="false" customHeight="false" outlineLevel="0" collapsed="false">
      <c r="A946" s="11" t="n">
        <v>743.505</v>
      </c>
      <c r="B946" s="11" t="str">
        <f aca="false">IF(A946&gt;$N$4,"YES","NO")</f>
        <v>NO</v>
      </c>
      <c r="C946" s="9" t="n">
        <v>4</v>
      </c>
      <c r="D946" s="9" t="str">
        <f aca="false">IF(C946&gt;$N$5,"YES","NO")</f>
        <v>NO</v>
      </c>
      <c r="E946" s="9" t="n">
        <v>42</v>
      </c>
      <c r="F946" s="9" t="str">
        <f aca="false">IF(E946&gt;$N$6,"YES","NO")</f>
        <v>NO</v>
      </c>
      <c r="G946" s="13" t="s">
        <v>13</v>
      </c>
    </row>
    <row r="947" customFormat="false" ht="15.75" hidden="false" customHeight="false" outlineLevel="0" collapsed="false">
      <c r="A947" s="11" t="n">
        <v>942.795</v>
      </c>
      <c r="B947" s="11" t="str">
        <f aca="false">IF(A947&gt;$N$4,"YES","NO")</f>
        <v>NO</v>
      </c>
      <c r="C947" s="9" t="n">
        <v>15</v>
      </c>
      <c r="D947" s="9" t="str">
        <f aca="false">IF(C947&gt;$N$5,"YES","NO")</f>
        <v>NO</v>
      </c>
      <c r="E947" s="9" t="n">
        <v>46</v>
      </c>
      <c r="F947" s="9" t="str">
        <f aca="false">IF(E947&gt;$N$6,"YES","NO")</f>
        <v>NO</v>
      </c>
      <c r="G947" s="13" t="s">
        <v>13</v>
      </c>
    </row>
    <row r="948" customFormat="false" ht="15.75" hidden="false" customHeight="false" outlineLevel="0" collapsed="false">
      <c r="A948" s="11" t="n">
        <v>4270.938</v>
      </c>
      <c r="B948" s="11" t="str">
        <f aca="false">IF(A948&gt;$N$4,"YES","NO")</f>
        <v>YES</v>
      </c>
      <c r="C948" s="9" t="n">
        <v>48</v>
      </c>
      <c r="D948" s="9" t="str">
        <f aca="false">IF(C948&gt;$N$5,"YES","NO")</f>
        <v>YES</v>
      </c>
      <c r="E948" s="9" t="n">
        <v>30</v>
      </c>
      <c r="F948" s="9" t="str">
        <f aca="false">IF(E948&gt;$N$6,"YES","NO")</f>
        <v>NO</v>
      </c>
      <c r="G948" s="13" t="s">
        <v>13</v>
      </c>
    </row>
    <row r="949" customFormat="false" ht="15.75" hidden="false" customHeight="false" outlineLevel="0" collapsed="false">
      <c r="A949" s="11" t="n">
        <v>1711.339</v>
      </c>
      <c r="B949" s="11" t="str">
        <f aca="false">IF(A949&gt;$N$4,"YES","NO")</f>
        <v>NO</v>
      </c>
      <c r="C949" s="9" t="n">
        <v>24</v>
      </c>
      <c r="D949" s="9" t="str">
        <f aca="false">IF(C949&gt;$N$5,"YES","NO")</f>
        <v>NO</v>
      </c>
      <c r="E949" s="9" t="n">
        <v>30</v>
      </c>
      <c r="F949" s="9" t="str">
        <f aca="false">IF(E949&gt;$N$6,"YES","NO")</f>
        <v>NO</v>
      </c>
      <c r="G949" s="13" t="s">
        <v>16</v>
      </c>
    </row>
    <row r="950" customFormat="false" ht="15.75" hidden="false" customHeight="false" outlineLevel="0" collapsed="false">
      <c r="A950" s="11" t="n">
        <v>1460.949</v>
      </c>
      <c r="B950" s="11" t="str">
        <f aca="false">IF(A950&gt;$N$4,"YES","NO")</f>
        <v>NO</v>
      </c>
      <c r="C950" s="9" t="n">
        <v>12</v>
      </c>
      <c r="D950" s="9" t="str">
        <f aca="false">IF(C950&gt;$N$5,"YES","NO")</f>
        <v>NO</v>
      </c>
      <c r="E950" s="9" t="n">
        <v>38</v>
      </c>
      <c r="F950" s="9" t="str">
        <f aca="false">IF(E950&gt;$N$6,"YES","NO")</f>
        <v>NO</v>
      </c>
      <c r="G950" s="13" t="s">
        <v>13</v>
      </c>
    </row>
    <row r="951" customFormat="false" ht="15.75" hidden="false" customHeight="false" outlineLevel="0" collapsed="false">
      <c r="A951" s="11" t="n">
        <v>783.363</v>
      </c>
      <c r="B951" s="11" t="str">
        <f aca="false">IF(A951&gt;$N$4,"YES","NO")</f>
        <v>NO</v>
      </c>
      <c r="C951" s="9" t="n">
        <v>18</v>
      </c>
      <c r="D951" s="9" t="str">
        <f aca="false">IF(C951&gt;$N$5,"YES","NO")</f>
        <v>NO</v>
      </c>
      <c r="E951" s="9" t="n">
        <v>43</v>
      </c>
      <c r="F951" s="9" t="str">
        <f aca="false">IF(E951&gt;$N$6,"YES","NO")</f>
        <v>NO</v>
      </c>
      <c r="G951" s="13" t="s">
        <v>16</v>
      </c>
    </row>
    <row r="952" customFormat="false" ht="15.75" hidden="false" customHeight="false" outlineLevel="0" collapsed="false">
      <c r="A952" s="11" t="n">
        <v>1850.331</v>
      </c>
      <c r="B952" s="11" t="str">
        <f aca="false">IF(A952&gt;$N$4,"YES","NO")</f>
        <v>NO</v>
      </c>
      <c r="C952" s="9" t="n">
        <v>24</v>
      </c>
      <c r="D952" s="9" t="str">
        <f aca="false">IF(C952&gt;$N$5,"YES","NO")</f>
        <v>NO</v>
      </c>
      <c r="E952" s="9" t="n">
        <v>31</v>
      </c>
      <c r="F952" s="9" t="str">
        <f aca="false">IF(E952&gt;$N$6,"YES","NO")</f>
        <v>NO</v>
      </c>
      <c r="G952" s="13" t="s">
        <v>16</v>
      </c>
    </row>
    <row r="953" customFormat="false" ht="15.75" hidden="false" customHeight="false" outlineLevel="0" collapsed="false">
      <c r="A953" s="11" t="n">
        <v>1834.49</v>
      </c>
      <c r="B953" s="11" t="str">
        <f aca="false">IF(A953&gt;$N$4,"YES","NO")</f>
        <v>NO</v>
      </c>
      <c r="C953" s="9" t="n">
        <v>18</v>
      </c>
      <c r="D953" s="9" t="str">
        <f aca="false">IF(C953&gt;$N$5,"YES","NO")</f>
        <v>NO</v>
      </c>
      <c r="E953" s="9" t="n">
        <v>40</v>
      </c>
      <c r="F953" s="9" t="str">
        <f aca="false">IF(E953&gt;$N$6,"YES","NO")</f>
        <v>NO</v>
      </c>
      <c r="G953" s="13" t="s">
        <v>13</v>
      </c>
    </row>
    <row r="954" customFormat="false" ht="15.75" hidden="false" customHeight="false" outlineLevel="0" collapsed="false">
      <c r="A954" s="11" t="n">
        <v>1096.095</v>
      </c>
      <c r="B954" s="11" t="str">
        <f aca="false">IF(A954&gt;$N$4,"YES","NO")</f>
        <v>NO</v>
      </c>
      <c r="C954" s="9" t="n">
        <v>36</v>
      </c>
      <c r="D954" s="9" t="str">
        <f aca="false">IF(C954&gt;$N$5,"YES","NO")</f>
        <v>NO</v>
      </c>
      <c r="E954" s="9" t="n">
        <v>24</v>
      </c>
      <c r="F954" s="9" t="str">
        <f aca="false">IF(E954&gt;$N$6,"YES","NO")</f>
        <v>NO</v>
      </c>
      <c r="G954" s="13" t="s">
        <v>16</v>
      </c>
    </row>
    <row r="955" customFormat="false" ht="15.75" hidden="false" customHeight="false" outlineLevel="0" collapsed="false">
      <c r="A955" s="11" t="n">
        <v>2101.743</v>
      </c>
      <c r="B955" s="11" t="str">
        <f aca="false">IF(A955&gt;$N$4,"YES","NO")</f>
        <v>NO</v>
      </c>
      <c r="C955" s="9" t="n">
        <v>24</v>
      </c>
      <c r="D955" s="9" t="str">
        <f aca="false">IF(C955&gt;$N$5,"YES","NO")</f>
        <v>NO</v>
      </c>
      <c r="E955" s="9" t="n">
        <v>28</v>
      </c>
      <c r="F955" s="9" t="str">
        <f aca="false">IF(E955&gt;$N$6,"YES","NO")</f>
        <v>NO</v>
      </c>
      <c r="G955" s="13" t="s">
        <v>16</v>
      </c>
    </row>
    <row r="956" customFormat="false" ht="15.75" hidden="false" customHeight="false" outlineLevel="0" collapsed="false">
      <c r="A956" s="11" t="n">
        <v>5607.714</v>
      </c>
      <c r="B956" s="11" t="str">
        <f aca="false">IF(A956&gt;$N$4,"YES","NO")</f>
        <v>YES</v>
      </c>
      <c r="C956" s="9" t="n">
        <v>36</v>
      </c>
      <c r="D956" s="9" t="str">
        <f aca="false">IF(C956&gt;$N$5,"YES","NO")</f>
        <v>NO</v>
      </c>
      <c r="E956" s="9" t="n">
        <v>26</v>
      </c>
      <c r="F956" s="9" t="str">
        <f aca="false">IF(E956&gt;$N$6,"YES","NO")</f>
        <v>NO</v>
      </c>
      <c r="G956" s="13" t="s">
        <v>16</v>
      </c>
    </row>
    <row r="957" customFormat="false" ht="15.75" hidden="false" customHeight="false" outlineLevel="0" collapsed="false">
      <c r="A957" s="11" t="n">
        <v>967.323</v>
      </c>
      <c r="B957" s="11" t="str">
        <f aca="false">IF(A957&gt;$N$4,"YES","NO")</f>
        <v>NO</v>
      </c>
      <c r="C957" s="9" t="n">
        <v>12</v>
      </c>
      <c r="D957" s="9" t="str">
        <f aca="false">IF(C957&gt;$N$5,"YES","NO")</f>
        <v>NO</v>
      </c>
      <c r="E957" s="9" t="n">
        <v>29</v>
      </c>
      <c r="F957" s="9" t="str">
        <f aca="false">IF(E957&gt;$N$6,"YES","NO")</f>
        <v>NO</v>
      </c>
      <c r="G957" s="13" t="s">
        <v>13</v>
      </c>
    </row>
    <row r="958" customFormat="false" ht="15.75" hidden="false" customHeight="false" outlineLevel="0" collapsed="false">
      <c r="A958" s="11" t="n">
        <v>629.041</v>
      </c>
      <c r="B958" s="11" t="str">
        <f aca="false">IF(A958&gt;$N$4,"YES","NO")</f>
        <v>NO</v>
      </c>
      <c r="C958" s="9" t="n">
        <v>24</v>
      </c>
      <c r="D958" s="9" t="str">
        <f aca="false">IF(C958&gt;$N$5,"YES","NO")</f>
        <v>NO</v>
      </c>
      <c r="E958" s="9" t="n">
        <v>57</v>
      </c>
      <c r="F958" s="9" t="str">
        <f aca="false">IF(E958&gt;$N$6,"YES","NO")</f>
        <v>NO</v>
      </c>
      <c r="G958" s="13" t="s">
        <v>13</v>
      </c>
    </row>
    <row r="959" customFormat="false" ht="15.75" hidden="false" customHeight="false" outlineLevel="0" collapsed="false">
      <c r="A959" s="11" t="n">
        <v>1868.216</v>
      </c>
      <c r="B959" s="11" t="str">
        <f aca="false">IF(A959&gt;$N$4,"YES","NO")</f>
        <v>NO</v>
      </c>
      <c r="C959" s="9" t="n">
        <v>30</v>
      </c>
      <c r="D959" s="9" t="str">
        <f aca="false">IF(C959&gt;$N$5,"YES","NO")</f>
        <v>NO</v>
      </c>
      <c r="E959" s="9" t="n">
        <v>49</v>
      </c>
      <c r="F959" s="9" t="str">
        <f aca="false">IF(E959&gt;$N$6,"YES","NO")</f>
        <v>NO</v>
      </c>
      <c r="G959" s="13" t="s">
        <v>13</v>
      </c>
    </row>
    <row r="960" customFormat="false" ht="15.75" hidden="false" customHeight="false" outlineLevel="0" collapsed="false">
      <c r="A960" s="11" t="n">
        <v>589.694</v>
      </c>
      <c r="B960" s="11" t="str">
        <f aca="false">IF(A960&gt;$N$4,"YES","NO")</f>
        <v>NO</v>
      </c>
      <c r="C960" s="9" t="n">
        <v>9</v>
      </c>
      <c r="D960" s="9" t="str">
        <f aca="false">IF(C960&gt;$N$5,"YES","NO")</f>
        <v>NO</v>
      </c>
      <c r="E960" s="9" t="n">
        <v>37</v>
      </c>
      <c r="F960" s="9" t="str">
        <f aca="false">IF(E960&gt;$N$6,"YES","NO")</f>
        <v>NO</v>
      </c>
      <c r="G960" s="13" t="s">
        <v>13</v>
      </c>
    </row>
    <row r="961" customFormat="false" ht="15.75" hidden="false" customHeight="false" outlineLevel="0" collapsed="false">
      <c r="A961" s="11" t="n">
        <v>2047.066</v>
      </c>
      <c r="B961" s="11" t="str">
        <f aca="false">IF(A961&gt;$N$4,"YES","NO")</f>
        <v>NO</v>
      </c>
      <c r="C961" s="9" t="n">
        <v>28</v>
      </c>
      <c r="D961" s="9" t="str">
        <f aca="false">IF(C961&gt;$N$5,"YES","NO")</f>
        <v>NO</v>
      </c>
      <c r="E961" s="9" t="n">
        <v>45</v>
      </c>
      <c r="F961" s="9" t="str">
        <f aca="false">IF(E961&gt;$N$6,"YES","NO")</f>
        <v>NO</v>
      </c>
      <c r="G961" s="13" t="s">
        <v>16</v>
      </c>
    </row>
    <row r="962" customFormat="false" ht="15.75" hidden="false" customHeight="false" outlineLevel="0" collapsed="false">
      <c r="A962" s="11" t="n">
        <v>1568.259</v>
      </c>
      <c r="B962" s="11" t="str">
        <f aca="false">IF(A962&gt;$N$4,"YES","NO")</f>
        <v>NO</v>
      </c>
      <c r="C962" s="9" t="n">
        <v>24</v>
      </c>
      <c r="D962" s="9" t="str">
        <f aca="false">IF(C962&gt;$N$5,"YES","NO")</f>
        <v>NO</v>
      </c>
      <c r="E962" s="9" t="n">
        <v>30</v>
      </c>
      <c r="F962" s="9" t="str">
        <f aca="false">IF(E962&gt;$N$6,"YES","NO")</f>
        <v>NO</v>
      </c>
      <c r="G962" s="13" t="s">
        <v>13</v>
      </c>
    </row>
    <row r="963" customFormat="false" ht="15.75" hidden="false" customHeight="false" outlineLevel="0" collapsed="false">
      <c r="A963" s="11" t="n">
        <v>889.14</v>
      </c>
      <c r="B963" s="11" t="str">
        <f aca="false">IF(A963&gt;$N$4,"YES","NO")</f>
        <v>NO</v>
      </c>
      <c r="C963" s="9" t="n">
        <v>6</v>
      </c>
      <c r="D963" s="9" t="str">
        <f aca="false">IF(C963&gt;$N$5,"YES","NO")</f>
        <v>NO</v>
      </c>
      <c r="E963" s="9" t="n">
        <v>30</v>
      </c>
      <c r="F963" s="9" t="str">
        <f aca="false">IF(E963&gt;$N$6,"YES","NO")</f>
        <v>NO</v>
      </c>
      <c r="G963" s="13" t="s">
        <v>13</v>
      </c>
    </row>
    <row r="964" customFormat="false" ht="15.75" hidden="false" customHeight="false" outlineLevel="0" collapsed="false">
      <c r="A964" s="11" t="n">
        <v>1202.383</v>
      </c>
      <c r="B964" s="11" t="str">
        <f aca="false">IF(A964&gt;$N$4,"YES","NO")</f>
        <v>NO</v>
      </c>
      <c r="C964" s="9" t="n">
        <v>21</v>
      </c>
      <c r="D964" s="9" t="str">
        <f aca="false">IF(C964&gt;$N$5,"YES","NO")</f>
        <v>NO</v>
      </c>
      <c r="E964" s="9" t="n">
        <v>47</v>
      </c>
      <c r="F964" s="9" t="str">
        <f aca="false">IF(E964&gt;$N$6,"YES","NO")</f>
        <v>NO</v>
      </c>
      <c r="G964" s="13" t="s">
        <v>13</v>
      </c>
    </row>
    <row r="965" customFormat="false" ht="15.75" hidden="false" customHeight="false" outlineLevel="0" collapsed="false">
      <c r="A965" s="11" t="n">
        <v>1817.116</v>
      </c>
      <c r="B965" s="11" t="str">
        <f aca="false">IF(A965&gt;$N$4,"YES","NO")</f>
        <v>NO</v>
      </c>
      <c r="C965" s="9" t="n">
        <v>15</v>
      </c>
      <c r="D965" s="9" t="str">
        <f aca="false">IF(C965&gt;$N$5,"YES","NO")</f>
        <v>NO</v>
      </c>
      <c r="E965" s="9" t="n">
        <v>29</v>
      </c>
      <c r="F965" s="9" t="str">
        <f aca="false">IF(E965&gt;$N$6,"YES","NO")</f>
        <v>NO</v>
      </c>
      <c r="G965" s="13" t="s">
        <v>13</v>
      </c>
    </row>
    <row r="966" customFormat="false" ht="15.75" hidden="false" customHeight="false" outlineLevel="0" collapsed="false">
      <c r="A966" s="11" t="n">
        <v>1224.867</v>
      </c>
      <c r="B966" s="11" t="str">
        <f aca="false">IF(A966&gt;$N$4,"YES","NO")</f>
        <v>NO</v>
      </c>
      <c r="C966" s="9" t="n">
        <v>24</v>
      </c>
      <c r="D966" s="9" t="str">
        <f aca="false">IF(C966&gt;$N$5,"YES","NO")</f>
        <v>NO</v>
      </c>
      <c r="E966" s="9" t="n">
        <v>35</v>
      </c>
      <c r="F966" s="9" t="str">
        <f aca="false">IF(E966&gt;$N$6,"YES","NO")</f>
        <v>NO</v>
      </c>
      <c r="G966" s="13" t="s">
        <v>16</v>
      </c>
    </row>
    <row r="967" customFormat="false" ht="15.75" hidden="false" customHeight="false" outlineLevel="0" collapsed="false">
      <c r="A967" s="11" t="n">
        <v>231.994</v>
      </c>
      <c r="B967" s="11" t="str">
        <f aca="false">IF(A967&gt;$N$4,"YES","NO")</f>
        <v>NO</v>
      </c>
      <c r="C967" s="9" t="n">
        <v>6</v>
      </c>
      <c r="D967" s="9" t="str">
        <f aca="false">IF(C967&gt;$N$5,"YES","NO")</f>
        <v>NO</v>
      </c>
      <c r="E967" s="9" t="n">
        <v>22</v>
      </c>
      <c r="F967" s="9" t="str">
        <f aca="false">IF(E967&gt;$N$6,"YES","NO")</f>
        <v>NO</v>
      </c>
      <c r="G967" s="13" t="s">
        <v>13</v>
      </c>
    </row>
    <row r="968" customFormat="false" ht="15.75" hidden="false" customHeight="false" outlineLevel="0" collapsed="false">
      <c r="A968" s="11" t="n">
        <v>876.365</v>
      </c>
      <c r="B968" s="11" t="str">
        <f aca="false">IF(A968&gt;$N$4,"YES","NO")</f>
        <v>NO</v>
      </c>
      <c r="C968" s="9" t="n">
        <v>30</v>
      </c>
      <c r="D968" s="9" t="str">
        <f aca="false">IF(C968&gt;$N$5,"YES","NO")</f>
        <v>NO</v>
      </c>
      <c r="E968" s="9" t="n">
        <v>26</v>
      </c>
      <c r="F968" s="9" t="str">
        <f aca="false">IF(E968&gt;$N$6,"YES","NO")</f>
        <v>NO</v>
      </c>
      <c r="G968" s="13" t="s">
        <v>13</v>
      </c>
    </row>
    <row r="969" customFormat="false" ht="15.75" hidden="false" customHeight="false" outlineLevel="0" collapsed="false">
      <c r="A969" s="11" t="n">
        <v>1287.72</v>
      </c>
      <c r="B969" s="11" t="str">
        <f aca="false">IF(A969&gt;$N$4,"YES","NO")</f>
        <v>NO</v>
      </c>
      <c r="C969" s="9" t="n">
        <v>27</v>
      </c>
      <c r="D969" s="9" t="str">
        <f aca="false">IF(C969&gt;$N$5,"YES","NO")</f>
        <v>NO</v>
      </c>
      <c r="E969" s="9" t="n">
        <v>23</v>
      </c>
      <c r="F969" s="9" t="str">
        <f aca="false">IF(E969&gt;$N$6,"YES","NO")</f>
        <v>NO</v>
      </c>
      <c r="G969" s="13" t="s">
        <v>16</v>
      </c>
    </row>
    <row r="970" customFormat="false" ht="15.75" hidden="false" customHeight="false" outlineLevel="0" collapsed="false">
      <c r="A970" s="11" t="n">
        <v>1823.248</v>
      </c>
      <c r="B970" s="11" t="str">
        <f aca="false">IF(A970&gt;$N$4,"YES","NO")</f>
        <v>NO</v>
      </c>
      <c r="C970" s="9" t="n">
        <v>15</v>
      </c>
      <c r="D970" s="9" t="str">
        <f aca="false">IF(C970&gt;$N$5,"YES","NO")</f>
        <v>NO</v>
      </c>
      <c r="E970" s="9" t="n">
        <v>54</v>
      </c>
      <c r="F970" s="9" t="str">
        <f aca="false">IF(E970&gt;$N$6,"YES","NO")</f>
        <v>NO</v>
      </c>
      <c r="G970" s="13" t="s">
        <v>13</v>
      </c>
    </row>
    <row r="971" customFormat="false" ht="15.75" hidden="false" customHeight="false" outlineLevel="0" collapsed="false">
      <c r="A971" s="11" t="n">
        <v>3661.826</v>
      </c>
      <c r="B971" s="11" t="str">
        <f aca="false">IF(A971&gt;$N$4,"YES","NO")</f>
        <v>NO</v>
      </c>
      <c r="C971" s="9" t="n">
        <v>42</v>
      </c>
      <c r="D971" s="9" t="str">
        <f aca="false">IF(C971&gt;$N$5,"YES","NO")</f>
        <v>NO</v>
      </c>
      <c r="E971" s="9" t="n">
        <v>29</v>
      </c>
      <c r="F971" s="9" t="str">
        <f aca="false">IF(E971&gt;$N$6,"YES","NO")</f>
        <v>NO</v>
      </c>
      <c r="G971" s="13" t="s">
        <v>13</v>
      </c>
    </row>
    <row r="972" customFormat="false" ht="15.75" hidden="false" customHeight="false" outlineLevel="0" collapsed="false">
      <c r="A972" s="11" t="n">
        <v>2012.829</v>
      </c>
      <c r="B972" s="11" t="str">
        <f aca="false">IF(A972&gt;$N$4,"YES","NO")</f>
        <v>NO</v>
      </c>
      <c r="C972" s="9" t="n">
        <v>11</v>
      </c>
      <c r="D972" s="9" t="str">
        <f aca="false">IF(C972&gt;$N$5,"YES","NO")</f>
        <v>NO</v>
      </c>
      <c r="E972" s="9" t="n">
        <v>40</v>
      </c>
      <c r="F972" s="9" t="str">
        <f aca="false">IF(E972&gt;$N$6,"YES","NO")</f>
        <v>NO</v>
      </c>
      <c r="G972" s="13" t="s">
        <v>13</v>
      </c>
    </row>
    <row r="973" customFormat="false" ht="15.75" hidden="false" customHeight="false" outlineLevel="0" collapsed="false">
      <c r="A973" s="11" t="n">
        <v>773.654</v>
      </c>
      <c r="B973" s="11" t="str">
        <f aca="false">IF(A973&gt;$N$4,"YES","NO")</f>
        <v>NO</v>
      </c>
      <c r="C973" s="9" t="n">
        <v>15</v>
      </c>
      <c r="D973" s="9" t="str">
        <f aca="false">IF(C973&gt;$N$5,"YES","NO")</f>
        <v>NO</v>
      </c>
      <c r="E973" s="9" t="n">
        <v>22</v>
      </c>
      <c r="F973" s="9" t="str">
        <f aca="false">IF(E973&gt;$N$6,"YES","NO")</f>
        <v>NO</v>
      </c>
      <c r="G973" s="13" t="s">
        <v>13</v>
      </c>
    </row>
    <row r="974" customFormat="false" ht="15.75" hidden="false" customHeight="false" outlineLevel="0" collapsed="false">
      <c r="A974" s="11" t="n">
        <v>3777.823</v>
      </c>
      <c r="B974" s="11" t="str">
        <f aca="false">IF(A974&gt;$N$4,"YES","NO")</f>
        <v>NO</v>
      </c>
      <c r="C974" s="9" t="n">
        <v>24</v>
      </c>
      <c r="D974" s="9" t="str">
        <f aca="false">IF(C974&gt;$N$5,"YES","NO")</f>
        <v>NO</v>
      </c>
      <c r="E974" s="9" t="n">
        <v>43</v>
      </c>
      <c r="F974" s="9" t="str">
        <f aca="false">IF(E974&gt;$N$6,"YES","NO")</f>
        <v>NO</v>
      </c>
      <c r="G974" s="13" t="s">
        <v>13</v>
      </c>
    </row>
    <row r="975" customFormat="false" ht="15.75" hidden="false" customHeight="false" outlineLevel="0" collapsed="false">
      <c r="A975" s="11" t="n">
        <v>609.623</v>
      </c>
      <c r="B975" s="11" t="str">
        <f aca="false">IF(A975&gt;$N$4,"YES","NO")</f>
        <v>NO</v>
      </c>
      <c r="C975" s="9" t="n">
        <v>24</v>
      </c>
      <c r="D975" s="9" t="str">
        <f aca="false">IF(C975&gt;$N$5,"YES","NO")</f>
        <v>NO</v>
      </c>
      <c r="E975" s="9" t="n">
        <v>29</v>
      </c>
      <c r="F975" s="9" t="str">
        <f aca="false">IF(E975&gt;$N$6,"YES","NO")</f>
        <v>NO</v>
      </c>
      <c r="G975" s="13" t="s">
        <v>16</v>
      </c>
    </row>
    <row r="976" customFormat="false" ht="15.75" hidden="false" customHeight="false" outlineLevel="0" collapsed="false">
      <c r="A976" s="11" t="n">
        <v>3728.767</v>
      </c>
      <c r="B976" s="11" t="str">
        <f aca="false">IF(A976&gt;$N$4,"YES","NO")</f>
        <v>NO</v>
      </c>
      <c r="C976" s="9" t="n">
        <v>60</v>
      </c>
      <c r="D976" s="9" t="str">
        <f aca="false">IF(C976&gt;$N$5,"YES","NO")</f>
        <v>YES</v>
      </c>
      <c r="E976" s="9" t="n">
        <v>36</v>
      </c>
      <c r="F976" s="9" t="str">
        <f aca="false">IF(E976&gt;$N$6,"YES","NO")</f>
        <v>NO</v>
      </c>
      <c r="G976" s="13" t="s">
        <v>16</v>
      </c>
    </row>
    <row r="977" customFormat="false" ht="15.75" hidden="false" customHeight="false" outlineLevel="0" collapsed="false">
      <c r="A977" s="11" t="n">
        <v>1446.641</v>
      </c>
      <c r="B977" s="11" t="str">
        <f aca="false">IF(A977&gt;$N$4,"YES","NO")</f>
        <v>NO</v>
      </c>
      <c r="C977" s="9" t="n">
        <v>30</v>
      </c>
      <c r="D977" s="9" t="str">
        <f aca="false">IF(C977&gt;$N$5,"YES","NO")</f>
        <v>NO</v>
      </c>
      <c r="E977" s="9" t="n">
        <v>33</v>
      </c>
      <c r="F977" s="9" t="str">
        <f aca="false">IF(E977&gt;$N$6,"YES","NO")</f>
        <v>NO</v>
      </c>
      <c r="G977" s="13" t="s">
        <v>13</v>
      </c>
    </row>
    <row r="978" customFormat="false" ht="15.75" hidden="false" customHeight="false" outlineLevel="0" collapsed="false">
      <c r="A978" s="11" t="n">
        <v>642.838</v>
      </c>
      <c r="B978" s="11" t="str">
        <f aca="false">IF(A978&gt;$N$4,"YES","NO")</f>
        <v>NO</v>
      </c>
      <c r="C978" s="9" t="n">
        <v>24</v>
      </c>
      <c r="D978" s="9" t="str">
        <f aca="false">IF(C978&gt;$N$5,"YES","NO")</f>
        <v>NO</v>
      </c>
      <c r="E978" s="9" t="n">
        <v>57</v>
      </c>
      <c r="F978" s="9" t="str">
        <f aca="false">IF(E978&gt;$N$6,"YES","NO")</f>
        <v>NO</v>
      </c>
      <c r="G978" s="13" t="s">
        <v>13</v>
      </c>
    </row>
    <row r="979" customFormat="false" ht="15.75" hidden="false" customHeight="false" outlineLevel="0" collapsed="false">
      <c r="A979" s="11" t="n">
        <v>384.783</v>
      </c>
      <c r="B979" s="11" t="str">
        <f aca="false">IF(A979&gt;$N$4,"YES","NO")</f>
        <v>NO</v>
      </c>
      <c r="C979" s="9" t="n">
        <v>6</v>
      </c>
      <c r="D979" s="9" t="str">
        <f aca="false">IF(C979&gt;$N$5,"YES","NO")</f>
        <v>NO</v>
      </c>
      <c r="E979" s="9" t="n">
        <v>64</v>
      </c>
      <c r="F979" s="9" t="str">
        <f aca="false">IF(E979&gt;$N$6,"YES","NO")</f>
        <v>NO</v>
      </c>
      <c r="G979" s="13" t="s">
        <v>13</v>
      </c>
    </row>
    <row r="980" customFormat="false" ht="15.75" hidden="false" customHeight="false" outlineLevel="0" collapsed="false">
      <c r="A980" s="11" t="n">
        <v>1240.197</v>
      </c>
      <c r="B980" s="11" t="str">
        <f aca="false">IF(A980&gt;$N$4,"YES","NO")</f>
        <v>NO</v>
      </c>
      <c r="C980" s="9" t="n">
        <v>18</v>
      </c>
      <c r="D980" s="9" t="str">
        <f aca="false">IF(C980&gt;$N$5,"YES","NO")</f>
        <v>NO</v>
      </c>
      <c r="E980" s="9" t="n">
        <v>42</v>
      </c>
      <c r="F980" s="9" t="str">
        <f aca="false">IF(E980&gt;$N$6,"YES","NO")</f>
        <v>NO</v>
      </c>
      <c r="G980" s="13" t="s">
        <v>13</v>
      </c>
    </row>
    <row r="981" customFormat="false" ht="15.75" hidden="false" customHeight="false" outlineLevel="0" collapsed="false">
      <c r="A981" s="11" t="n">
        <v>1296.918</v>
      </c>
      <c r="B981" s="11" t="str">
        <f aca="false">IF(A981&gt;$N$4,"YES","NO")</f>
        <v>NO</v>
      </c>
      <c r="C981" s="9" t="n">
        <v>24</v>
      </c>
      <c r="D981" s="9" t="str">
        <f aca="false">IF(C981&gt;$N$5,"YES","NO")</f>
        <v>NO</v>
      </c>
      <c r="E981" s="9" t="n">
        <v>47</v>
      </c>
      <c r="F981" s="9" t="str">
        <f aca="false">IF(E981&gt;$N$6,"YES","NO")</f>
        <v>NO</v>
      </c>
      <c r="G981" s="13" t="s">
        <v>16</v>
      </c>
    </row>
    <row r="982" customFormat="false" ht="15.75" hidden="false" customHeight="false" outlineLevel="0" collapsed="false">
      <c r="A982" s="11" t="n">
        <v>645.904</v>
      </c>
      <c r="B982" s="11" t="str">
        <f aca="false">IF(A982&gt;$N$4,"YES","NO")</f>
        <v>NO</v>
      </c>
      <c r="C982" s="9" t="n">
        <v>15</v>
      </c>
      <c r="D982" s="9" t="str">
        <f aca="false">IF(C982&gt;$N$5,"YES","NO")</f>
        <v>NO</v>
      </c>
      <c r="E982" s="9" t="n">
        <v>25</v>
      </c>
      <c r="F982" s="9" t="str">
        <f aca="false">IF(E982&gt;$N$6,"YES","NO")</f>
        <v>NO</v>
      </c>
      <c r="G982" s="13" t="s">
        <v>16</v>
      </c>
    </row>
    <row r="983" customFormat="false" ht="15.75" hidden="false" customHeight="false" outlineLevel="0" collapsed="false">
      <c r="A983" s="11" t="n">
        <v>4285.246</v>
      </c>
      <c r="B983" s="11" t="str">
        <f aca="false">IF(A983&gt;$N$4,"YES","NO")</f>
        <v>YES</v>
      </c>
      <c r="C983" s="9" t="n">
        <v>30</v>
      </c>
      <c r="D983" s="9" t="str">
        <f aca="false">IF(C983&gt;$N$5,"YES","NO")</f>
        <v>NO</v>
      </c>
      <c r="E983" s="9" t="n">
        <v>49</v>
      </c>
      <c r="F983" s="9" t="str">
        <f aca="false">IF(E983&gt;$N$6,"YES","NO")</f>
        <v>NO</v>
      </c>
      <c r="G983" s="13" t="s">
        <v>16</v>
      </c>
    </row>
    <row r="984" customFormat="false" ht="15.75" hidden="false" customHeight="false" outlineLevel="0" collapsed="false">
      <c r="A984" s="11" t="n">
        <v>2475.284</v>
      </c>
      <c r="B984" s="11" t="str">
        <f aca="false">IF(A984&gt;$N$4,"YES","NO")</f>
        <v>NO</v>
      </c>
      <c r="C984" s="9" t="n">
        <v>48</v>
      </c>
      <c r="D984" s="9" t="str">
        <f aca="false">IF(C984&gt;$N$5,"YES","NO")</f>
        <v>YES</v>
      </c>
      <c r="E984" s="9" t="n">
        <v>33</v>
      </c>
      <c r="F984" s="9" t="str">
        <f aca="false">IF(E984&gt;$N$6,"YES","NO")</f>
        <v>NO</v>
      </c>
      <c r="G984" s="13" t="s">
        <v>16</v>
      </c>
    </row>
    <row r="985" customFormat="false" ht="15.75" hidden="false" customHeight="false" outlineLevel="0" collapsed="false">
      <c r="A985" s="11" t="n">
        <v>1493.653</v>
      </c>
      <c r="B985" s="11" t="str">
        <f aca="false">IF(A985&gt;$N$4,"YES","NO")</f>
        <v>NO</v>
      </c>
      <c r="C985" s="9" t="n">
        <v>21</v>
      </c>
      <c r="D985" s="9" t="str">
        <f aca="false">IF(C985&gt;$N$5,"YES","NO")</f>
        <v>NO</v>
      </c>
      <c r="E985" s="9" t="n">
        <v>28</v>
      </c>
      <c r="F985" s="9" t="str">
        <f aca="false">IF(E985&gt;$N$6,"YES","NO")</f>
        <v>NO</v>
      </c>
      <c r="G985" s="13" t="s">
        <v>13</v>
      </c>
    </row>
    <row r="986" customFormat="false" ht="15.75" hidden="false" customHeight="false" outlineLevel="0" collapsed="false">
      <c r="A986" s="11" t="n">
        <v>4205.019</v>
      </c>
      <c r="B986" s="11" t="str">
        <f aca="false">IF(A986&gt;$N$4,"YES","NO")</f>
        <v>YES</v>
      </c>
      <c r="C986" s="9" t="n">
        <v>36</v>
      </c>
      <c r="D986" s="9" t="str">
        <f aca="false">IF(C986&gt;$N$5,"YES","NO")</f>
        <v>NO</v>
      </c>
      <c r="E986" s="9" t="n">
        <v>26</v>
      </c>
      <c r="F986" s="9" t="str">
        <f aca="false">IF(E986&gt;$N$6,"YES","NO")</f>
        <v>NO</v>
      </c>
      <c r="G986" s="13" t="s">
        <v>16</v>
      </c>
    </row>
    <row r="987" customFormat="false" ht="15.75" hidden="false" customHeight="false" outlineLevel="0" collapsed="false">
      <c r="A987" s="11" t="n">
        <v>1036.308</v>
      </c>
      <c r="B987" s="11" t="str">
        <f aca="false">IF(A987&gt;$N$4,"YES","NO")</f>
        <v>NO</v>
      </c>
      <c r="C987" s="9" t="n">
        <v>24</v>
      </c>
      <c r="D987" s="9" t="str">
        <f aca="false">IF(C987&gt;$N$5,"YES","NO")</f>
        <v>NO</v>
      </c>
      <c r="E987" s="9" t="n">
        <v>30</v>
      </c>
      <c r="F987" s="9" t="str">
        <f aca="false">IF(E987&gt;$N$6,"YES","NO")</f>
        <v>NO</v>
      </c>
      <c r="G987" s="13" t="s">
        <v>13</v>
      </c>
    </row>
    <row r="988" customFormat="false" ht="15.75" hidden="false" customHeight="false" outlineLevel="0" collapsed="false">
      <c r="A988" s="11" t="n">
        <v>732.263</v>
      </c>
      <c r="B988" s="11" t="str">
        <f aca="false">IF(A988&gt;$N$4,"YES","NO")</f>
        <v>NO</v>
      </c>
      <c r="C988" s="9" t="n">
        <v>15</v>
      </c>
      <c r="D988" s="9" t="str">
        <f aca="false">IF(C988&gt;$N$5,"YES","NO")</f>
        <v>NO</v>
      </c>
      <c r="E988" s="9" t="n">
        <v>25</v>
      </c>
      <c r="F988" s="9" t="str">
        <f aca="false">IF(E988&gt;$N$6,"YES","NO")</f>
        <v>NO</v>
      </c>
      <c r="G988" s="13" t="s">
        <v>13</v>
      </c>
    </row>
    <row r="989" customFormat="false" ht="15.75" hidden="false" customHeight="false" outlineLevel="0" collapsed="false">
      <c r="A989" s="11" t="n">
        <v>3213.679</v>
      </c>
      <c r="B989" s="11" t="str">
        <f aca="false">IF(A989&gt;$N$4,"YES","NO")</f>
        <v>NO</v>
      </c>
      <c r="C989" s="9" t="n">
        <v>42</v>
      </c>
      <c r="D989" s="9" t="str">
        <f aca="false">IF(C989&gt;$N$5,"YES","NO")</f>
        <v>NO</v>
      </c>
      <c r="E989" s="9" t="n">
        <v>33</v>
      </c>
      <c r="F989" s="9" t="str">
        <f aca="false">IF(E989&gt;$N$6,"YES","NO")</f>
        <v>NO</v>
      </c>
      <c r="G989" s="13" t="s">
        <v>13</v>
      </c>
    </row>
    <row r="990" customFormat="false" ht="15.75" hidden="false" customHeight="false" outlineLevel="0" collapsed="false">
      <c r="A990" s="11" t="n">
        <v>719.999</v>
      </c>
      <c r="B990" s="11" t="str">
        <f aca="false">IF(A990&gt;$N$4,"YES","NO")</f>
        <v>NO</v>
      </c>
      <c r="C990" s="9" t="n">
        <v>13</v>
      </c>
      <c r="D990" s="9" t="str">
        <f aca="false">IF(C990&gt;$N$5,"YES","NO")</f>
        <v>NO</v>
      </c>
      <c r="E990" s="9" t="n">
        <v>64</v>
      </c>
      <c r="F990" s="9" t="str">
        <f aca="false">IF(E990&gt;$N$6,"YES","NO")</f>
        <v>NO</v>
      </c>
      <c r="G990" s="13" t="s">
        <v>13</v>
      </c>
    </row>
    <row r="991" customFormat="false" ht="15.75" hidden="false" customHeight="false" outlineLevel="0" collapsed="false">
      <c r="A991" s="11" t="n">
        <v>3361.869</v>
      </c>
      <c r="B991" s="11" t="str">
        <f aca="false">IF(A991&gt;$N$4,"YES","NO")</f>
        <v>NO</v>
      </c>
      <c r="C991" s="9" t="n">
        <v>24</v>
      </c>
      <c r="D991" s="9" t="str">
        <f aca="false">IF(C991&gt;$N$5,"YES","NO")</f>
        <v>NO</v>
      </c>
      <c r="E991" s="9" t="n">
        <v>29</v>
      </c>
      <c r="F991" s="9" t="str">
        <f aca="false">IF(E991&gt;$N$6,"YES","NO")</f>
        <v>NO</v>
      </c>
      <c r="G991" s="13" t="s">
        <v>13</v>
      </c>
    </row>
    <row r="992" customFormat="false" ht="15.75" hidden="false" customHeight="false" outlineLevel="0" collapsed="false">
      <c r="A992" s="11" t="n">
        <v>890.673</v>
      </c>
      <c r="B992" s="11" t="str">
        <f aca="false">IF(A992&gt;$N$4,"YES","NO")</f>
        <v>NO</v>
      </c>
      <c r="C992" s="9" t="n">
        <v>24</v>
      </c>
      <c r="D992" s="9" t="str">
        <f aca="false">IF(C992&gt;$N$5,"YES","NO")</f>
        <v>NO</v>
      </c>
      <c r="E992" s="9" t="n">
        <v>48</v>
      </c>
      <c r="F992" s="9" t="str">
        <f aca="false">IF(E992&gt;$N$6,"YES","NO")</f>
        <v>NO</v>
      </c>
      <c r="G992" s="13" t="s">
        <v>13</v>
      </c>
    </row>
    <row r="993" customFormat="false" ht="15.75" hidden="false" customHeight="false" outlineLevel="0" collapsed="false">
      <c r="A993" s="11" t="n">
        <v>1821.715</v>
      </c>
      <c r="B993" s="11" t="str">
        <f aca="false">IF(A993&gt;$N$4,"YES","NO")</f>
        <v>NO</v>
      </c>
      <c r="C993" s="9" t="n">
        <v>12</v>
      </c>
      <c r="D993" s="9" t="str">
        <f aca="false">IF(C993&gt;$N$5,"YES","NO")</f>
        <v>NO</v>
      </c>
      <c r="E993" s="9" t="n">
        <v>37</v>
      </c>
      <c r="F993" s="9" t="str">
        <f aca="false">IF(E993&gt;$N$6,"YES","NO")</f>
        <v>NO</v>
      </c>
      <c r="G993" s="13" t="s">
        <v>13</v>
      </c>
    </row>
    <row r="994" customFormat="false" ht="15.75" hidden="false" customHeight="false" outlineLevel="0" collapsed="false">
      <c r="A994" s="11" t="n">
        <v>801.759</v>
      </c>
      <c r="B994" s="11" t="str">
        <f aca="false">IF(A994&gt;$N$4,"YES","NO")</f>
        <v>NO</v>
      </c>
      <c r="C994" s="9" t="n">
        <v>15</v>
      </c>
      <c r="D994" s="9" t="str">
        <f aca="false">IF(C994&gt;$N$5,"YES","NO")</f>
        <v>NO</v>
      </c>
      <c r="E994" s="9" t="n">
        <v>34</v>
      </c>
      <c r="F994" s="9" t="str">
        <f aca="false">IF(E994&gt;$N$6,"YES","NO")</f>
        <v>NO</v>
      </c>
      <c r="G994" s="13" t="s">
        <v>13</v>
      </c>
    </row>
    <row r="995" customFormat="false" ht="15.75" hidden="false" customHeight="false" outlineLevel="0" collapsed="false">
      <c r="A995" s="11" t="n">
        <v>989.296</v>
      </c>
      <c r="B995" s="11" t="str">
        <f aca="false">IF(A995&gt;$N$4,"YES","NO")</f>
        <v>NO</v>
      </c>
      <c r="C995" s="9" t="n">
        <v>18</v>
      </c>
      <c r="D995" s="9" t="str">
        <f aca="false">IF(C995&gt;$N$5,"YES","NO")</f>
        <v>NO</v>
      </c>
      <c r="E995" s="9" t="n">
        <v>23</v>
      </c>
      <c r="F995" s="9" t="str">
        <f aca="false">IF(E995&gt;$N$6,"YES","NO")</f>
        <v>NO</v>
      </c>
      <c r="G995" s="13" t="s">
        <v>13</v>
      </c>
    </row>
    <row r="996" customFormat="false" ht="15.75" hidden="false" customHeight="false" outlineLevel="0" collapsed="false">
      <c r="A996" s="11" t="n">
        <v>2023.049</v>
      </c>
      <c r="B996" s="11" t="str">
        <f aca="false">IF(A996&gt;$N$4,"YES","NO")</f>
        <v>NO</v>
      </c>
      <c r="C996" s="9" t="n">
        <v>36</v>
      </c>
      <c r="D996" s="9" t="str">
        <f aca="false">IF(C996&gt;$N$5,"YES","NO")</f>
        <v>NO</v>
      </c>
      <c r="E996" s="9" t="n">
        <v>30</v>
      </c>
      <c r="F996" s="9" t="str">
        <f aca="false">IF(E996&gt;$N$6,"YES","NO")</f>
        <v>NO</v>
      </c>
      <c r="G996" s="13" t="s">
        <v>13</v>
      </c>
    </row>
    <row r="997" customFormat="false" ht="15.75" hidden="false" customHeight="false" outlineLevel="0" collapsed="false">
      <c r="A997" s="11" t="n">
        <v>1221.29</v>
      </c>
      <c r="B997" s="11" t="str">
        <f aca="false">IF(A997&gt;$N$4,"YES","NO")</f>
        <v>NO</v>
      </c>
      <c r="C997" s="9" t="n">
        <v>12</v>
      </c>
      <c r="D997" s="9" t="str">
        <f aca="false">IF(C997&gt;$N$5,"YES","NO")</f>
        <v>NO</v>
      </c>
      <c r="E997" s="9" t="n">
        <v>50</v>
      </c>
      <c r="F997" s="9" t="str">
        <f aca="false">IF(E997&gt;$N$6,"YES","NO")</f>
        <v>NO</v>
      </c>
      <c r="G997" s="13" t="s">
        <v>13</v>
      </c>
    </row>
    <row r="998" customFormat="false" ht="15.75" hidden="false" customHeight="false" outlineLevel="0" collapsed="false">
      <c r="A998" s="11" t="n">
        <v>887.096</v>
      </c>
      <c r="B998" s="11" t="str">
        <f aca="false">IF(A998&gt;$N$4,"YES","NO")</f>
        <v>NO</v>
      </c>
      <c r="C998" s="9" t="n">
        <v>12</v>
      </c>
      <c r="D998" s="9" t="str">
        <f aca="false">IF(C998&gt;$N$5,"YES","NO")</f>
        <v>NO</v>
      </c>
      <c r="E998" s="9" t="n">
        <v>31</v>
      </c>
      <c r="F998" s="9" t="str">
        <f aca="false">IF(E998&gt;$N$6,"YES","NO")</f>
        <v>NO</v>
      </c>
      <c r="G998" s="13" t="s">
        <v>13</v>
      </c>
    </row>
    <row r="999" customFormat="false" ht="15.75" hidden="false" customHeight="false" outlineLevel="0" collapsed="false">
      <c r="A999" s="11" t="n">
        <v>1970.927</v>
      </c>
      <c r="B999" s="11" t="str">
        <f aca="false">IF(A999&gt;$N$4,"YES","NO")</f>
        <v>NO</v>
      </c>
      <c r="C999" s="9" t="n">
        <v>30</v>
      </c>
      <c r="D999" s="9" t="str">
        <f aca="false">IF(C999&gt;$N$5,"YES","NO")</f>
        <v>NO</v>
      </c>
      <c r="E999" s="9" t="n">
        <v>40</v>
      </c>
      <c r="F999" s="9" t="str">
        <f aca="false">IF(E999&gt;$N$6,"YES","NO")</f>
        <v>NO</v>
      </c>
      <c r="G999" s="13" t="s">
        <v>13</v>
      </c>
    </row>
    <row r="1000" customFormat="false" ht="15.75" hidden="false" customHeight="false" outlineLevel="0" collapsed="false">
      <c r="A1000" s="11" t="n">
        <v>410.844</v>
      </c>
      <c r="B1000" s="11" t="str">
        <f aca="false">IF(A1000&gt;$N$4,"YES","NO")</f>
        <v>NO</v>
      </c>
      <c r="C1000" s="9" t="n">
        <v>12</v>
      </c>
      <c r="D1000" s="9" t="str">
        <f aca="false">IF(C1000&gt;$N$5,"YES","NO")</f>
        <v>NO</v>
      </c>
      <c r="E1000" s="9" t="n">
        <v>38</v>
      </c>
      <c r="F1000" s="9" t="str">
        <f aca="false">IF(E1000&gt;$N$6,"YES","NO")</f>
        <v>NO</v>
      </c>
      <c r="G1000" s="13" t="s">
        <v>13</v>
      </c>
    </row>
    <row r="1001" customFormat="false" ht="15.75" hidden="false" customHeight="false" outlineLevel="0" collapsed="false">
      <c r="A1001" s="11" t="n">
        <v>942.795</v>
      </c>
      <c r="B1001" s="11" t="str">
        <f aca="false">IF(A1001&gt;$N$4,"YES","NO")</f>
        <v>NO</v>
      </c>
      <c r="C1001" s="9" t="n">
        <v>45</v>
      </c>
      <c r="D1001" s="9" t="str">
        <f aca="false">IF(C1001&gt;$N$5,"YES","NO")</f>
        <v>YES</v>
      </c>
      <c r="E1001" s="9" t="n">
        <v>23</v>
      </c>
      <c r="F1001" s="9" t="str">
        <f aca="false">IF(E1001&gt;$N$6,"YES","NO")</f>
        <v>NO</v>
      </c>
      <c r="G1001" s="13" t="s">
        <v>16</v>
      </c>
    </row>
    <row r="1002" customFormat="false" ht="15.75" hidden="false" customHeight="false" outlineLevel="0" collapsed="false">
      <c r="A1002" s="11" t="n">
        <v>2338.336</v>
      </c>
      <c r="B1002" s="11" t="str">
        <f aca="false">IF(A1002&gt;$N$4,"YES","NO")</f>
        <v>NO</v>
      </c>
      <c r="C1002" s="9" t="n">
        <v>45</v>
      </c>
      <c r="D1002" s="9" t="str">
        <f aca="false">IF(C1002&gt;$N$5,"YES","NO")</f>
        <v>YES</v>
      </c>
      <c r="E1002" s="9" t="n">
        <v>27</v>
      </c>
      <c r="F1002" s="9" t="str">
        <f aca="false">IF(E1002&gt;$N$6,"YES","NO")</f>
        <v>NO</v>
      </c>
      <c r="G1002" s="13" t="s">
        <v>13</v>
      </c>
    </row>
  </sheetData>
  <autoFilter ref="A2:G100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sheetProtection sheet="true" objects="true" selectLockedCells="true" selectUnlockedCells="true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X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3.63"/>
    <col collapsed="false" customWidth="true" hidden="false" outlineLevel="0" max="3" min="3" style="0" width="18.63"/>
    <col collapsed="false" customWidth="true" hidden="false" outlineLevel="0" max="4" min="4" style="0" width="21.88"/>
    <col collapsed="false" customWidth="true" hidden="false" outlineLevel="0" max="5" min="5" style="0" width="27.75"/>
    <col collapsed="false" customWidth="true" hidden="false" outlineLevel="0" max="6" min="6" style="0" width="16.75"/>
    <col collapsed="false" customWidth="true" hidden="false" outlineLevel="0" max="7" min="7" style="0" width="15.51"/>
    <col collapsed="false" customWidth="true" hidden="false" outlineLevel="0" max="11" min="11" style="0" width="16.63"/>
    <col collapsed="false" customWidth="true" hidden="false" outlineLevel="0" max="12" min="12" style="0" width="30.88"/>
    <col collapsed="false" customWidth="true" hidden="false" outlineLevel="0" max="13" min="13" style="0" width="17.25"/>
  </cols>
  <sheetData>
    <row r="1" customFormat="false" ht="15.7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customFormat="false" ht="26.85" hidden="false" customHeight="false" outlineLevel="0" collapsed="false">
      <c r="A2" s="6" t="s">
        <v>0</v>
      </c>
      <c r="B2" s="6" t="s">
        <v>2</v>
      </c>
      <c r="C2" s="6" t="s">
        <v>3</v>
      </c>
      <c r="D2" s="6" t="s">
        <v>4</v>
      </c>
      <c r="E2" s="6" t="s">
        <v>32</v>
      </c>
      <c r="F2" s="6" t="s">
        <v>6</v>
      </c>
      <c r="G2" s="6" t="s">
        <v>7</v>
      </c>
      <c r="H2" s="6" t="s">
        <v>8</v>
      </c>
      <c r="I2" s="6" t="s">
        <v>10</v>
      </c>
      <c r="J2" s="6" t="s">
        <v>33</v>
      </c>
      <c r="K2" s="6" t="s">
        <v>34</v>
      </c>
      <c r="L2" s="6" t="s">
        <v>35</v>
      </c>
      <c r="M2" s="23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customFormat="false" ht="15.75" hidden="false" customHeight="false" outlineLevel="0" collapsed="false">
      <c r="A3" s="10" t="n">
        <v>6</v>
      </c>
      <c r="B3" s="10" t="n">
        <v>597.36</v>
      </c>
      <c r="C3" s="10" t="s">
        <v>12</v>
      </c>
      <c r="D3" s="10" t="n">
        <v>8</v>
      </c>
      <c r="E3" s="10" t="n">
        <v>8</v>
      </c>
      <c r="F3" s="10" t="n">
        <v>0</v>
      </c>
      <c r="G3" s="10" t="n">
        <v>4</v>
      </c>
      <c r="H3" s="10" t="n">
        <v>67</v>
      </c>
      <c r="I3" s="10" t="s">
        <v>13</v>
      </c>
      <c r="J3" s="10" t="s">
        <v>36</v>
      </c>
      <c r="K3" s="10" t="s">
        <v>37</v>
      </c>
      <c r="L3" s="10" t="s">
        <v>37</v>
      </c>
    </row>
    <row r="4" customFormat="false" ht="15.75" hidden="false" customHeight="false" outlineLevel="0" collapsed="false">
      <c r="A4" s="10" t="n">
        <v>48</v>
      </c>
      <c r="B4" s="10" t="n">
        <v>3040.96</v>
      </c>
      <c r="C4" s="10" t="s">
        <v>15</v>
      </c>
      <c r="D4" s="10" t="n">
        <v>2.5</v>
      </c>
      <c r="E4" s="10" t="n">
        <v>2.5</v>
      </c>
      <c r="F4" s="10" t="n">
        <v>0</v>
      </c>
      <c r="G4" s="10" t="n">
        <v>2</v>
      </c>
      <c r="H4" s="10" t="n">
        <v>22</v>
      </c>
      <c r="I4" s="10" t="s">
        <v>16</v>
      </c>
      <c r="J4" s="10" t="s">
        <v>38</v>
      </c>
      <c r="K4" s="10" t="s">
        <v>39</v>
      </c>
      <c r="L4" s="10" t="s">
        <v>40</v>
      </c>
    </row>
    <row r="5" customFormat="false" ht="15.75" hidden="false" customHeight="false" outlineLevel="0" collapsed="false">
      <c r="A5" s="10" t="n">
        <v>12</v>
      </c>
      <c r="B5" s="10" t="n">
        <v>1071.06</v>
      </c>
      <c r="C5" s="10" t="s">
        <v>17</v>
      </c>
      <c r="D5" s="10" t="n">
        <v>5.5</v>
      </c>
      <c r="E5" s="10" t="n">
        <v>5.5</v>
      </c>
      <c r="F5" s="10" t="n">
        <v>0</v>
      </c>
      <c r="G5" s="10" t="n">
        <v>2</v>
      </c>
      <c r="H5" s="10" t="n">
        <v>49</v>
      </c>
      <c r="I5" s="10" t="s">
        <v>13</v>
      </c>
      <c r="J5" s="10" t="s">
        <v>39</v>
      </c>
      <c r="K5" s="10" t="s">
        <v>39</v>
      </c>
      <c r="L5" s="10" t="s">
        <v>41</v>
      </c>
    </row>
    <row r="6" customFormat="false" ht="15.75" hidden="false" customHeight="false" outlineLevel="0" collapsed="false">
      <c r="A6" s="10" t="n">
        <v>42</v>
      </c>
      <c r="B6" s="10" t="n">
        <v>4027.7</v>
      </c>
      <c r="C6" s="10" t="s">
        <v>17</v>
      </c>
      <c r="D6" s="10" t="n">
        <v>5.5</v>
      </c>
      <c r="E6" s="10" t="n">
        <v>5.5</v>
      </c>
      <c r="F6" s="10" t="n">
        <v>0</v>
      </c>
      <c r="G6" s="10" t="n">
        <v>2</v>
      </c>
      <c r="H6" s="10" t="n">
        <v>45</v>
      </c>
      <c r="I6" s="10" t="s">
        <v>13</v>
      </c>
      <c r="J6" s="10" t="s">
        <v>39</v>
      </c>
      <c r="K6" s="10" t="s">
        <v>39</v>
      </c>
      <c r="L6" s="10" t="s">
        <v>41</v>
      </c>
    </row>
    <row r="7" customFormat="false" ht="15.75" hidden="false" customHeight="false" outlineLevel="0" collapsed="false">
      <c r="A7" s="10" t="n">
        <v>24</v>
      </c>
      <c r="B7" s="10" t="n">
        <v>2488.57</v>
      </c>
      <c r="C7" s="10" t="s">
        <v>15</v>
      </c>
      <c r="D7" s="10" t="n">
        <v>2.5</v>
      </c>
      <c r="E7" s="10" t="n">
        <v>2.5</v>
      </c>
      <c r="F7" s="10" t="n">
        <v>0</v>
      </c>
      <c r="G7" s="10" t="n">
        <v>3</v>
      </c>
      <c r="H7" s="10" t="n">
        <v>53</v>
      </c>
      <c r="I7" s="10" t="s">
        <v>16</v>
      </c>
      <c r="J7" s="10" t="s">
        <v>36</v>
      </c>
      <c r="K7" s="10" t="s">
        <v>39</v>
      </c>
      <c r="L7" s="10" t="s">
        <v>40</v>
      </c>
    </row>
    <row r="8" customFormat="false" ht="15.75" hidden="false" customHeight="false" outlineLevel="0" collapsed="false">
      <c r="A8" s="10" t="n">
        <v>36</v>
      </c>
      <c r="B8" s="10" t="n">
        <v>4627.11</v>
      </c>
      <c r="C8" s="10" t="s">
        <v>15</v>
      </c>
      <c r="D8" s="10" t="n">
        <v>2.5</v>
      </c>
      <c r="E8" s="10" t="n">
        <v>2.5</v>
      </c>
      <c r="F8" s="10" t="n">
        <v>0</v>
      </c>
      <c r="G8" s="10" t="n">
        <v>2</v>
      </c>
      <c r="H8" s="10" t="n">
        <v>35</v>
      </c>
      <c r="I8" s="10" t="s">
        <v>13</v>
      </c>
      <c r="J8" s="10" t="s">
        <v>39</v>
      </c>
      <c r="K8" s="10" t="s">
        <v>39</v>
      </c>
      <c r="L8" s="10" t="s">
        <v>40</v>
      </c>
    </row>
    <row r="9" customFormat="false" ht="15.75" hidden="false" customHeight="false" outlineLevel="0" collapsed="false">
      <c r="A9" s="10" t="n">
        <v>24</v>
      </c>
      <c r="B9" s="10" t="n">
        <v>1448.69</v>
      </c>
      <c r="C9" s="10" t="s">
        <v>12</v>
      </c>
      <c r="D9" s="10" t="n">
        <v>8</v>
      </c>
      <c r="E9" s="10" t="n">
        <v>8</v>
      </c>
      <c r="F9" s="10" t="n">
        <v>0</v>
      </c>
      <c r="G9" s="10" t="n">
        <v>3</v>
      </c>
      <c r="H9" s="10" t="n">
        <v>53</v>
      </c>
      <c r="I9" s="10" t="s">
        <v>13</v>
      </c>
      <c r="J9" s="10" t="s">
        <v>36</v>
      </c>
      <c r="K9" s="10" t="s">
        <v>39</v>
      </c>
      <c r="L9" s="10" t="s">
        <v>37</v>
      </c>
    </row>
    <row r="10" customFormat="false" ht="15.75" hidden="false" customHeight="false" outlineLevel="0" collapsed="false">
      <c r="A10" s="10" t="n">
        <v>36</v>
      </c>
      <c r="B10" s="10" t="n">
        <v>3550.43</v>
      </c>
      <c r="C10" s="10" t="s">
        <v>15</v>
      </c>
      <c r="D10" s="10" t="n">
        <v>2.5</v>
      </c>
      <c r="E10" s="10" t="n">
        <v>2.5</v>
      </c>
      <c r="F10" s="10" t="n">
        <v>0</v>
      </c>
      <c r="G10" s="10" t="n">
        <v>2</v>
      </c>
      <c r="H10" s="10" t="n">
        <v>35</v>
      </c>
      <c r="I10" s="10" t="s">
        <v>13</v>
      </c>
      <c r="J10" s="10" t="s">
        <v>39</v>
      </c>
      <c r="K10" s="10" t="s">
        <v>39</v>
      </c>
      <c r="L10" s="10" t="s">
        <v>40</v>
      </c>
    </row>
    <row r="11" customFormat="false" ht="15.75" hidden="false" customHeight="false" outlineLevel="0" collapsed="false">
      <c r="A11" s="10" t="n">
        <v>12</v>
      </c>
      <c r="B11" s="10" t="n">
        <v>1563.15</v>
      </c>
      <c r="C11" s="10" t="s">
        <v>17</v>
      </c>
      <c r="D11" s="10" t="n">
        <v>5.5</v>
      </c>
      <c r="E11" s="10" t="n">
        <v>5.5</v>
      </c>
      <c r="F11" s="10" t="n">
        <v>0</v>
      </c>
      <c r="G11" s="10" t="n">
        <v>2</v>
      </c>
      <c r="H11" s="10" t="n">
        <v>61</v>
      </c>
      <c r="I11" s="10" t="s">
        <v>13</v>
      </c>
      <c r="J11" s="10" t="s">
        <v>36</v>
      </c>
      <c r="K11" s="10" t="s">
        <v>39</v>
      </c>
      <c r="L11" s="10" t="s">
        <v>41</v>
      </c>
    </row>
    <row r="12" customFormat="false" ht="15.75" hidden="false" customHeight="false" outlineLevel="0" collapsed="false">
      <c r="A12" s="10" t="n">
        <v>30</v>
      </c>
      <c r="B12" s="10" t="n">
        <v>2674.57</v>
      </c>
      <c r="C12" s="10" t="s">
        <v>19</v>
      </c>
      <c r="D12" s="10" t="n">
        <v>0</v>
      </c>
      <c r="E12" s="10" t="n">
        <v>0</v>
      </c>
      <c r="F12" s="10" t="n">
        <v>0</v>
      </c>
      <c r="G12" s="10" t="n">
        <v>4</v>
      </c>
      <c r="H12" s="10" t="n">
        <v>28</v>
      </c>
      <c r="I12" s="10" t="s">
        <v>16</v>
      </c>
      <c r="J12" s="10" t="s">
        <v>38</v>
      </c>
      <c r="K12" s="10" t="s">
        <v>37</v>
      </c>
      <c r="L12" s="10" t="s">
        <v>19</v>
      </c>
    </row>
    <row r="13" customFormat="false" ht="15.75" hidden="false" customHeight="false" outlineLevel="0" collapsed="false">
      <c r="A13" s="10" t="n">
        <v>12</v>
      </c>
      <c r="B13" s="10" t="n">
        <v>661.75</v>
      </c>
      <c r="C13" s="10" t="s">
        <v>20</v>
      </c>
      <c r="D13" s="10" t="n">
        <v>0.5</v>
      </c>
      <c r="E13" s="10" t="n">
        <v>0.5</v>
      </c>
      <c r="F13" s="10" t="n">
        <v>0</v>
      </c>
      <c r="G13" s="10" t="n">
        <v>3</v>
      </c>
      <c r="H13" s="10" t="n">
        <v>25</v>
      </c>
      <c r="I13" s="10" t="s">
        <v>16</v>
      </c>
      <c r="J13" s="10" t="s">
        <v>38</v>
      </c>
      <c r="K13" s="10" t="s">
        <v>39</v>
      </c>
      <c r="L13" s="10" t="s">
        <v>42</v>
      </c>
    </row>
    <row r="14" customFormat="false" ht="15.75" hidden="false" customHeight="false" outlineLevel="0" collapsed="false">
      <c r="A14" s="10" t="n">
        <v>48</v>
      </c>
      <c r="B14" s="10" t="n">
        <v>2201.39</v>
      </c>
      <c r="C14" s="10" t="s">
        <v>20</v>
      </c>
      <c r="D14" s="10" t="n">
        <v>0.5</v>
      </c>
      <c r="E14" s="10" t="n">
        <v>0.5</v>
      </c>
      <c r="F14" s="10" t="n">
        <v>0</v>
      </c>
      <c r="G14" s="10" t="n">
        <v>3</v>
      </c>
      <c r="H14" s="10" t="n">
        <v>24</v>
      </c>
      <c r="I14" s="10" t="s">
        <v>16</v>
      </c>
      <c r="J14" s="10" t="s">
        <v>38</v>
      </c>
      <c r="K14" s="10" t="s">
        <v>39</v>
      </c>
      <c r="L14" s="10" t="s">
        <v>42</v>
      </c>
    </row>
    <row r="15" customFormat="false" ht="15.75" hidden="false" customHeight="false" outlineLevel="0" collapsed="false">
      <c r="A15" s="10" t="n">
        <v>12</v>
      </c>
      <c r="B15" s="10" t="n">
        <v>800.74</v>
      </c>
      <c r="C15" s="10" t="s">
        <v>15</v>
      </c>
      <c r="D15" s="10" t="n">
        <v>2.5</v>
      </c>
      <c r="E15" s="10" t="n">
        <v>2.5</v>
      </c>
      <c r="F15" s="10" t="n">
        <v>0</v>
      </c>
      <c r="G15" s="10" t="n">
        <v>1</v>
      </c>
      <c r="H15" s="10" t="n">
        <v>22</v>
      </c>
      <c r="I15" s="10" t="s">
        <v>13</v>
      </c>
      <c r="J15" s="10" t="s">
        <v>38</v>
      </c>
      <c r="K15" s="10" t="s">
        <v>43</v>
      </c>
      <c r="L15" s="10" t="s">
        <v>40</v>
      </c>
    </row>
    <row r="16" customFormat="false" ht="15.75" hidden="false" customHeight="false" outlineLevel="0" collapsed="false">
      <c r="A16" s="10" t="n">
        <v>24</v>
      </c>
      <c r="B16" s="10" t="n">
        <v>612.69</v>
      </c>
      <c r="C16" s="10" t="s">
        <v>12</v>
      </c>
      <c r="D16" s="10" t="n">
        <v>8</v>
      </c>
      <c r="E16" s="10" t="n">
        <v>8</v>
      </c>
      <c r="F16" s="10" t="n">
        <v>0</v>
      </c>
      <c r="G16" s="10" t="n">
        <v>4</v>
      </c>
      <c r="H16" s="10" t="n">
        <v>60</v>
      </c>
      <c r="I16" s="10" t="s">
        <v>16</v>
      </c>
      <c r="J16" s="10" t="s">
        <v>36</v>
      </c>
      <c r="K16" s="10" t="s">
        <v>37</v>
      </c>
      <c r="L16" s="10" t="s">
        <v>37</v>
      </c>
    </row>
    <row r="17" customFormat="false" ht="15.75" hidden="false" customHeight="false" outlineLevel="0" collapsed="false">
      <c r="A17" s="10" t="n">
        <v>15</v>
      </c>
      <c r="B17" s="10" t="n">
        <v>716.93</v>
      </c>
      <c r="C17" s="10" t="s">
        <v>15</v>
      </c>
      <c r="D17" s="10" t="n">
        <v>2.5</v>
      </c>
      <c r="E17" s="10" t="n">
        <v>2.5</v>
      </c>
      <c r="F17" s="10" t="n">
        <v>0</v>
      </c>
      <c r="G17" s="10" t="n">
        <v>2</v>
      </c>
      <c r="H17" s="10" t="n">
        <v>28</v>
      </c>
      <c r="I17" s="10" t="s">
        <v>13</v>
      </c>
      <c r="J17" s="10" t="s">
        <v>38</v>
      </c>
      <c r="K17" s="10" t="s">
        <v>39</v>
      </c>
      <c r="L17" s="10" t="s">
        <v>40</v>
      </c>
    </row>
    <row r="18" customFormat="false" ht="15.75" hidden="false" customHeight="false" outlineLevel="0" collapsed="false">
      <c r="A18" s="10" t="n">
        <v>24</v>
      </c>
      <c r="B18" s="10" t="n">
        <v>655.1</v>
      </c>
      <c r="C18" s="10" t="s">
        <v>15</v>
      </c>
      <c r="D18" s="10" t="n">
        <v>2.5</v>
      </c>
      <c r="E18" s="10" t="n">
        <v>2.5</v>
      </c>
      <c r="F18" s="10" t="n">
        <v>0</v>
      </c>
      <c r="G18" s="10" t="n">
        <v>4</v>
      </c>
      <c r="H18" s="10" t="n">
        <v>32</v>
      </c>
      <c r="I18" s="10" t="s">
        <v>16</v>
      </c>
      <c r="J18" s="10" t="s">
        <v>39</v>
      </c>
      <c r="K18" s="10" t="s">
        <v>37</v>
      </c>
      <c r="L18" s="10" t="s">
        <v>40</v>
      </c>
    </row>
    <row r="19" customFormat="false" ht="15.75" hidden="false" customHeight="false" outlineLevel="0" collapsed="false">
      <c r="A19" s="10" t="n">
        <v>24</v>
      </c>
      <c r="B19" s="10" t="n">
        <v>1238.66</v>
      </c>
      <c r="C19" s="10" t="s">
        <v>12</v>
      </c>
      <c r="D19" s="10" t="n">
        <v>8</v>
      </c>
      <c r="E19" s="10" t="n">
        <v>8</v>
      </c>
      <c r="F19" s="10" t="n">
        <v>0</v>
      </c>
      <c r="G19" s="10" t="n">
        <v>4</v>
      </c>
      <c r="H19" s="10" t="n">
        <v>53</v>
      </c>
      <c r="I19" s="10" t="s">
        <v>13</v>
      </c>
      <c r="J19" s="10" t="s">
        <v>36</v>
      </c>
      <c r="K19" s="10" t="s">
        <v>37</v>
      </c>
      <c r="L19" s="10" t="s">
        <v>37</v>
      </c>
    </row>
    <row r="20" customFormat="false" ht="15.75" hidden="false" customHeight="false" outlineLevel="0" collapsed="false">
      <c r="A20" s="10" t="n">
        <v>30</v>
      </c>
      <c r="B20" s="10" t="n">
        <v>4124.79</v>
      </c>
      <c r="C20" s="10" t="s">
        <v>20</v>
      </c>
      <c r="D20" s="10" t="n">
        <v>0.5</v>
      </c>
      <c r="E20" s="10" t="n">
        <v>0.5</v>
      </c>
      <c r="F20" s="10" t="n">
        <v>0</v>
      </c>
      <c r="G20" s="10" t="n">
        <v>2</v>
      </c>
      <c r="H20" s="10" t="n">
        <v>25</v>
      </c>
      <c r="I20" s="10" t="s">
        <v>13</v>
      </c>
      <c r="J20" s="10" t="s">
        <v>38</v>
      </c>
      <c r="K20" s="10" t="s">
        <v>39</v>
      </c>
      <c r="L20" s="10" t="s">
        <v>42</v>
      </c>
    </row>
    <row r="21" customFormat="false" ht="15.75" hidden="false" customHeight="false" outlineLevel="0" collapsed="false">
      <c r="A21" s="10" t="n">
        <v>24</v>
      </c>
      <c r="B21" s="10" t="n">
        <v>6427.87</v>
      </c>
      <c r="C21" s="10" t="s">
        <v>12</v>
      </c>
      <c r="D21" s="10" t="n">
        <v>8</v>
      </c>
      <c r="E21" s="10" t="n">
        <v>8</v>
      </c>
      <c r="F21" s="10" t="n">
        <v>0</v>
      </c>
      <c r="G21" s="10" t="n">
        <v>4</v>
      </c>
      <c r="H21" s="10" t="n">
        <v>44</v>
      </c>
      <c r="I21" s="10" t="s">
        <v>16</v>
      </c>
      <c r="J21" s="10" t="s">
        <v>39</v>
      </c>
      <c r="K21" s="10" t="s">
        <v>37</v>
      </c>
      <c r="L21" s="10" t="s">
        <v>37</v>
      </c>
    </row>
    <row r="22" customFormat="false" ht="15.75" hidden="false" customHeight="false" outlineLevel="0" collapsed="false">
      <c r="A22" s="10" t="n">
        <v>24</v>
      </c>
      <c r="B22" s="10" t="n">
        <v>1752.73</v>
      </c>
      <c r="C22" s="10" t="s">
        <v>12</v>
      </c>
      <c r="D22" s="10" t="n">
        <v>8</v>
      </c>
      <c r="E22" s="10" t="n">
        <v>8</v>
      </c>
      <c r="F22" s="10" t="n">
        <v>0</v>
      </c>
      <c r="G22" s="10" t="n">
        <v>3</v>
      </c>
      <c r="H22" s="10" t="n">
        <v>31</v>
      </c>
      <c r="I22" s="10" t="s">
        <v>13</v>
      </c>
      <c r="J22" s="10" t="s">
        <v>39</v>
      </c>
      <c r="K22" s="10" t="s">
        <v>39</v>
      </c>
      <c r="L22" s="10" t="s">
        <v>37</v>
      </c>
    </row>
    <row r="23" customFormat="false" ht="15.75" hidden="false" customHeight="false" outlineLevel="0" collapsed="false">
      <c r="A23" s="10" t="n">
        <v>9</v>
      </c>
      <c r="B23" s="10" t="n">
        <v>1090.47</v>
      </c>
      <c r="C23" s="10" t="s">
        <v>15</v>
      </c>
      <c r="D23" s="10" t="n">
        <v>2.5</v>
      </c>
      <c r="E23" s="10" t="n">
        <v>2.5</v>
      </c>
      <c r="F23" s="10" t="n">
        <v>0</v>
      </c>
      <c r="G23" s="10" t="n">
        <v>4</v>
      </c>
      <c r="H23" s="10" t="n">
        <v>48</v>
      </c>
      <c r="I23" s="10" t="s">
        <v>13</v>
      </c>
      <c r="J23" s="10" t="s">
        <v>39</v>
      </c>
      <c r="K23" s="10" t="s">
        <v>37</v>
      </c>
      <c r="L23" s="10" t="s">
        <v>40</v>
      </c>
    </row>
    <row r="24" customFormat="false" ht="15.75" hidden="false" customHeight="false" outlineLevel="0" collapsed="false">
      <c r="A24" s="10" t="n">
        <v>6</v>
      </c>
      <c r="B24" s="10" t="n">
        <v>1352.62</v>
      </c>
      <c r="C24" s="10" t="s">
        <v>15</v>
      </c>
      <c r="D24" s="10" t="n">
        <v>2.5</v>
      </c>
      <c r="E24" s="10" t="n">
        <v>2.5</v>
      </c>
      <c r="F24" s="10" t="n">
        <v>0</v>
      </c>
      <c r="G24" s="10" t="n">
        <v>2</v>
      </c>
      <c r="H24" s="10" t="n">
        <v>44</v>
      </c>
      <c r="I24" s="10" t="s">
        <v>13</v>
      </c>
      <c r="J24" s="10" t="s">
        <v>39</v>
      </c>
      <c r="K24" s="10" t="s">
        <v>39</v>
      </c>
      <c r="L24" s="10" t="s">
        <v>40</v>
      </c>
    </row>
    <row r="25" customFormat="false" ht="15.75" hidden="false" customHeight="false" outlineLevel="0" collapsed="false">
      <c r="A25" s="10" t="n">
        <v>10</v>
      </c>
      <c r="B25" s="10" t="n">
        <v>1145.15</v>
      </c>
      <c r="C25" s="10" t="s">
        <v>20</v>
      </c>
      <c r="D25" s="10" t="n">
        <v>0.5</v>
      </c>
      <c r="E25" s="10" t="n">
        <v>0.5</v>
      </c>
      <c r="F25" s="10" t="n">
        <v>0</v>
      </c>
      <c r="G25" s="10" t="n">
        <v>1</v>
      </c>
      <c r="H25" s="10" t="n">
        <v>48</v>
      </c>
      <c r="I25" s="10" t="s">
        <v>13</v>
      </c>
      <c r="J25" s="10" t="s">
        <v>39</v>
      </c>
      <c r="K25" s="10" t="s">
        <v>43</v>
      </c>
      <c r="L25" s="10" t="s">
        <v>42</v>
      </c>
    </row>
    <row r="26" customFormat="false" ht="15.75" hidden="false" customHeight="false" outlineLevel="0" collapsed="false">
      <c r="A26" s="10" t="n">
        <v>12</v>
      </c>
      <c r="B26" s="10" t="n">
        <v>921.84</v>
      </c>
      <c r="C26" s="10" t="s">
        <v>20</v>
      </c>
      <c r="D26" s="10" t="n">
        <v>0.5</v>
      </c>
      <c r="E26" s="10" t="n">
        <v>0.5</v>
      </c>
      <c r="F26" s="10" t="n">
        <v>0</v>
      </c>
      <c r="G26" s="10" t="n">
        <v>3</v>
      </c>
      <c r="H26" s="10" t="n">
        <v>44</v>
      </c>
      <c r="I26" s="10" t="s">
        <v>13</v>
      </c>
      <c r="J26" s="10" t="s">
        <v>39</v>
      </c>
      <c r="K26" s="10" t="s">
        <v>39</v>
      </c>
      <c r="L26" s="10" t="s">
        <v>42</v>
      </c>
    </row>
    <row r="27" customFormat="false" ht="15.75" hidden="false" customHeight="false" outlineLevel="0" collapsed="false">
      <c r="A27" s="10" t="n">
        <v>10</v>
      </c>
      <c r="B27" s="10" t="n">
        <v>1057.26</v>
      </c>
      <c r="C27" s="10" t="s">
        <v>15</v>
      </c>
      <c r="D27" s="10" t="n">
        <v>2.5</v>
      </c>
      <c r="E27" s="10" t="n">
        <v>2.5</v>
      </c>
      <c r="F27" s="10" t="n">
        <v>0</v>
      </c>
      <c r="G27" s="10" t="n">
        <v>2</v>
      </c>
      <c r="H27" s="10" t="n">
        <v>26</v>
      </c>
      <c r="I27" s="10" t="s">
        <v>13</v>
      </c>
      <c r="J27" s="10" t="s">
        <v>38</v>
      </c>
      <c r="K27" s="10" t="s">
        <v>39</v>
      </c>
      <c r="L27" s="10" t="s">
        <v>40</v>
      </c>
    </row>
    <row r="28" customFormat="false" ht="15.75" hidden="false" customHeight="false" outlineLevel="0" collapsed="false">
      <c r="A28" s="10" t="n">
        <v>6</v>
      </c>
      <c r="B28" s="10" t="n">
        <v>702.11</v>
      </c>
      <c r="C28" s="10" t="s">
        <v>15</v>
      </c>
      <c r="D28" s="10" t="n">
        <v>2.5</v>
      </c>
      <c r="E28" s="10" t="n">
        <v>2.5</v>
      </c>
      <c r="F28" s="10" t="n">
        <v>0</v>
      </c>
      <c r="G28" s="10" t="n">
        <v>1</v>
      </c>
      <c r="H28" s="10" t="n">
        <v>36</v>
      </c>
      <c r="I28" s="10" t="s">
        <v>13</v>
      </c>
      <c r="J28" s="10" t="s">
        <v>39</v>
      </c>
      <c r="K28" s="10" t="s">
        <v>43</v>
      </c>
      <c r="L28" s="10" t="s">
        <v>40</v>
      </c>
    </row>
    <row r="29" customFormat="false" ht="15.75" hidden="false" customHeight="false" outlineLevel="0" collapsed="false">
      <c r="A29" s="10" t="n">
        <v>6</v>
      </c>
      <c r="B29" s="10" t="n">
        <v>217.69</v>
      </c>
      <c r="C29" s="10" t="s">
        <v>12</v>
      </c>
      <c r="D29" s="10" t="n">
        <v>8</v>
      </c>
      <c r="E29" s="10" t="n">
        <v>8</v>
      </c>
      <c r="F29" s="10" t="n">
        <v>0</v>
      </c>
      <c r="G29" s="10" t="n">
        <v>4</v>
      </c>
      <c r="H29" s="10" t="n">
        <v>39</v>
      </c>
      <c r="I29" s="10" t="s">
        <v>13</v>
      </c>
      <c r="J29" s="10" t="s">
        <v>39</v>
      </c>
      <c r="K29" s="10" t="s">
        <v>37</v>
      </c>
      <c r="L29" s="10" t="s">
        <v>37</v>
      </c>
    </row>
    <row r="30" customFormat="false" ht="15.75" hidden="false" customHeight="false" outlineLevel="0" collapsed="false">
      <c r="A30" s="10" t="n">
        <v>12</v>
      </c>
      <c r="B30" s="10" t="n">
        <v>209</v>
      </c>
      <c r="C30" s="10" t="s">
        <v>15</v>
      </c>
      <c r="D30" s="10" t="n">
        <v>2.5</v>
      </c>
      <c r="E30" s="10" t="n">
        <v>2.5</v>
      </c>
      <c r="F30" s="10" t="n">
        <v>0</v>
      </c>
      <c r="G30" s="10" t="n">
        <v>3</v>
      </c>
      <c r="H30" s="10" t="n">
        <v>42</v>
      </c>
      <c r="I30" s="10" t="s">
        <v>13</v>
      </c>
      <c r="J30" s="10" t="s">
        <v>39</v>
      </c>
      <c r="K30" s="10" t="s">
        <v>39</v>
      </c>
      <c r="L30" s="10" t="s">
        <v>40</v>
      </c>
    </row>
    <row r="31" customFormat="false" ht="15.75" hidden="false" customHeight="false" outlineLevel="0" collapsed="false">
      <c r="A31" s="10" t="n">
        <v>7</v>
      </c>
      <c r="B31" s="10" t="n">
        <v>1234.07</v>
      </c>
      <c r="C31" s="10" t="s">
        <v>15</v>
      </c>
      <c r="D31" s="10" t="n">
        <v>2.5</v>
      </c>
      <c r="E31" s="10" t="n">
        <v>2.5</v>
      </c>
      <c r="F31" s="10" t="n">
        <v>0</v>
      </c>
      <c r="G31" s="10" t="n">
        <v>3</v>
      </c>
      <c r="H31" s="10" t="n">
        <v>34</v>
      </c>
      <c r="I31" s="10" t="s">
        <v>13</v>
      </c>
      <c r="J31" s="10" t="s">
        <v>39</v>
      </c>
      <c r="K31" s="10" t="s">
        <v>39</v>
      </c>
      <c r="L31" s="10" t="s">
        <v>40</v>
      </c>
    </row>
    <row r="32" customFormat="false" ht="15.75" hidden="false" customHeight="false" outlineLevel="0" collapsed="false">
      <c r="A32" s="10" t="n">
        <v>60</v>
      </c>
      <c r="B32" s="10" t="n">
        <v>3493.2</v>
      </c>
      <c r="C32" s="10" t="s">
        <v>12</v>
      </c>
      <c r="D32" s="10" t="n">
        <v>8</v>
      </c>
      <c r="E32" s="10" t="n">
        <v>8</v>
      </c>
      <c r="F32" s="10" t="n">
        <v>0</v>
      </c>
      <c r="G32" s="10" t="n">
        <v>3</v>
      </c>
      <c r="H32" s="10" t="n">
        <v>63</v>
      </c>
      <c r="I32" s="10" t="s">
        <v>16</v>
      </c>
      <c r="J32" s="10" t="s">
        <v>36</v>
      </c>
      <c r="K32" s="10" t="s">
        <v>39</v>
      </c>
      <c r="L32" s="10" t="s">
        <v>37</v>
      </c>
    </row>
    <row r="33" customFormat="false" ht="15.75" hidden="false" customHeight="false" outlineLevel="0" collapsed="false">
      <c r="A33" s="10" t="n">
        <v>18</v>
      </c>
      <c r="B33" s="10" t="n">
        <v>977.54</v>
      </c>
      <c r="C33" s="10" t="s">
        <v>20</v>
      </c>
      <c r="D33" s="10" t="n">
        <v>0.5</v>
      </c>
      <c r="E33" s="10" t="n">
        <v>0.5</v>
      </c>
      <c r="F33" s="10" t="n">
        <v>0</v>
      </c>
      <c r="G33" s="10" t="n">
        <v>3</v>
      </c>
      <c r="H33" s="10" t="n">
        <v>36</v>
      </c>
      <c r="I33" s="10" t="s">
        <v>13</v>
      </c>
      <c r="J33" s="10" t="s">
        <v>39</v>
      </c>
      <c r="K33" s="10" t="s">
        <v>39</v>
      </c>
      <c r="L33" s="10" t="s">
        <v>42</v>
      </c>
    </row>
    <row r="34" customFormat="false" ht="15.75" hidden="false" customHeight="false" outlineLevel="0" collapsed="false">
      <c r="A34" s="10" t="n">
        <v>24</v>
      </c>
      <c r="B34" s="10" t="n">
        <v>2054.22</v>
      </c>
      <c r="C34" s="10" t="s">
        <v>15</v>
      </c>
      <c r="D34" s="10" t="n">
        <v>2.5</v>
      </c>
      <c r="E34" s="10" t="n">
        <v>2.5</v>
      </c>
      <c r="F34" s="10" t="n">
        <v>0</v>
      </c>
      <c r="G34" s="10" t="n">
        <v>2</v>
      </c>
      <c r="H34" s="10" t="n">
        <v>27</v>
      </c>
      <c r="I34" s="10" t="s">
        <v>13</v>
      </c>
      <c r="J34" s="10" t="s">
        <v>38</v>
      </c>
      <c r="K34" s="10" t="s">
        <v>39</v>
      </c>
      <c r="L34" s="10" t="s">
        <v>40</v>
      </c>
    </row>
    <row r="35" customFormat="false" ht="15.75" hidden="false" customHeight="false" outlineLevel="0" collapsed="false">
      <c r="A35" s="10" t="n">
        <v>18</v>
      </c>
      <c r="B35" s="10" t="n">
        <v>2997.53</v>
      </c>
      <c r="C35" s="10" t="s">
        <v>15</v>
      </c>
      <c r="D35" s="10" t="n">
        <v>2.5</v>
      </c>
      <c r="E35" s="10" t="n">
        <v>2.5</v>
      </c>
      <c r="F35" s="10" t="n">
        <v>0</v>
      </c>
      <c r="G35" s="10" t="n">
        <v>2</v>
      </c>
      <c r="H35" s="10" t="n">
        <v>30</v>
      </c>
      <c r="I35" s="10" t="s">
        <v>13</v>
      </c>
      <c r="J35" s="10" t="s">
        <v>39</v>
      </c>
      <c r="K35" s="10" t="s">
        <v>39</v>
      </c>
      <c r="L35" s="10" t="s">
        <v>40</v>
      </c>
    </row>
    <row r="36" customFormat="false" ht="15.75" hidden="false" customHeight="false" outlineLevel="0" collapsed="false">
      <c r="A36" s="10" t="n">
        <v>12</v>
      </c>
      <c r="B36" s="10" t="n">
        <v>645.9</v>
      </c>
      <c r="C36" s="10" t="s">
        <v>12</v>
      </c>
      <c r="D36" s="10" t="n">
        <v>8</v>
      </c>
      <c r="E36" s="10" t="n">
        <v>8</v>
      </c>
      <c r="F36" s="10" t="n">
        <v>0</v>
      </c>
      <c r="G36" s="10" t="n">
        <v>4</v>
      </c>
      <c r="H36" s="10" t="n">
        <v>57</v>
      </c>
      <c r="I36" s="10" t="s">
        <v>13</v>
      </c>
      <c r="J36" s="10" t="s">
        <v>36</v>
      </c>
      <c r="K36" s="10" t="s">
        <v>37</v>
      </c>
      <c r="L36" s="10" t="s">
        <v>37</v>
      </c>
    </row>
    <row r="37" customFormat="false" ht="15.75" hidden="false" customHeight="false" outlineLevel="0" collapsed="false">
      <c r="A37" s="10" t="n">
        <v>12</v>
      </c>
      <c r="B37" s="10" t="n">
        <v>753.21</v>
      </c>
      <c r="C37" s="10" t="s">
        <v>20</v>
      </c>
      <c r="D37" s="10" t="n">
        <v>0.5</v>
      </c>
      <c r="E37" s="10" t="n">
        <v>0.5</v>
      </c>
      <c r="F37" s="10" t="n">
        <v>0</v>
      </c>
      <c r="G37" s="10" t="n">
        <v>4</v>
      </c>
      <c r="H37" s="10" t="n">
        <v>33</v>
      </c>
      <c r="I37" s="10" t="s">
        <v>13</v>
      </c>
      <c r="J37" s="10" t="s">
        <v>39</v>
      </c>
      <c r="K37" s="10" t="s">
        <v>37</v>
      </c>
      <c r="L37" s="10" t="s">
        <v>42</v>
      </c>
    </row>
    <row r="38" customFormat="false" ht="15.75" hidden="false" customHeight="false" outlineLevel="0" collapsed="false">
      <c r="A38" s="10" t="n">
        <v>45</v>
      </c>
      <c r="B38" s="10" t="n">
        <v>2425.21</v>
      </c>
      <c r="C38" s="10" t="s">
        <v>20</v>
      </c>
      <c r="D38" s="10" t="n">
        <v>0.5</v>
      </c>
      <c r="E38" s="10" t="n">
        <v>0.5</v>
      </c>
      <c r="F38" s="10" t="n">
        <v>0</v>
      </c>
      <c r="G38" s="10" t="n">
        <v>4</v>
      </c>
      <c r="H38" s="10" t="n">
        <v>25</v>
      </c>
      <c r="I38" s="10" t="s">
        <v>16</v>
      </c>
      <c r="J38" s="10" t="s">
        <v>38</v>
      </c>
      <c r="K38" s="10" t="s">
        <v>37</v>
      </c>
      <c r="L38" s="10" t="s">
        <v>42</v>
      </c>
    </row>
    <row r="39" customFormat="false" ht="15.75" hidden="false" customHeight="false" outlineLevel="0" collapsed="false">
      <c r="A39" s="10" t="n">
        <v>48</v>
      </c>
      <c r="B39" s="10" t="n">
        <v>3122.21</v>
      </c>
      <c r="C39" s="10" t="s">
        <v>15</v>
      </c>
      <c r="D39" s="10" t="n">
        <v>2.5</v>
      </c>
      <c r="E39" s="10" t="n">
        <v>2.5</v>
      </c>
      <c r="F39" s="10" t="n">
        <v>0</v>
      </c>
      <c r="G39" s="10" t="n">
        <v>1</v>
      </c>
      <c r="H39" s="10" t="n">
        <v>31</v>
      </c>
      <c r="I39" s="10" t="s">
        <v>13</v>
      </c>
      <c r="J39" s="10" t="s">
        <v>39</v>
      </c>
      <c r="K39" s="10" t="s">
        <v>43</v>
      </c>
      <c r="L39" s="10" t="s">
        <v>40</v>
      </c>
    </row>
    <row r="40" customFormat="false" ht="15.75" hidden="false" customHeight="false" outlineLevel="0" collapsed="false">
      <c r="A40" s="10" t="n">
        <v>18</v>
      </c>
      <c r="B40" s="10" t="n">
        <v>1073.1</v>
      </c>
      <c r="C40" s="10" t="s">
        <v>15</v>
      </c>
      <c r="D40" s="10" t="n">
        <v>2.5</v>
      </c>
      <c r="E40" s="10" t="n">
        <v>2.5</v>
      </c>
      <c r="F40" s="10" t="n">
        <v>0</v>
      </c>
      <c r="G40" s="10" t="n">
        <v>4</v>
      </c>
      <c r="H40" s="10" t="n">
        <v>37</v>
      </c>
      <c r="I40" s="10" t="s">
        <v>16</v>
      </c>
      <c r="J40" s="10" t="s">
        <v>39</v>
      </c>
      <c r="K40" s="10" t="s">
        <v>37</v>
      </c>
      <c r="L40" s="10" t="s">
        <v>40</v>
      </c>
    </row>
    <row r="41" customFormat="false" ht="15.75" hidden="false" customHeight="false" outlineLevel="0" collapsed="false">
      <c r="A41" s="10" t="n">
        <v>10</v>
      </c>
      <c r="B41" s="10" t="n">
        <v>625.98</v>
      </c>
      <c r="C41" s="10" t="s">
        <v>15</v>
      </c>
      <c r="D41" s="10" t="n">
        <v>2.5</v>
      </c>
      <c r="E41" s="10" t="n">
        <v>2.5</v>
      </c>
      <c r="F41" s="10" t="n">
        <v>0</v>
      </c>
      <c r="G41" s="10" t="n">
        <v>2</v>
      </c>
      <c r="H41" s="10" t="n">
        <v>37</v>
      </c>
      <c r="I41" s="10" t="s">
        <v>13</v>
      </c>
      <c r="J41" s="10" t="s">
        <v>39</v>
      </c>
      <c r="K41" s="10" t="s">
        <v>39</v>
      </c>
      <c r="L41" s="10" t="s">
        <v>40</v>
      </c>
    </row>
    <row r="42" customFormat="false" ht="15.75" hidden="false" customHeight="false" outlineLevel="0" collapsed="false">
      <c r="A42" s="10" t="n">
        <v>9</v>
      </c>
      <c r="B42" s="10" t="n">
        <v>234.04</v>
      </c>
      <c r="C42" s="10" t="s">
        <v>15</v>
      </c>
      <c r="D42" s="10" t="n">
        <v>2.5</v>
      </c>
      <c r="E42" s="10" t="n">
        <v>2.5</v>
      </c>
      <c r="F42" s="10" t="n">
        <v>0</v>
      </c>
      <c r="G42" s="10" t="n">
        <v>4</v>
      </c>
      <c r="H42" s="10" t="n">
        <v>24</v>
      </c>
      <c r="I42" s="10" t="s">
        <v>13</v>
      </c>
      <c r="J42" s="10" t="s">
        <v>38</v>
      </c>
      <c r="K42" s="10" t="s">
        <v>37</v>
      </c>
      <c r="L42" s="10" t="s">
        <v>40</v>
      </c>
    </row>
    <row r="43" customFormat="false" ht="15.75" hidden="false" customHeight="false" outlineLevel="0" collapsed="false">
      <c r="A43" s="10" t="n">
        <v>30</v>
      </c>
      <c r="B43" s="10" t="n">
        <v>1192.16</v>
      </c>
      <c r="C43" s="10" t="s">
        <v>12</v>
      </c>
      <c r="D43" s="10" t="n">
        <v>8</v>
      </c>
      <c r="E43" s="10" t="n">
        <v>8</v>
      </c>
      <c r="F43" s="10" t="n">
        <v>0</v>
      </c>
      <c r="G43" s="10" t="n">
        <v>4</v>
      </c>
      <c r="H43" s="10" t="n">
        <v>30</v>
      </c>
      <c r="I43" s="10" t="s">
        <v>13</v>
      </c>
      <c r="J43" s="10" t="s">
        <v>39</v>
      </c>
      <c r="K43" s="10" t="s">
        <v>37</v>
      </c>
      <c r="L43" s="10" t="s">
        <v>37</v>
      </c>
    </row>
    <row r="44" customFormat="false" ht="15.75" hidden="false" customHeight="false" outlineLevel="0" collapsed="false">
      <c r="A44" s="10" t="n">
        <v>12</v>
      </c>
      <c r="B44" s="10" t="n">
        <v>591.74</v>
      </c>
      <c r="C44" s="10" t="s">
        <v>15</v>
      </c>
      <c r="D44" s="10" t="n">
        <v>2.5</v>
      </c>
      <c r="E44" s="10" t="n">
        <v>2.5</v>
      </c>
      <c r="F44" s="10" t="n">
        <v>0</v>
      </c>
      <c r="G44" s="10" t="n">
        <v>3</v>
      </c>
      <c r="H44" s="10" t="n">
        <v>26</v>
      </c>
      <c r="I44" s="10" t="s">
        <v>13</v>
      </c>
      <c r="J44" s="10" t="s">
        <v>38</v>
      </c>
      <c r="K44" s="10" t="s">
        <v>39</v>
      </c>
      <c r="L44" s="10" t="s">
        <v>40</v>
      </c>
    </row>
    <row r="45" customFormat="false" ht="15.75" hidden="false" customHeight="false" outlineLevel="0" collapsed="false">
      <c r="A45" s="10" t="n">
        <v>18</v>
      </c>
      <c r="B45" s="10" t="n">
        <v>3170.24</v>
      </c>
      <c r="C45" s="10" t="s">
        <v>15</v>
      </c>
      <c r="D45" s="10" t="n">
        <v>2.5</v>
      </c>
      <c r="E45" s="10" t="n">
        <v>2.5</v>
      </c>
      <c r="F45" s="10" t="n">
        <v>0</v>
      </c>
      <c r="G45" s="10" t="n">
        <v>2</v>
      </c>
      <c r="H45" s="10" t="n">
        <v>44</v>
      </c>
      <c r="I45" s="10" t="s">
        <v>13</v>
      </c>
      <c r="J45" s="10" t="s">
        <v>39</v>
      </c>
      <c r="K45" s="10" t="s">
        <v>39</v>
      </c>
      <c r="L45" s="10" t="s">
        <v>40</v>
      </c>
    </row>
    <row r="46" customFormat="false" ht="15.75" hidden="false" customHeight="false" outlineLevel="0" collapsed="false">
      <c r="A46" s="10" t="n">
        <v>30</v>
      </c>
      <c r="B46" s="10" t="n">
        <v>3161.56</v>
      </c>
      <c r="C46" s="10" t="s">
        <v>17</v>
      </c>
      <c r="D46" s="10" t="n">
        <v>5.5</v>
      </c>
      <c r="E46" s="10" t="n">
        <v>5.5</v>
      </c>
      <c r="F46" s="10" t="n">
        <v>0</v>
      </c>
      <c r="G46" s="10" t="n">
        <v>1</v>
      </c>
      <c r="H46" s="10" t="n">
        <v>24</v>
      </c>
      <c r="I46" s="10" t="s">
        <v>13</v>
      </c>
      <c r="J46" s="10" t="s">
        <v>38</v>
      </c>
      <c r="K46" s="10" t="s">
        <v>43</v>
      </c>
      <c r="L46" s="10" t="s">
        <v>41</v>
      </c>
    </row>
    <row r="47" customFormat="false" ht="15.75" hidden="false" customHeight="false" outlineLevel="0" collapsed="false">
      <c r="A47" s="10" t="n">
        <v>48</v>
      </c>
      <c r="B47" s="10" t="n">
        <v>3139.07</v>
      </c>
      <c r="C47" s="10" t="s">
        <v>12</v>
      </c>
      <c r="D47" s="10" t="n">
        <v>8</v>
      </c>
      <c r="E47" s="10" t="n">
        <v>8</v>
      </c>
      <c r="F47" s="10" t="n">
        <v>0</v>
      </c>
      <c r="G47" s="10" t="n">
        <v>4</v>
      </c>
      <c r="H47" s="10" t="n">
        <v>58</v>
      </c>
      <c r="I47" s="10" t="s">
        <v>16</v>
      </c>
      <c r="J47" s="10" t="s">
        <v>36</v>
      </c>
      <c r="K47" s="10" t="s">
        <v>37</v>
      </c>
      <c r="L47" s="10" t="s">
        <v>37</v>
      </c>
    </row>
    <row r="48" customFormat="false" ht="15.75" hidden="false" customHeight="false" outlineLevel="0" collapsed="false">
      <c r="A48" s="10" t="n">
        <v>11</v>
      </c>
      <c r="B48" s="10" t="n">
        <v>711.82</v>
      </c>
      <c r="C48" s="10" t="s">
        <v>20</v>
      </c>
      <c r="D48" s="10" t="n">
        <v>0.5</v>
      </c>
      <c r="E48" s="10" t="n">
        <v>0.5</v>
      </c>
      <c r="F48" s="10" t="n">
        <v>0</v>
      </c>
      <c r="G48" s="10" t="n">
        <v>4</v>
      </c>
      <c r="H48" s="10" t="n">
        <v>35</v>
      </c>
      <c r="I48" s="10" t="s">
        <v>13</v>
      </c>
      <c r="J48" s="10" t="s">
        <v>39</v>
      </c>
      <c r="K48" s="10" t="s">
        <v>37</v>
      </c>
      <c r="L48" s="10" t="s">
        <v>42</v>
      </c>
    </row>
    <row r="49" customFormat="false" ht="15.75" hidden="false" customHeight="false" outlineLevel="0" collapsed="false">
      <c r="A49" s="10" t="n">
        <v>36</v>
      </c>
      <c r="B49" s="10" t="n">
        <v>1174.79</v>
      </c>
      <c r="C49" s="10" t="s">
        <v>12</v>
      </c>
      <c r="D49" s="10" t="n">
        <v>8</v>
      </c>
      <c r="E49" s="10" t="n">
        <v>8</v>
      </c>
      <c r="F49" s="10" t="n">
        <v>0</v>
      </c>
      <c r="G49" s="10" t="n">
        <v>4</v>
      </c>
      <c r="H49" s="10" t="n">
        <v>39</v>
      </c>
      <c r="I49" s="10" t="s">
        <v>13</v>
      </c>
      <c r="J49" s="10" t="s">
        <v>39</v>
      </c>
      <c r="K49" s="10" t="s">
        <v>37</v>
      </c>
      <c r="L49" s="10" t="s">
        <v>37</v>
      </c>
    </row>
    <row r="50" customFormat="false" ht="15.75" hidden="false" customHeight="false" outlineLevel="0" collapsed="false">
      <c r="A50" s="10" t="n">
        <v>6</v>
      </c>
      <c r="B50" s="10" t="n">
        <v>690.87</v>
      </c>
      <c r="C50" s="10" t="s">
        <v>19</v>
      </c>
      <c r="D50" s="10" t="n">
        <v>0</v>
      </c>
      <c r="E50" s="10" t="n">
        <v>0</v>
      </c>
      <c r="F50" s="10" t="n">
        <v>0</v>
      </c>
      <c r="G50" s="10" t="n">
        <v>1</v>
      </c>
      <c r="H50" s="10" t="n">
        <v>23</v>
      </c>
      <c r="I50" s="10" t="s">
        <v>13</v>
      </c>
      <c r="J50" s="10" t="s">
        <v>38</v>
      </c>
      <c r="K50" s="10" t="s">
        <v>43</v>
      </c>
      <c r="L50" s="10" t="s">
        <v>19</v>
      </c>
    </row>
    <row r="51" customFormat="false" ht="15.75" hidden="false" customHeight="false" outlineLevel="0" collapsed="false">
      <c r="A51" s="10" t="n">
        <v>11</v>
      </c>
      <c r="B51" s="10" t="n">
        <v>3693.51</v>
      </c>
      <c r="C51" s="10" t="s">
        <v>15</v>
      </c>
      <c r="D51" s="10" t="n">
        <v>2.5</v>
      </c>
      <c r="E51" s="10" t="n">
        <v>2.5</v>
      </c>
      <c r="F51" s="10" t="n">
        <v>0</v>
      </c>
      <c r="G51" s="10" t="n">
        <v>1</v>
      </c>
      <c r="H51" s="10" t="n">
        <v>39</v>
      </c>
      <c r="I51" s="10" t="s">
        <v>13</v>
      </c>
      <c r="J51" s="10" t="s">
        <v>39</v>
      </c>
      <c r="K51" s="10" t="s">
        <v>43</v>
      </c>
      <c r="L51" s="10" t="s">
        <v>40</v>
      </c>
    </row>
    <row r="52" customFormat="false" ht="15.75" hidden="false" customHeight="false" outlineLevel="0" collapsed="false">
      <c r="A52" s="10" t="n">
        <v>12</v>
      </c>
      <c r="B52" s="10" t="n">
        <v>1059.3</v>
      </c>
      <c r="C52" s="10" t="s">
        <v>15</v>
      </c>
      <c r="D52" s="10" t="n">
        <v>2.5</v>
      </c>
      <c r="E52" s="10" t="n">
        <v>2.5</v>
      </c>
      <c r="F52" s="10" t="n">
        <v>0</v>
      </c>
      <c r="G52" s="10" t="n">
        <v>4</v>
      </c>
      <c r="H52" s="10" t="n">
        <v>28</v>
      </c>
      <c r="I52" s="10" t="s">
        <v>13</v>
      </c>
      <c r="J52" s="10" t="s">
        <v>38</v>
      </c>
      <c r="K52" s="10" t="s">
        <v>37</v>
      </c>
      <c r="L52" s="10" t="s">
        <v>40</v>
      </c>
    </row>
    <row r="53" customFormat="false" ht="15.75" hidden="false" customHeight="false" outlineLevel="0" collapsed="false">
      <c r="A53" s="10" t="n">
        <v>24</v>
      </c>
      <c r="B53" s="10" t="n">
        <v>1192.16</v>
      </c>
      <c r="C53" s="10" t="s">
        <v>20</v>
      </c>
      <c r="D53" s="10" t="n">
        <v>0.5</v>
      </c>
      <c r="E53" s="10" t="n">
        <v>0.5</v>
      </c>
      <c r="F53" s="10" t="n">
        <v>0</v>
      </c>
      <c r="G53" s="10" t="n">
        <v>4</v>
      </c>
      <c r="H53" s="10" t="n">
        <v>29</v>
      </c>
      <c r="I53" s="10" t="s">
        <v>13</v>
      </c>
      <c r="J53" s="10" t="s">
        <v>38</v>
      </c>
      <c r="K53" s="10" t="s">
        <v>37</v>
      </c>
      <c r="L53" s="10" t="s">
        <v>42</v>
      </c>
    </row>
    <row r="54" customFormat="false" ht="15.75" hidden="false" customHeight="false" outlineLevel="0" collapsed="false">
      <c r="A54" s="10" t="n">
        <v>27</v>
      </c>
      <c r="B54" s="10" t="n">
        <v>3048.12</v>
      </c>
      <c r="C54" s="10" t="s">
        <v>12</v>
      </c>
      <c r="D54" s="10" t="n">
        <v>8</v>
      </c>
      <c r="E54" s="10" t="n">
        <v>8</v>
      </c>
      <c r="F54" s="10" t="n">
        <v>0</v>
      </c>
      <c r="G54" s="10" t="n">
        <v>1</v>
      </c>
      <c r="H54" s="10" t="n">
        <v>30</v>
      </c>
      <c r="I54" s="10" t="s">
        <v>13</v>
      </c>
      <c r="J54" s="10" t="s">
        <v>39</v>
      </c>
      <c r="K54" s="10" t="s">
        <v>43</v>
      </c>
      <c r="L54" s="10" t="s">
        <v>37</v>
      </c>
    </row>
    <row r="55" customFormat="false" ht="15.75" hidden="false" customHeight="false" outlineLevel="0" collapsed="false">
      <c r="A55" s="10" t="n">
        <v>12</v>
      </c>
      <c r="B55" s="10" t="n">
        <v>644.88</v>
      </c>
      <c r="C55" s="10" t="s">
        <v>15</v>
      </c>
      <c r="D55" s="10" t="n">
        <v>2.5</v>
      </c>
      <c r="E55" s="10" t="n">
        <v>2.5</v>
      </c>
      <c r="F55" s="10" t="n">
        <v>0</v>
      </c>
      <c r="G55" s="10" t="n">
        <v>3</v>
      </c>
      <c r="H55" s="10" t="n">
        <v>25</v>
      </c>
      <c r="I55" s="10" t="s">
        <v>13</v>
      </c>
      <c r="J55" s="10" t="s">
        <v>38</v>
      </c>
      <c r="K55" s="10" t="s">
        <v>39</v>
      </c>
      <c r="L55" s="10" t="s">
        <v>40</v>
      </c>
    </row>
    <row r="56" customFormat="false" ht="15.75" hidden="false" customHeight="false" outlineLevel="0" collapsed="false">
      <c r="A56" s="10" t="n">
        <v>18</v>
      </c>
      <c r="B56" s="10" t="n">
        <v>1726.16</v>
      </c>
      <c r="C56" s="10" t="s">
        <v>15</v>
      </c>
      <c r="D56" s="10" t="n">
        <v>2.5</v>
      </c>
      <c r="E56" s="10" t="n">
        <v>2.5</v>
      </c>
      <c r="F56" s="10" t="n">
        <v>0</v>
      </c>
      <c r="G56" s="10" t="n">
        <v>2</v>
      </c>
      <c r="H56" s="10" t="n">
        <v>31</v>
      </c>
      <c r="I56" s="10" t="s">
        <v>13</v>
      </c>
      <c r="J56" s="10" t="s">
        <v>39</v>
      </c>
      <c r="K56" s="10" t="s">
        <v>39</v>
      </c>
      <c r="L56" s="10" t="s">
        <v>40</v>
      </c>
    </row>
    <row r="57" customFormat="false" ht="15.75" hidden="false" customHeight="false" outlineLevel="0" collapsed="false">
      <c r="A57" s="10" t="n">
        <v>36</v>
      </c>
      <c r="B57" s="10" t="n">
        <v>1136.98</v>
      </c>
      <c r="C57" s="10" t="s">
        <v>12</v>
      </c>
      <c r="D57" s="10" t="n">
        <v>8</v>
      </c>
      <c r="E57" s="10" t="n">
        <v>8</v>
      </c>
      <c r="F57" s="10" t="n">
        <v>0</v>
      </c>
      <c r="G57" s="10" t="n">
        <v>4</v>
      </c>
      <c r="H57" s="10" t="n">
        <v>57</v>
      </c>
      <c r="I57" s="10" t="s">
        <v>16</v>
      </c>
      <c r="J57" s="10" t="s">
        <v>36</v>
      </c>
      <c r="K57" s="10" t="s">
        <v>37</v>
      </c>
      <c r="L57" s="10" t="s">
        <v>37</v>
      </c>
    </row>
    <row r="58" customFormat="false" ht="15.75" hidden="false" customHeight="false" outlineLevel="0" collapsed="false">
      <c r="A58" s="10" t="n">
        <v>6</v>
      </c>
      <c r="B58" s="10" t="n">
        <v>400.11</v>
      </c>
      <c r="C58" s="10" t="s">
        <v>15</v>
      </c>
      <c r="D58" s="10" t="n">
        <v>2.5</v>
      </c>
      <c r="E58" s="10" t="n">
        <v>2.5</v>
      </c>
      <c r="F58" s="10" t="n">
        <v>0</v>
      </c>
      <c r="G58" s="10" t="n">
        <v>1</v>
      </c>
      <c r="H58" s="10" t="n">
        <v>26</v>
      </c>
      <c r="I58" s="10" t="s">
        <v>13</v>
      </c>
      <c r="J58" s="10" t="s">
        <v>38</v>
      </c>
      <c r="K58" s="10" t="s">
        <v>43</v>
      </c>
      <c r="L58" s="10" t="s">
        <v>40</v>
      </c>
    </row>
    <row r="59" customFormat="false" ht="15.75" hidden="false" customHeight="false" outlineLevel="0" collapsed="false">
      <c r="A59" s="10" t="n">
        <v>12</v>
      </c>
      <c r="B59" s="10" t="n">
        <v>3305.15</v>
      </c>
      <c r="C59" s="10" t="s">
        <v>19</v>
      </c>
      <c r="D59" s="10" t="n">
        <v>0</v>
      </c>
      <c r="E59" s="10" t="n">
        <v>0</v>
      </c>
      <c r="F59" s="10" t="n">
        <v>0</v>
      </c>
      <c r="G59" s="10" t="n">
        <v>2</v>
      </c>
      <c r="H59" s="10" t="n">
        <v>52</v>
      </c>
      <c r="I59" s="10" t="s">
        <v>16</v>
      </c>
      <c r="J59" s="10" t="s">
        <v>36</v>
      </c>
      <c r="K59" s="10" t="s">
        <v>39</v>
      </c>
      <c r="L59" s="10" t="s">
        <v>19</v>
      </c>
    </row>
    <row r="60" customFormat="false" ht="15.75" hidden="false" customHeight="false" outlineLevel="0" collapsed="false">
      <c r="A60" s="10" t="n">
        <v>36</v>
      </c>
      <c r="B60" s="10" t="n">
        <v>4888.23</v>
      </c>
      <c r="C60" s="10" t="s">
        <v>15</v>
      </c>
      <c r="D60" s="10" t="n">
        <v>2.5</v>
      </c>
      <c r="E60" s="10" t="n">
        <v>2.5</v>
      </c>
      <c r="F60" s="10" t="n">
        <v>0</v>
      </c>
      <c r="G60" s="10" t="n">
        <v>2</v>
      </c>
      <c r="H60" s="10" t="n">
        <v>31</v>
      </c>
      <c r="I60" s="10" t="s">
        <v>13</v>
      </c>
      <c r="J60" s="10" t="s">
        <v>39</v>
      </c>
      <c r="K60" s="10" t="s">
        <v>39</v>
      </c>
      <c r="L60" s="10" t="s">
        <v>40</v>
      </c>
    </row>
    <row r="61" customFormat="false" ht="15.75" hidden="false" customHeight="false" outlineLevel="0" collapsed="false">
      <c r="A61" s="10" t="n">
        <v>18</v>
      </c>
      <c r="B61" s="10" t="n">
        <v>1002.07</v>
      </c>
      <c r="C61" s="10" t="s">
        <v>12</v>
      </c>
      <c r="D61" s="10" t="n">
        <v>8</v>
      </c>
      <c r="E61" s="10" t="n">
        <v>5</v>
      </c>
      <c r="F61" s="10" t="n">
        <v>1</v>
      </c>
      <c r="G61" s="10" t="n">
        <v>3</v>
      </c>
      <c r="H61" s="10" t="n">
        <v>23</v>
      </c>
      <c r="I61" s="10" t="s">
        <v>13</v>
      </c>
      <c r="J61" s="10" t="s">
        <v>38</v>
      </c>
      <c r="K61" s="10" t="s">
        <v>39</v>
      </c>
      <c r="L61" s="10" t="s">
        <v>41</v>
      </c>
    </row>
    <row r="62" customFormat="false" ht="15.75" hidden="false" customHeight="false" outlineLevel="0" collapsed="false">
      <c r="A62" s="10" t="n">
        <v>36</v>
      </c>
      <c r="B62" s="10" t="n">
        <v>3183.02</v>
      </c>
      <c r="C62" s="10" t="s">
        <v>20</v>
      </c>
      <c r="D62" s="10" t="n">
        <v>0.5</v>
      </c>
      <c r="E62" s="10" t="n">
        <v>0.5</v>
      </c>
      <c r="F62" s="10" t="n">
        <v>0</v>
      </c>
      <c r="G62" s="10" t="n">
        <v>4</v>
      </c>
      <c r="H62" s="10" t="n">
        <v>23</v>
      </c>
      <c r="I62" s="10" t="s">
        <v>16</v>
      </c>
      <c r="J62" s="10" t="s">
        <v>38</v>
      </c>
      <c r="K62" s="10" t="s">
        <v>37</v>
      </c>
      <c r="L62" s="10" t="s">
        <v>42</v>
      </c>
    </row>
    <row r="63" customFormat="false" ht="15.75" hidden="false" customHeight="false" outlineLevel="0" collapsed="false">
      <c r="A63" s="10" t="n">
        <v>9</v>
      </c>
      <c r="B63" s="10" t="n">
        <v>710.8</v>
      </c>
      <c r="C63" s="10" t="s">
        <v>15</v>
      </c>
      <c r="D63" s="10" t="n">
        <v>2.5</v>
      </c>
      <c r="E63" s="10" t="n">
        <v>2.5</v>
      </c>
      <c r="F63" s="10" t="n">
        <v>0</v>
      </c>
      <c r="G63" s="10" t="n">
        <v>2</v>
      </c>
      <c r="H63" s="10" t="n">
        <v>27</v>
      </c>
      <c r="I63" s="10" t="s">
        <v>13</v>
      </c>
      <c r="J63" s="10" t="s">
        <v>38</v>
      </c>
      <c r="K63" s="10" t="s">
        <v>39</v>
      </c>
      <c r="L63" s="10" t="s">
        <v>40</v>
      </c>
    </row>
    <row r="64" customFormat="false" ht="15.75" hidden="false" customHeight="false" outlineLevel="0" collapsed="false">
      <c r="A64" s="10" t="n">
        <v>15</v>
      </c>
      <c r="B64" s="10" t="n">
        <v>785.41</v>
      </c>
      <c r="C64" s="10" t="s">
        <v>12</v>
      </c>
      <c r="D64" s="10" t="n">
        <v>8</v>
      </c>
      <c r="E64" s="10" t="n">
        <v>8</v>
      </c>
      <c r="F64" s="10" t="n">
        <v>0</v>
      </c>
      <c r="G64" s="10" t="n">
        <v>4</v>
      </c>
      <c r="H64" s="10" t="n">
        <v>50</v>
      </c>
      <c r="I64" s="10" t="s">
        <v>13</v>
      </c>
      <c r="J64" s="10" t="s">
        <v>39</v>
      </c>
      <c r="K64" s="10" t="s">
        <v>37</v>
      </c>
      <c r="L64" s="10" t="s">
        <v>37</v>
      </c>
    </row>
    <row r="65" customFormat="false" ht="15.75" hidden="false" customHeight="false" outlineLevel="0" collapsed="false">
      <c r="A65" s="10" t="n">
        <v>36</v>
      </c>
      <c r="B65" s="10" t="n">
        <v>997.98</v>
      </c>
      <c r="C65" s="10" t="s">
        <v>12</v>
      </c>
      <c r="D65" s="10" t="n">
        <v>8</v>
      </c>
      <c r="E65" s="10" t="n">
        <v>8</v>
      </c>
      <c r="F65" s="10" t="n">
        <v>0</v>
      </c>
      <c r="G65" s="10" t="n">
        <v>4</v>
      </c>
      <c r="H65" s="10" t="n">
        <v>61</v>
      </c>
      <c r="I65" s="10" t="s">
        <v>16</v>
      </c>
      <c r="J65" s="10" t="s">
        <v>36</v>
      </c>
      <c r="K65" s="10" t="s">
        <v>37</v>
      </c>
      <c r="L65" s="10" t="s">
        <v>37</v>
      </c>
    </row>
    <row r="66" customFormat="false" ht="15.75" hidden="false" customHeight="false" outlineLevel="0" collapsed="false">
      <c r="A66" s="10" t="n">
        <v>48</v>
      </c>
      <c r="B66" s="10" t="n">
        <v>7369.13</v>
      </c>
      <c r="C66" s="10" t="s">
        <v>15</v>
      </c>
      <c r="D66" s="10" t="n">
        <v>2.5</v>
      </c>
      <c r="E66" s="10" t="n">
        <v>2.5</v>
      </c>
      <c r="F66" s="10" t="n">
        <v>0</v>
      </c>
      <c r="G66" s="10" t="n">
        <v>2</v>
      </c>
      <c r="H66" s="10" t="n">
        <v>25</v>
      </c>
      <c r="I66" s="10" t="s">
        <v>16</v>
      </c>
      <c r="J66" s="10" t="s">
        <v>38</v>
      </c>
      <c r="K66" s="10" t="s">
        <v>39</v>
      </c>
      <c r="L66" s="10" t="s">
        <v>40</v>
      </c>
    </row>
    <row r="67" customFormat="false" ht="15.75" hidden="false" customHeight="false" outlineLevel="0" collapsed="false">
      <c r="A67" s="10" t="n">
        <v>24</v>
      </c>
      <c r="B67" s="10" t="n">
        <v>1625.49</v>
      </c>
      <c r="C67" s="10" t="s">
        <v>20</v>
      </c>
      <c r="D67" s="10" t="n">
        <v>0.5</v>
      </c>
      <c r="E67" s="10" t="n">
        <v>0.5</v>
      </c>
      <c r="F67" s="10" t="n">
        <v>0</v>
      </c>
      <c r="G67" s="10" t="n">
        <v>4</v>
      </c>
      <c r="H67" s="10" t="n">
        <v>26</v>
      </c>
      <c r="I67" s="10" t="s">
        <v>13</v>
      </c>
      <c r="J67" s="10" t="s">
        <v>38</v>
      </c>
      <c r="K67" s="10" t="s">
        <v>37</v>
      </c>
      <c r="L67" s="10" t="s">
        <v>42</v>
      </c>
    </row>
    <row r="68" customFormat="false" ht="15.75" hidden="false" customHeight="false" outlineLevel="0" collapsed="false">
      <c r="A68" s="10" t="n">
        <v>27</v>
      </c>
      <c r="B68" s="10" t="n">
        <v>2652.09</v>
      </c>
      <c r="C68" s="10" t="s">
        <v>12</v>
      </c>
      <c r="D68" s="10" t="n">
        <v>8</v>
      </c>
      <c r="E68" s="10" t="n">
        <v>8</v>
      </c>
      <c r="F68" s="10" t="n">
        <v>0</v>
      </c>
      <c r="G68" s="10" t="n">
        <v>4</v>
      </c>
      <c r="H68" s="10" t="n">
        <v>48</v>
      </c>
      <c r="I68" s="10" t="s">
        <v>13</v>
      </c>
      <c r="J68" s="10" t="s">
        <v>39</v>
      </c>
      <c r="K68" s="10" t="s">
        <v>37</v>
      </c>
      <c r="L68" s="10" t="s">
        <v>37</v>
      </c>
    </row>
    <row r="69" customFormat="false" ht="15.75" hidden="false" customHeight="false" outlineLevel="0" collapsed="false">
      <c r="A69" s="10" t="n">
        <v>12</v>
      </c>
      <c r="B69" s="10" t="n">
        <v>1109.38</v>
      </c>
      <c r="C69" s="10" t="s">
        <v>20</v>
      </c>
      <c r="D69" s="10" t="n">
        <v>0.5</v>
      </c>
      <c r="E69" s="10" t="n">
        <v>0.5</v>
      </c>
      <c r="F69" s="10" t="n">
        <v>0</v>
      </c>
      <c r="G69" s="10" t="n">
        <v>2</v>
      </c>
      <c r="H69" s="10" t="n">
        <v>29</v>
      </c>
      <c r="I69" s="10" t="s">
        <v>13</v>
      </c>
      <c r="J69" s="10" t="s">
        <v>38</v>
      </c>
      <c r="K69" s="10" t="s">
        <v>39</v>
      </c>
      <c r="L69" s="10" t="s">
        <v>42</v>
      </c>
    </row>
    <row r="70" customFormat="false" ht="15.75" hidden="false" customHeight="false" outlineLevel="0" collapsed="false">
      <c r="A70" s="10" t="n">
        <v>12</v>
      </c>
      <c r="B70" s="10" t="n">
        <v>514.58</v>
      </c>
      <c r="C70" s="10" t="s">
        <v>15</v>
      </c>
      <c r="D70" s="10" t="n">
        <v>2.5</v>
      </c>
      <c r="E70" s="10" t="n">
        <v>2.5</v>
      </c>
      <c r="F70" s="10" t="n">
        <v>0</v>
      </c>
      <c r="G70" s="10" t="n">
        <v>4</v>
      </c>
      <c r="H70" s="10" t="n">
        <v>22</v>
      </c>
      <c r="I70" s="10" t="s">
        <v>13</v>
      </c>
      <c r="J70" s="10" t="s">
        <v>38</v>
      </c>
      <c r="K70" s="10" t="s">
        <v>37</v>
      </c>
      <c r="L70" s="10" t="s">
        <v>40</v>
      </c>
    </row>
    <row r="71" customFormat="false" ht="15.75" hidden="false" customHeight="false" outlineLevel="0" collapsed="false">
      <c r="A71" s="10" t="n">
        <v>36</v>
      </c>
      <c r="B71" s="10" t="n">
        <v>929.51</v>
      </c>
      <c r="C71" s="10" t="s">
        <v>15</v>
      </c>
      <c r="D71" s="10" t="n">
        <v>2.5</v>
      </c>
      <c r="E71" s="10" t="n">
        <v>2.5</v>
      </c>
      <c r="F71" s="10" t="n">
        <v>0</v>
      </c>
      <c r="G71" s="10" t="n">
        <v>4</v>
      </c>
      <c r="H71" s="10" t="n">
        <v>37</v>
      </c>
      <c r="I71" s="10" t="s">
        <v>16</v>
      </c>
      <c r="J71" s="10" t="s">
        <v>39</v>
      </c>
      <c r="K71" s="10" t="s">
        <v>37</v>
      </c>
      <c r="L71" s="10" t="s">
        <v>40</v>
      </c>
    </row>
    <row r="72" customFormat="false" ht="15.75" hidden="false" customHeight="false" outlineLevel="0" collapsed="false">
      <c r="A72" s="10" t="n">
        <v>36</v>
      </c>
      <c r="B72" s="10" t="n">
        <v>1223.33</v>
      </c>
      <c r="C72" s="10" t="s">
        <v>15</v>
      </c>
      <c r="D72" s="10" t="n">
        <v>2.5</v>
      </c>
      <c r="E72" s="10" t="n">
        <v>2.5</v>
      </c>
      <c r="F72" s="10" t="n">
        <v>0</v>
      </c>
      <c r="G72" s="10" t="n">
        <v>4</v>
      </c>
      <c r="H72" s="10" t="n">
        <v>25</v>
      </c>
      <c r="I72" s="10" t="s">
        <v>13</v>
      </c>
      <c r="J72" s="10" t="s">
        <v>38</v>
      </c>
      <c r="K72" s="10" t="s">
        <v>37</v>
      </c>
      <c r="L72" s="10" t="s">
        <v>40</v>
      </c>
    </row>
    <row r="73" customFormat="false" ht="15.75" hidden="false" customHeight="false" outlineLevel="0" collapsed="false">
      <c r="A73" s="10" t="n">
        <v>36</v>
      </c>
      <c r="B73" s="10" t="n">
        <v>4155.96</v>
      </c>
      <c r="C73" s="10" t="s">
        <v>15</v>
      </c>
      <c r="D73" s="10" t="n">
        <v>2.5</v>
      </c>
      <c r="E73" s="10" t="n">
        <v>2.5</v>
      </c>
      <c r="F73" s="10" t="n">
        <v>0</v>
      </c>
      <c r="G73" s="10" t="n">
        <v>1</v>
      </c>
      <c r="H73" s="10" t="n">
        <v>30</v>
      </c>
      <c r="I73" s="10" t="s">
        <v>13</v>
      </c>
      <c r="J73" s="10" t="s">
        <v>39</v>
      </c>
      <c r="K73" s="10" t="s">
        <v>43</v>
      </c>
      <c r="L73" s="10" t="s">
        <v>40</v>
      </c>
    </row>
    <row r="74" customFormat="false" ht="15.75" hidden="false" customHeight="false" outlineLevel="0" collapsed="false">
      <c r="A74" s="10" t="n">
        <v>7</v>
      </c>
      <c r="B74" s="10" t="n">
        <v>373.03</v>
      </c>
      <c r="C74" s="10" t="s">
        <v>12</v>
      </c>
      <c r="D74" s="10" t="n">
        <v>8</v>
      </c>
      <c r="E74" s="10" t="n">
        <v>8</v>
      </c>
      <c r="F74" s="10" t="n">
        <v>0</v>
      </c>
      <c r="G74" s="10" t="n">
        <v>4</v>
      </c>
      <c r="H74" s="10" t="n">
        <v>46</v>
      </c>
      <c r="I74" s="10" t="s">
        <v>13</v>
      </c>
      <c r="J74" s="10" t="s">
        <v>39</v>
      </c>
      <c r="K74" s="10" t="s">
        <v>37</v>
      </c>
      <c r="L74" s="10" t="s">
        <v>37</v>
      </c>
    </row>
    <row r="75" customFormat="false" ht="15.75" hidden="false" customHeight="false" outlineLevel="0" collapsed="false">
      <c r="A75" s="10" t="n">
        <v>8</v>
      </c>
      <c r="B75" s="10" t="n">
        <v>594.8</v>
      </c>
      <c r="C75" s="10" t="s">
        <v>12</v>
      </c>
      <c r="D75" s="10" t="n">
        <v>8</v>
      </c>
      <c r="E75" s="10" t="n">
        <v>8</v>
      </c>
      <c r="F75" s="10" t="n">
        <v>0</v>
      </c>
      <c r="G75" s="10" t="n">
        <v>3</v>
      </c>
      <c r="H75" s="10" t="n">
        <v>51</v>
      </c>
      <c r="I75" s="10" t="s">
        <v>13</v>
      </c>
      <c r="J75" s="10" t="s">
        <v>36</v>
      </c>
      <c r="K75" s="10" t="s">
        <v>39</v>
      </c>
      <c r="L75" s="10" t="s">
        <v>37</v>
      </c>
    </row>
    <row r="76" customFormat="false" ht="15.75" hidden="false" customHeight="false" outlineLevel="0" collapsed="false">
      <c r="A76" s="10" t="n">
        <v>42</v>
      </c>
      <c r="B76" s="10" t="n">
        <v>3042.49</v>
      </c>
      <c r="C76" s="10" t="s">
        <v>17</v>
      </c>
      <c r="D76" s="10" t="n">
        <v>5.5</v>
      </c>
      <c r="E76" s="10" t="n">
        <v>5.5</v>
      </c>
      <c r="F76" s="10" t="n">
        <v>0</v>
      </c>
      <c r="G76" s="10" t="n">
        <v>2</v>
      </c>
      <c r="H76" s="10" t="n">
        <v>41</v>
      </c>
      <c r="I76" s="10" t="s">
        <v>13</v>
      </c>
      <c r="J76" s="10" t="s">
        <v>39</v>
      </c>
      <c r="K76" s="10" t="s">
        <v>39</v>
      </c>
      <c r="L76" s="10" t="s">
        <v>41</v>
      </c>
    </row>
    <row r="77" customFormat="false" ht="15.75" hidden="false" customHeight="false" outlineLevel="0" collapsed="false">
      <c r="A77" s="10" t="n">
        <v>36</v>
      </c>
      <c r="B77" s="10" t="n">
        <v>1010.25</v>
      </c>
      <c r="C77" s="10" t="s">
        <v>12</v>
      </c>
      <c r="D77" s="10" t="n">
        <v>8</v>
      </c>
      <c r="E77" s="10" t="n">
        <v>8</v>
      </c>
      <c r="F77" s="10" t="n">
        <v>0</v>
      </c>
      <c r="G77" s="10" t="n">
        <v>4</v>
      </c>
      <c r="H77" s="10" t="n">
        <v>40</v>
      </c>
      <c r="I77" s="10" t="s">
        <v>16</v>
      </c>
      <c r="J77" s="10" t="s">
        <v>39</v>
      </c>
      <c r="K77" s="10" t="s">
        <v>37</v>
      </c>
      <c r="L77" s="10" t="s">
        <v>37</v>
      </c>
    </row>
    <row r="78" customFormat="false" ht="15.75" hidden="false" customHeight="false" outlineLevel="0" collapsed="false">
      <c r="A78" s="10" t="n">
        <v>12</v>
      </c>
      <c r="B78" s="10" t="n">
        <v>779.79</v>
      </c>
      <c r="C78" s="10" t="s">
        <v>12</v>
      </c>
      <c r="D78" s="10" t="n">
        <v>8</v>
      </c>
      <c r="E78" s="10" t="n">
        <v>8</v>
      </c>
      <c r="F78" s="10" t="n">
        <v>0</v>
      </c>
      <c r="G78" s="10" t="n">
        <v>4</v>
      </c>
      <c r="H78" s="10" t="n">
        <v>66</v>
      </c>
      <c r="I78" s="10" t="s">
        <v>13</v>
      </c>
      <c r="J78" s="10" t="s">
        <v>36</v>
      </c>
      <c r="K78" s="10" t="s">
        <v>37</v>
      </c>
      <c r="L78" s="10" t="s">
        <v>37</v>
      </c>
    </row>
    <row r="79" customFormat="false" ht="15.75" hidden="false" customHeight="false" outlineLevel="0" collapsed="false">
      <c r="A79" s="10" t="n">
        <v>42</v>
      </c>
      <c r="B79" s="10" t="n">
        <v>2026.12</v>
      </c>
      <c r="C79" s="10" t="s">
        <v>20</v>
      </c>
      <c r="D79" s="10" t="n">
        <v>0.5</v>
      </c>
      <c r="E79" s="10" t="n">
        <v>0.5</v>
      </c>
      <c r="F79" s="10" t="n">
        <v>0</v>
      </c>
      <c r="G79" s="10" t="n">
        <v>4</v>
      </c>
      <c r="H79" s="10" t="n">
        <v>34</v>
      </c>
      <c r="I79" s="10" t="s">
        <v>16</v>
      </c>
      <c r="J79" s="10" t="s">
        <v>39</v>
      </c>
      <c r="K79" s="10" t="s">
        <v>37</v>
      </c>
      <c r="L79" s="10" t="s">
        <v>42</v>
      </c>
    </row>
    <row r="80" customFormat="false" ht="15.75" hidden="false" customHeight="false" outlineLevel="0" collapsed="false">
      <c r="A80" s="10" t="n">
        <v>11</v>
      </c>
      <c r="B80" s="10" t="n">
        <v>2437.98</v>
      </c>
      <c r="C80" s="10" t="s">
        <v>17</v>
      </c>
      <c r="D80" s="10" t="n">
        <v>5.5</v>
      </c>
      <c r="E80" s="10" t="n">
        <v>5.5</v>
      </c>
      <c r="F80" s="10" t="n">
        <v>0</v>
      </c>
      <c r="G80" s="10" t="n">
        <v>2</v>
      </c>
      <c r="H80" s="10" t="n">
        <v>51</v>
      </c>
      <c r="I80" s="10" t="s">
        <v>13</v>
      </c>
      <c r="J80" s="10" t="s">
        <v>36</v>
      </c>
      <c r="K80" s="10" t="s">
        <v>39</v>
      </c>
      <c r="L80" s="10" t="s">
        <v>41</v>
      </c>
    </row>
    <row r="81" customFormat="false" ht="15.75" hidden="false" customHeight="false" outlineLevel="0" collapsed="false">
      <c r="A81" s="10" t="n">
        <v>54</v>
      </c>
      <c r="B81" s="10" t="n">
        <v>4821.8</v>
      </c>
      <c r="C81" s="10" t="s">
        <v>15</v>
      </c>
      <c r="D81" s="10" t="n">
        <v>2.5</v>
      </c>
      <c r="E81" s="10" t="n">
        <v>2.5</v>
      </c>
      <c r="F81" s="10" t="n">
        <v>0</v>
      </c>
      <c r="G81" s="10" t="n">
        <v>2</v>
      </c>
      <c r="H81" s="10" t="n">
        <v>39</v>
      </c>
      <c r="I81" s="10" t="s">
        <v>13</v>
      </c>
      <c r="J81" s="10" t="s">
        <v>39</v>
      </c>
      <c r="K81" s="10" t="s">
        <v>39</v>
      </c>
      <c r="L81" s="10" t="s">
        <v>40</v>
      </c>
    </row>
    <row r="82" customFormat="false" ht="15.75" hidden="false" customHeight="false" outlineLevel="0" collapsed="false">
      <c r="A82" s="10" t="n">
        <v>30</v>
      </c>
      <c r="B82" s="10" t="n">
        <v>1958.15</v>
      </c>
      <c r="C82" s="10" t="s">
        <v>20</v>
      </c>
      <c r="D82" s="10" t="n">
        <v>0.5</v>
      </c>
      <c r="E82" s="10" t="n">
        <v>0.5</v>
      </c>
      <c r="F82" s="10" t="n">
        <v>0</v>
      </c>
      <c r="G82" s="10" t="n">
        <v>2</v>
      </c>
      <c r="H82" s="10" t="n">
        <v>22</v>
      </c>
      <c r="I82" s="10" t="s">
        <v>13</v>
      </c>
      <c r="J82" s="10" t="s">
        <v>38</v>
      </c>
      <c r="K82" s="10" t="s">
        <v>39</v>
      </c>
      <c r="L82" s="10" t="s">
        <v>42</v>
      </c>
    </row>
    <row r="83" customFormat="false" ht="15.75" hidden="false" customHeight="false" outlineLevel="0" collapsed="false">
      <c r="A83" s="10" t="n">
        <v>24</v>
      </c>
      <c r="B83" s="10" t="n">
        <v>3036.87</v>
      </c>
      <c r="C83" s="10" t="s">
        <v>20</v>
      </c>
      <c r="D83" s="10" t="n">
        <v>0.5</v>
      </c>
      <c r="E83" s="10" t="n">
        <v>0.5</v>
      </c>
      <c r="F83" s="10" t="n">
        <v>0</v>
      </c>
      <c r="G83" s="10" t="n">
        <v>1</v>
      </c>
      <c r="H83" s="10" t="n">
        <v>44</v>
      </c>
      <c r="I83" s="10" t="s">
        <v>16</v>
      </c>
      <c r="J83" s="10" t="s">
        <v>39</v>
      </c>
      <c r="K83" s="10" t="s">
        <v>43</v>
      </c>
      <c r="L83" s="10" t="s">
        <v>42</v>
      </c>
    </row>
    <row r="84" customFormat="false" ht="15.75" hidden="false" customHeight="false" outlineLevel="0" collapsed="false">
      <c r="A84" s="10" t="n">
        <v>15</v>
      </c>
      <c r="B84" s="10" t="n">
        <v>619.84</v>
      </c>
      <c r="C84" s="10" t="s">
        <v>12</v>
      </c>
      <c r="D84" s="10" t="n">
        <v>8</v>
      </c>
      <c r="E84" s="10" t="n">
        <v>8</v>
      </c>
      <c r="F84" s="10" t="n">
        <v>0</v>
      </c>
      <c r="G84" s="10" t="n">
        <v>4</v>
      </c>
      <c r="H84" s="10" t="n">
        <v>47</v>
      </c>
      <c r="I84" s="10" t="s">
        <v>13</v>
      </c>
      <c r="J84" s="10" t="s">
        <v>39</v>
      </c>
      <c r="K84" s="10" t="s">
        <v>37</v>
      </c>
      <c r="L84" s="10" t="s">
        <v>37</v>
      </c>
    </row>
    <row r="85" customFormat="false" ht="15.75" hidden="false" customHeight="false" outlineLevel="0" collapsed="false">
      <c r="A85" s="10" t="n">
        <v>18</v>
      </c>
      <c r="B85" s="10" t="n">
        <v>801.25</v>
      </c>
      <c r="C85" s="10" t="s">
        <v>15</v>
      </c>
      <c r="D85" s="10" t="n">
        <v>2.5</v>
      </c>
      <c r="E85" s="10" t="n">
        <v>2.5</v>
      </c>
      <c r="F85" s="10" t="n">
        <v>0</v>
      </c>
      <c r="G85" s="10" t="n">
        <v>3</v>
      </c>
      <c r="H85" s="10" t="n">
        <v>24</v>
      </c>
      <c r="I85" s="10" t="s">
        <v>13</v>
      </c>
      <c r="J85" s="10" t="s">
        <v>38</v>
      </c>
      <c r="K85" s="10" t="s">
        <v>39</v>
      </c>
      <c r="L85" s="10" t="s">
        <v>40</v>
      </c>
    </row>
    <row r="86" customFormat="false" ht="15.75" hidden="false" customHeight="false" outlineLevel="0" collapsed="false">
      <c r="A86" s="10" t="n">
        <v>24</v>
      </c>
      <c r="B86" s="10" t="n">
        <v>896.81</v>
      </c>
      <c r="C86" s="10" t="s">
        <v>12</v>
      </c>
      <c r="D86" s="10" t="n">
        <v>8</v>
      </c>
      <c r="E86" s="10" t="n">
        <v>8</v>
      </c>
      <c r="F86" s="10" t="n">
        <v>0</v>
      </c>
      <c r="G86" s="10" t="n">
        <v>4</v>
      </c>
      <c r="H86" s="10" t="n">
        <v>58</v>
      </c>
      <c r="I86" s="10" t="s">
        <v>13</v>
      </c>
      <c r="J86" s="10" t="s">
        <v>36</v>
      </c>
      <c r="K86" s="10" t="s">
        <v>37</v>
      </c>
      <c r="L86" s="10" t="s">
        <v>37</v>
      </c>
    </row>
    <row r="87" customFormat="false" ht="15.75" hidden="false" customHeight="false" outlineLevel="0" collapsed="false">
      <c r="A87" s="10" t="n">
        <v>10</v>
      </c>
      <c r="B87" s="10" t="n">
        <v>1182.97</v>
      </c>
      <c r="C87" s="10" t="s">
        <v>12</v>
      </c>
      <c r="D87" s="10" t="n">
        <v>8</v>
      </c>
      <c r="E87" s="10" t="n">
        <v>8</v>
      </c>
      <c r="F87" s="10" t="n">
        <v>0</v>
      </c>
      <c r="G87" s="10" t="n">
        <v>3</v>
      </c>
      <c r="H87" s="10" t="n">
        <v>52</v>
      </c>
      <c r="I87" s="10" t="s">
        <v>13</v>
      </c>
      <c r="J87" s="10" t="s">
        <v>36</v>
      </c>
      <c r="K87" s="10" t="s">
        <v>39</v>
      </c>
      <c r="L87" s="10" t="s">
        <v>37</v>
      </c>
    </row>
    <row r="88" customFormat="false" ht="15.75" hidden="false" customHeight="false" outlineLevel="0" collapsed="false">
      <c r="A88" s="10" t="n">
        <v>12</v>
      </c>
      <c r="B88" s="10" t="n">
        <v>721.53</v>
      </c>
      <c r="C88" s="10" t="s">
        <v>15</v>
      </c>
      <c r="D88" s="10" t="n">
        <v>2.5</v>
      </c>
      <c r="E88" s="10" t="n">
        <v>2.5</v>
      </c>
      <c r="F88" s="10" t="n">
        <v>0</v>
      </c>
      <c r="G88" s="10" t="n">
        <v>4</v>
      </c>
      <c r="H88" s="10" t="n">
        <v>29</v>
      </c>
      <c r="I88" s="10" t="s">
        <v>13</v>
      </c>
      <c r="J88" s="10" t="s">
        <v>38</v>
      </c>
      <c r="K88" s="10" t="s">
        <v>37</v>
      </c>
      <c r="L88" s="10" t="s">
        <v>40</v>
      </c>
    </row>
    <row r="89" customFormat="false" ht="15.75" hidden="false" customHeight="false" outlineLevel="0" collapsed="false">
      <c r="A89" s="10" t="n">
        <v>18</v>
      </c>
      <c r="B89" s="10" t="n">
        <v>661.75</v>
      </c>
      <c r="C89" s="10" t="s">
        <v>20</v>
      </c>
      <c r="D89" s="10" t="n">
        <v>0.5</v>
      </c>
      <c r="E89" s="10" t="n">
        <v>0.5</v>
      </c>
      <c r="F89" s="10" t="n">
        <v>0</v>
      </c>
      <c r="G89" s="10" t="n">
        <v>4</v>
      </c>
      <c r="H89" s="10" t="n">
        <v>27</v>
      </c>
      <c r="I89" s="10" t="s">
        <v>13</v>
      </c>
      <c r="J89" s="10" t="s">
        <v>38</v>
      </c>
      <c r="K89" s="10" t="s">
        <v>37</v>
      </c>
      <c r="L89" s="10" t="s">
        <v>42</v>
      </c>
    </row>
    <row r="90" customFormat="false" ht="15.75" hidden="false" customHeight="false" outlineLevel="0" collapsed="false">
      <c r="A90" s="10" t="n">
        <v>36</v>
      </c>
      <c r="B90" s="10" t="n">
        <v>6444.73</v>
      </c>
      <c r="C90" s="10" t="s">
        <v>15</v>
      </c>
      <c r="D90" s="10" t="n">
        <v>2.5</v>
      </c>
      <c r="E90" s="10" t="n">
        <v>2.5</v>
      </c>
      <c r="F90" s="10" t="n">
        <v>0</v>
      </c>
      <c r="G90" s="10" t="n">
        <v>1</v>
      </c>
      <c r="H90" s="10" t="n">
        <v>47</v>
      </c>
      <c r="I90" s="10" t="s">
        <v>16</v>
      </c>
      <c r="J90" s="10" t="s">
        <v>39</v>
      </c>
      <c r="K90" s="10" t="s">
        <v>43</v>
      </c>
      <c r="L90" s="10" t="s">
        <v>40</v>
      </c>
    </row>
    <row r="91" customFormat="false" ht="15.75" hidden="false" customHeight="false" outlineLevel="0" collapsed="false">
      <c r="A91" s="10" t="n">
        <v>18</v>
      </c>
      <c r="B91" s="10" t="n">
        <v>1149.24</v>
      </c>
      <c r="C91" s="10" t="s">
        <v>17</v>
      </c>
      <c r="D91" s="10" t="n">
        <v>5.5</v>
      </c>
      <c r="E91" s="10" t="n">
        <v>5.5</v>
      </c>
      <c r="F91" s="10" t="n">
        <v>0</v>
      </c>
      <c r="G91" s="10" t="n">
        <v>4</v>
      </c>
      <c r="H91" s="10" t="n">
        <v>30</v>
      </c>
      <c r="I91" s="10" t="s">
        <v>13</v>
      </c>
      <c r="J91" s="10" t="s">
        <v>39</v>
      </c>
      <c r="K91" s="10" t="s">
        <v>37</v>
      </c>
      <c r="L91" s="10" t="s">
        <v>41</v>
      </c>
    </row>
    <row r="92" customFormat="false" ht="15.75" hidden="false" customHeight="false" outlineLevel="0" collapsed="false">
      <c r="A92" s="10" t="n">
        <v>12</v>
      </c>
      <c r="B92" s="10" t="n">
        <v>566.19</v>
      </c>
      <c r="C92" s="10" t="s">
        <v>17</v>
      </c>
      <c r="D92" s="10" t="n">
        <v>5.5</v>
      </c>
      <c r="E92" s="10" t="n">
        <v>5.5</v>
      </c>
      <c r="F92" s="10" t="n">
        <v>0</v>
      </c>
      <c r="G92" s="10" t="n">
        <v>4</v>
      </c>
      <c r="H92" s="10" t="n">
        <v>28</v>
      </c>
      <c r="I92" s="10" t="s">
        <v>16</v>
      </c>
      <c r="J92" s="10" t="s">
        <v>38</v>
      </c>
      <c r="K92" s="10" t="s">
        <v>37</v>
      </c>
      <c r="L92" s="10" t="s">
        <v>41</v>
      </c>
    </row>
    <row r="93" customFormat="false" ht="15.75" hidden="false" customHeight="false" outlineLevel="0" collapsed="false">
      <c r="A93" s="10" t="n">
        <v>12</v>
      </c>
      <c r="B93" s="10" t="n">
        <v>315.8</v>
      </c>
      <c r="C93" s="10" t="s">
        <v>12</v>
      </c>
      <c r="D93" s="10" t="n">
        <v>8</v>
      </c>
      <c r="E93" s="10" t="n">
        <v>8</v>
      </c>
      <c r="F93" s="10" t="n">
        <v>0</v>
      </c>
      <c r="G93" s="10" t="n">
        <v>4</v>
      </c>
      <c r="H93" s="10" t="n">
        <v>56</v>
      </c>
      <c r="I93" s="10" t="s">
        <v>13</v>
      </c>
      <c r="J93" s="10" t="s">
        <v>36</v>
      </c>
      <c r="K93" s="10" t="s">
        <v>37</v>
      </c>
      <c r="L93" s="10" t="s">
        <v>37</v>
      </c>
    </row>
    <row r="94" customFormat="false" ht="15.75" hidden="false" customHeight="false" outlineLevel="0" collapsed="false">
      <c r="A94" s="10" t="n">
        <v>12</v>
      </c>
      <c r="B94" s="10" t="n">
        <v>720</v>
      </c>
      <c r="C94" s="10" t="s">
        <v>12</v>
      </c>
      <c r="D94" s="10" t="n">
        <v>8</v>
      </c>
      <c r="E94" s="10" t="n">
        <v>8</v>
      </c>
      <c r="F94" s="10" t="n">
        <v>0</v>
      </c>
      <c r="G94" s="10" t="n">
        <v>4</v>
      </c>
      <c r="H94" s="10" t="n">
        <v>54</v>
      </c>
      <c r="I94" s="10" t="s">
        <v>13</v>
      </c>
      <c r="J94" s="10" t="s">
        <v>36</v>
      </c>
      <c r="K94" s="10" t="s">
        <v>37</v>
      </c>
      <c r="L94" s="10" t="s">
        <v>37</v>
      </c>
    </row>
    <row r="95" customFormat="false" ht="15.75" hidden="false" customHeight="false" outlineLevel="0" collapsed="false">
      <c r="A95" s="10" t="n">
        <v>12</v>
      </c>
      <c r="B95" s="10" t="n">
        <v>407.27</v>
      </c>
      <c r="C95" s="10" t="s">
        <v>12</v>
      </c>
      <c r="D95" s="10" t="n">
        <v>8</v>
      </c>
      <c r="E95" s="10" t="n">
        <v>8</v>
      </c>
      <c r="F95" s="10" t="n">
        <v>0</v>
      </c>
      <c r="G95" s="10" t="n">
        <v>4</v>
      </c>
      <c r="H95" s="10" t="n">
        <v>33</v>
      </c>
      <c r="I95" s="10" t="s">
        <v>16</v>
      </c>
      <c r="J95" s="10" t="s">
        <v>39</v>
      </c>
      <c r="K95" s="10" t="s">
        <v>37</v>
      </c>
      <c r="L95" s="10" t="s">
        <v>37</v>
      </c>
    </row>
    <row r="96" customFormat="false" ht="15.75" hidden="false" customHeight="false" outlineLevel="0" collapsed="false">
      <c r="A96" s="10" t="n">
        <v>24</v>
      </c>
      <c r="B96" s="10" t="n">
        <v>1848.29</v>
      </c>
      <c r="C96" s="10" t="s">
        <v>12</v>
      </c>
      <c r="D96" s="10" t="n">
        <v>8</v>
      </c>
      <c r="E96" s="10" t="n">
        <v>2</v>
      </c>
      <c r="F96" s="10" t="n">
        <v>1</v>
      </c>
      <c r="G96" s="10" t="n">
        <v>4</v>
      </c>
      <c r="H96" s="10" t="n">
        <v>20</v>
      </c>
      <c r="I96" s="10" t="s">
        <v>13</v>
      </c>
      <c r="J96" s="10" t="s">
        <v>38</v>
      </c>
      <c r="K96" s="10" t="s">
        <v>37</v>
      </c>
      <c r="L96" s="10" t="s">
        <v>42</v>
      </c>
    </row>
    <row r="97" customFormat="false" ht="15.75" hidden="false" customHeight="false" outlineLevel="0" collapsed="false">
      <c r="A97" s="10" t="n">
        <v>12</v>
      </c>
      <c r="B97" s="10" t="n">
        <v>673.5</v>
      </c>
      <c r="C97" s="10" t="s">
        <v>12</v>
      </c>
      <c r="D97" s="10" t="n">
        <v>8</v>
      </c>
      <c r="E97" s="10" t="n">
        <v>8</v>
      </c>
      <c r="F97" s="10" t="n">
        <v>0</v>
      </c>
      <c r="G97" s="10" t="n">
        <v>4</v>
      </c>
      <c r="H97" s="10" t="n">
        <v>54</v>
      </c>
      <c r="I97" s="10" t="s">
        <v>13</v>
      </c>
      <c r="J97" s="10" t="s">
        <v>36</v>
      </c>
      <c r="K97" s="10" t="s">
        <v>37</v>
      </c>
      <c r="L97" s="10" t="s">
        <v>37</v>
      </c>
    </row>
    <row r="98" customFormat="false" ht="15.75" hidden="false" customHeight="false" outlineLevel="0" collapsed="false">
      <c r="A98" s="10" t="n">
        <v>54</v>
      </c>
      <c r="B98" s="10" t="n">
        <v>8147.9</v>
      </c>
      <c r="C98" s="10" t="s">
        <v>20</v>
      </c>
      <c r="D98" s="10" t="n">
        <v>0.5</v>
      </c>
      <c r="E98" s="10" t="n">
        <v>0.5</v>
      </c>
      <c r="F98" s="10" t="n">
        <v>0</v>
      </c>
      <c r="G98" s="10" t="n">
        <v>3</v>
      </c>
      <c r="H98" s="10" t="n">
        <v>58</v>
      </c>
      <c r="I98" s="10" t="s">
        <v>16</v>
      </c>
      <c r="J98" s="10" t="s">
        <v>36</v>
      </c>
      <c r="K98" s="10" t="s">
        <v>39</v>
      </c>
      <c r="L98" s="10" t="s">
        <v>42</v>
      </c>
    </row>
    <row r="99" customFormat="false" ht="15.75" hidden="false" customHeight="false" outlineLevel="0" collapsed="false">
      <c r="A99" s="10" t="n">
        <v>12</v>
      </c>
      <c r="B99" s="10" t="n">
        <v>1028.13</v>
      </c>
      <c r="C99" s="10" t="s">
        <v>17</v>
      </c>
      <c r="D99" s="10" t="n">
        <v>5.5</v>
      </c>
      <c r="E99" s="10" t="n">
        <v>5.5</v>
      </c>
      <c r="F99" s="10" t="n">
        <v>0</v>
      </c>
      <c r="G99" s="10" t="n">
        <v>4</v>
      </c>
      <c r="H99" s="10" t="n">
        <v>61</v>
      </c>
      <c r="I99" s="10" t="s">
        <v>13</v>
      </c>
      <c r="J99" s="10" t="s">
        <v>36</v>
      </c>
      <c r="K99" s="10" t="s">
        <v>37</v>
      </c>
      <c r="L99" s="10" t="s">
        <v>41</v>
      </c>
    </row>
    <row r="100" customFormat="false" ht="15.75" hidden="false" customHeight="false" outlineLevel="0" collapsed="false">
      <c r="A100" s="10" t="n">
        <v>18</v>
      </c>
      <c r="B100" s="10" t="n">
        <v>1339.84</v>
      </c>
      <c r="C100" s="10" t="s">
        <v>15</v>
      </c>
      <c r="D100" s="10" t="n">
        <v>2.5</v>
      </c>
      <c r="E100" s="10" t="n">
        <v>2.5</v>
      </c>
      <c r="F100" s="10" t="n">
        <v>0</v>
      </c>
      <c r="G100" s="10" t="n">
        <v>4</v>
      </c>
      <c r="H100" s="10" t="n">
        <v>34</v>
      </c>
      <c r="I100" s="10" t="s">
        <v>13</v>
      </c>
      <c r="J100" s="10" t="s">
        <v>39</v>
      </c>
      <c r="K100" s="10" t="s">
        <v>37</v>
      </c>
      <c r="L100" s="10" t="s">
        <v>40</v>
      </c>
    </row>
    <row r="101" customFormat="false" ht="15.75" hidden="false" customHeight="false" outlineLevel="0" collapsed="false">
      <c r="A101" s="10" t="n">
        <v>36</v>
      </c>
      <c r="B101" s="10" t="n">
        <v>1194.21</v>
      </c>
      <c r="C101" s="10" t="s">
        <v>12</v>
      </c>
      <c r="D101" s="10" t="n">
        <v>8</v>
      </c>
      <c r="E101" s="10" t="n">
        <v>8</v>
      </c>
      <c r="F101" s="10" t="n">
        <v>0</v>
      </c>
      <c r="G101" s="10" t="n">
        <v>4</v>
      </c>
      <c r="H101" s="10" t="n">
        <v>36</v>
      </c>
      <c r="I101" s="10" t="s">
        <v>13</v>
      </c>
      <c r="J101" s="10" t="s">
        <v>39</v>
      </c>
      <c r="K101" s="10" t="s">
        <v>37</v>
      </c>
      <c r="L101" s="10" t="s">
        <v>37</v>
      </c>
    </row>
    <row r="102" customFormat="false" ht="15.75" hidden="false" customHeight="false" outlineLevel="0" collapsed="false">
      <c r="A102" s="10" t="n">
        <v>20</v>
      </c>
      <c r="B102" s="10" t="n">
        <v>3606.13</v>
      </c>
      <c r="C102" s="10" t="s">
        <v>17</v>
      </c>
      <c r="D102" s="10" t="n">
        <v>5.5</v>
      </c>
      <c r="E102" s="10" t="n">
        <v>5.5</v>
      </c>
      <c r="F102" s="10" t="n">
        <v>0</v>
      </c>
      <c r="G102" s="10" t="n">
        <v>3</v>
      </c>
      <c r="H102" s="10" t="n">
        <v>36</v>
      </c>
      <c r="I102" s="10" t="s">
        <v>13</v>
      </c>
      <c r="J102" s="10" t="s">
        <v>39</v>
      </c>
      <c r="K102" s="10" t="s">
        <v>39</v>
      </c>
      <c r="L102" s="10" t="s">
        <v>41</v>
      </c>
    </row>
    <row r="103" customFormat="false" ht="15.75" hidden="false" customHeight="false" outlineLevel="0" collapsed="false">
      <c r="A103" s="10" t="n">
        <v>24</v>
      </c>
      <c r="B103" s="10" t="n">
        <v>750.66</v>
      </c>
      <c r="C103" s="10" t="s">
        <v>12</v>
      </c>
      <c r="D103" s="10" t="n">
        <v>8</v>
      </c>
      <c r="E103" s="10" t="n">
        <v>8</v>
      </c>
      <c r="F103" s="10" t="n">
        <v>0</v>
      </c>
      <c r="G103" s="10" t="n">
        <v>4</v>
      </c>
      <c r="H103" s="10" t="n">
        <v>41</v>
      </c>
      <c r="I103" s="10" t="s">
        <v>13</v>
      </c>
      <c r="J103" s="10" t="s">
        <v>39</v>
      </c>
      <c r="K103" s="10" t="s">
        <v>37</v>
      </c>
      <c r="L103" s="10" t="s">
        <v>37</v>
      </c>
    </row>
    <row r="104" customFormat="false" ht="15.75" hidden="false" customHeight="false" outlineLevel="0" collapsed="false">
      <c r="A104" s="10" t="n">
        <v>36</v>
      </c>
      <c r="B104" s="10" t="n">
        <v>1187.05</v>
      </c>
      <c r="C104" s="10" t="s">
        <v>17</v>
      </c>
      <c r="D104" s="10" t="n">
        <v>5.5</v>
      </c>
      <c r="E104" s="10" t="n">
        <v>5.5</v>
      </c>
      <c r="F104" s="10" t="n">
        <v>0</v>
      </c>
      <c r="G104" s="10" t="n">
        <v>4</v>
      </c>
      <c r="H104" s="10" t="n">
        <v>24</v>
      </c>
      <c r="I104" s="10" t="s">
        <v>13</v>
      </c>
      <c r="J104" s="10" t="s">
        <v>38</v>
      </c>
      <c r="K104" s="10" t="s">
        <v>37</v>
      </c>
      <c r="L104" s="10" t="s">
        <v>41</v>
      </c>
    </row>
    <row r="105" customFormat="false" ht="15.75" hidden="false" customHeight="false" outlineLevel="0" collapsed="false">
      <c r="A105" s="10" t="n">
        <v>6</v>
      </c>
      <c r="B105" s="10" t="n">
        <v>476.25</v>
      </c>
      <c r="C105" s="10" t="s">
        <v>15</v>
      </c>
      <c r="D105" s="10" t="n">
        <v>2.5</v>
      </c>
      <c r="E105" s="10" t="n">
        <v>2.5</v>
      </c>
      <c r="F105" s="10" t="n">
        <v>0</v>
      </c>
      <c r="G105" s="10" t="n">
        <v>3</v>
      </c>
      <c r="H105" s="10" t="n">
        <v>24</v>
      </c>
      <c r="I105" s="10" t="s">
        <v>13</v>
      </c>
      <c r="J105" s="10" t="s">
        <v>38</v>
      </c>
      <c r="K105" s="10" t="s">
        <v>39</v>
      </c>
      <c r="L105" s="10" t="s">
        <v>40</v>
      </c>
    </row>
    <row r="106" customFormat="false" ht="15.75" hidden="false" customHeight="false" outlineLevel="0" collapsed="false">
      <c r="A106" s="10" t="n">
        <v>9</v>
      </c>
      <c r="B106" s="10" t="n">
        <v>980.61</v>
      </c>
      <c r="C106" s="10" t="s">
        <v>17</v>
      </c>
      <c r="D106" s="10" t="n">
        <v>5.5</v>
      </c>
      <c r="E106" s="10" t="n">
        <v>5.5</v>
      </c>
      <c r="F106" s="10" t="n">
        <v>0</v>
      </c>
      <c r="G106" s="10" t="n">
        <v>4</v>
      </c>
      <c r="H106" s="10" t="n">
        <v>35</v>
      </c>
      <c r="I106" s="10" t="s">
        <v>13</v>
      </c>
      <c r="J106" s="10" t="s">
        <v>39</v>
      </c>
      <c r="K106" s="10" t="s">
        <v>37</v>
      </c>
      <c r="L106" s="10" t="s">
        <v>41</v>
      </c>
    </row>
    <row r="107" customFormat="false" ht="15.75" hidden="false" customHeight="false" outlineLevel="0" collapsed="false">
      <c r="A107" s="10" t="n">
        <v>12</v>
      </c>
      <c r="B107" s="10" t="n">
        <v>1249.4</v>
      </c>
      <c r="C107" s="10" t="s">
        <v>20</v>
      </c>
      <c r="D107" s="10" t="n">
        <v>0.5</v>
      </c>
      <c r="E107" s="10" t="n">
        <v>0.5</v>
      </c>
      <c r="F107" s="10" t="n">
        <v>0</v>
      </c>
      <c r="G107" s="10" t="n">
        <v>2</v>
      </c>
      <c r="H107" s="10" t="n">
        <v>26</v>
      </c>
      <c r="I107" s="10" t="s">
        <v>13</v>
      </c>
      <c r="J107" s="10" t="s">
        <v>38</v>
      </c>
      <c r="K107" s="10" t="s">
        <v>39</v>
      </c>
      <c r="L107" s="10" t="s">
        <v>42</v>
      </c>
    </row>
    <row r="108" customFormat="false" ht="15.75" hidden="false" customHeight="false" outlineLevel="0" collapsed="false">
      <c r="A108" s="10" t="n">
        <v>24</v>
      </c>
      <c r="B108" s="10" t="n">
        <v>6100.32</v>
      </c>
      <c r="C108" s="10" t="s">
        <v>15</v>
      </c>
      <c r="D108" s="10" t="n">
        <v>2.5</v>
      </c>
      <c r="E108" s="10" t="n">
        <v>2.5</v>
      </c>
      <c r="F108" s="10" t="n">
        <v>0</v>
      </c>
      <c r="G108" s="10" t="n">
        <v>2</v>
      </c>
      <c r="H108" s="10" t="n">
        <v>39</v>
      </c>
      <c r="I108" s="10" t="s">
        <v>16</v>
      </c>
      <c r="J108" s="10" t="s">
        <v>39</v>
      </c>
      <c r="K108" s="10" t="s">
        <v>39</v>
      </c>
      <c r="L108" s="10" t="s">
        <v>40</v>
      </c>
    </row>
    <row r="109" customFormat="false" ht="15.75" hidden="false" customHeight="false" outlineLevel="0" collapsed="false">
      <c r="A109" s="10" t="n">
        <v>18</v>
      </c>
      <c r="B109" s="10" t="n">
        <v>3300.04</v>
      </c>
      <c r="C109" s="10" t="s">
        <v>12</v>
      </c>
      <c r="D109" s="10" t="n">
        <v>8</v>
      </c>
      <c r="E109" s="10" t="n">
        <v>8</v>
      </c>
      <c r="F109" s="10" t="n">
        <v>0</v>
      </c>
      <c r="G109" s="10" t="n">
        <v>2</v>
      </c>
      <c r="H109" s="10" t="n">
        <v>39</v>
      </c>
      <c r="I109" s="10" t="s">
        <v>16</v>
      </c>
      <c r="J109" s="10" t="s">
        <v>39</v>
      </c>
      <c r="K109" s="10" t="s">
        <v>39</v>
      </c>
      <c r="L109" s="10" t="s">
        <v>37</v>
      </c>
    </row>
    <row r="110" customFormat="false" ht="15.75" hidden="false" customHeight="false" outlineLevel="0" collapsed="false">
      <c r="A110" s="10" t="n">
        <v>12</v>
      </c>
      <c r="B110" s="10" t="n">
        <v>3105.86</v>
      </c>
      <c r="C110" s="10" t="s">
        <v>17</v>
      </c>
      <c r="D110" s="10" t="n">
        <v>5.5</v>
      </c>
      <c r="E110" s="10" t="n">
        <v>5.5</v>
      </c>
      <c r="F110" s="10" t="n">
        <v>0</v>
      </c>
      <c r="G110" s="10" t="n">
        <v>2</v>
      </c>
      <c r="H110" s="10" t="n">
        <v>32</v>
      </c>
      <c r="I110" s="10" t="s">
        <v>13</v>
      </c>
      <c r="J110" s="10" t="s">
        <v>39</v>
      </c>
      <c r="K110" s="10" t="s">
        <v>39</v>
      </c>
      <c r="L110" s="10" t="s">
        <v>41</v>
      </c>
    </row>
    <row r="111" customFormat="false" ht="15.75" hidden="false" customHeight="false" outlineLevel="0" collapsed="false">
      <c r="A111" s="10" t="n">
        <v>24</v>
      </c>
      <c r="B111" s="10" t="n">
        <v>3945.43</v>
      </c>
      <c r="C111" s="10" t="s">
        <v>20</v>
      </c>
      <c r="D111" s="10" t="n">
        <v>0.5</v>
      </c>
      <c r="E111" s="10" t="n">
        <v>0.5</v>
      </c>
      <c r="F111" s="10" t="n">
        <v>0</v>
      </c>
      <c r="G111" s="10" t="n">
        <v>1</v>
      </c>
      <c r="H111" s="10" t="n">
        <v>30</v>
      </c>
      <c r="I111" s="10" t="s">
        <v>13</v>
      </c>
      <c r="J111" s="10" t="s">
        <v>39</v>
      </c>
      <c r="K111" s="10" t="s">
        <v>43</v>
      </c>
      <c r="L111" s="10" t="s">
        <v>42</v>
      </c>
    </row>
    <row r="112" customFormat="false" ht="15.75" hidden="false" customHeight="false" outlineLevel="0" collapsed="false">
      <c r="A112" s="10" t="n">
        <v>14</v>
      </c>
      <c r="B112" s="10" t="n">
        <v>720.51</v>
      </c>
      <c r="C112" s="10" t="s">
        <v>12</v>
      </c>
      <c r="D112" s="10" t="n">
        <v>8</v>
      </c>
      <c r="E112" s="10" t="n">
        <v>8</v>
      </c>
      <c r="F112" s="10" t="n">
        <v>0</v>
      </c>
      <c r="G112" s="10" t="n">
        <v>1</v>
      </c>
      <c r="H112" s="10" t="n">
        <v>35</v>
      </c>
      <c r="I112" s="10" t="s">
        <v>13</v>
      </c>
      <c r="J112" s="10" t="s">
        <v>39</v>
      </c>
      <c r="K112" s="10" t="s">
        <v>43</v>
      </c>
      <c r="L112" s="10" t="s">
        <v>37</v>
      </c>
    </row>
    <row r="113" customFormat="false" ht="15.75" hidden="false" customHeight="false" outlineLevel="0" collapsed="false">
      <c r="A113" s="10" t="n">
        <v>6</v>
      </c>
      <c r="B113" s="10" t="n">
        <v>740.44</v>
      </c>
      <c r="C113" s="10" t="s">
        <v>12</v>
      </c>
      <c r="D113" s="10" t="n">
        <v>8</v>
      </c>
      <c r="E113" s="10" t="n">
        <v>8</v>
      </c>
      <c r="F113" s="10" t="n">
        <v>0</v>
      </c>
      <c r="G113" s="10" t="n">
        <v>1</v>
      </c>
      <c r="H113" s="10" t="n">
        <v>31</v>
      </c>
      <c r="I113" s="10" t="s">
        <v>13</v>
      </c>
      <c r="J113" s="10" t="s">
        <v>39</v>
      </c>
      <c r="K113" s="10" t="s">
        <v>43</v>
      </c>
      <c r="L113" s="10" t="s">
        <v>37</v>
      </c>
    </row>
    <row r="114" customFormat="false" ht="15.75" hidden="false" customHeight="false" outlineLevel="0" collapsed="false">
      <c r="A114" s="10" t="n">
        <v>15</v>
      </c>
      <c r="B114" s="10" t="n">
        <v>200.31</v>
      </c>
      <c r="C114" s="10" t="s">
        <v>20</v>
      </c>
      <c r="D114" s="10" t="n">
        <v>0.5</v>
      </c>
      <c r="E114" s="10" t="n">
        <v>0.5</v>
      </c>
      <c r="F114" s="10" t="n">
        <v>0</v>
      </c>
      <c r="G114" s="10" t="n">
        <v>4</v>
      </c>
      <c r="H114" s="10" t="n">
        <v>23</v>
      </c>
      <c r="I114" s="10" t="s">
        <v>13</v>
      </c>
      <c r="J114" s="10" t="s">
        <v>38</v>
      </c>
      <c r="K114" s="10" t="s">
        <v>37</v>
      </c>
      <c r="L114" s="10" t="s">
        <v>42</v>
      </c>
    </row>
    <row r="115" customFormat="false" ht="15.75" hidden="false" customHeight="false" outlineLevel="0" collapsed="false">
      <c r="A115" s="10" t="n">
        <v>18</v>
      </c>
      <c r="B115" s="10" t="n">
        <v>3198.86</v>
      </c>
      <c r="C115" s="10" t="s">
        <v>17</v>
      </c>
      <c r="D115" s="10" t="n">
        <v>5.5</v>
      </c>
      <c r="E115" s="10" t="n">
        <v>5.5</v>
      </c>
      <c r="F115" s="10" t="n">
        <v>0</v>
      </c>
      <c r="G115" s="10" t="n">
        <v>3</v>
      </c>
      <c r="H115" s="10" t="n">
        <v>28</v>
      </c>
      <c r="I115" s="10" t="s">
        <v>13</v>
      </c>
      <c r="J115" s="10" t="s">
        <v>38</v>
      </c>
      <c r="K115" s="10" t="s">
        <v>39</v>
      </c>
      <c r="L115" s="10" t="s">
        <v>41</v>
      </c>
    </row>
    <row r="116" customFormat="false" ht="15.75" hidden="false" customHeight="false" outlineLevel="0" collapsed="false">
      <c r="A116" s="10" t="n">
        <v>36</v>
      </c>
      <c r="B116" s="10" t="n">
        <v>4013.91</v>
      </c>
      <c r="C116" s="10" t="s">
        <v>15</v>
      </c>
      <c r="D116" s="10" t="n">
        <v>2.5</v>
      </c>
      <c r="E116" s="10" t="n">
        <v>2.5</v>
      </c>
      <c r="F116" s="10" t="n">
        <v>0</v>
      </c>
      <c r="G116" s="10" t="n">
        <v>4</v>
      </c>
      <c r="H116" s="10" t="n">
        <v>25</v>
      </c>
      <c r="I116" s="10" t="s">
        <v>16</v>
      </c>
      <c r="J116" s="10" t="s">
        <v>38</v>
      </c>
      <c r="K116" s="10" t="s">
        <v>37</v>
      </c>
      <c r="L116" s="10" t="s">
        <v>40</v>
      </c>
    </row>
    <row r="117" customFormat="false" ht="15.75" hidden="false" customHeight="false" outlineLevel="0" collapsed="false">
      <c r="A117" s="10" t="n">
        <v>12</v>
      </c>
      <c r="B117" s="10" t="n">
        <v>858.48</v>
      </c>
      <c r="C117" s="10" t="s">
        <v>12</v>
      </c>
      <c r="D117" s="10" t="n">
        <v>8</v>
      </c>
      <c r="E117" s="10" t="n">
        <v>8</v>
      </c>
      <c r="F117" s="10" t="n">
        <v>0</v>
      </c>
      <c r="G117" s="10" t="n">
        <v>3</v>
      </c>
      <c r="H117" s="10" t="n">
        <v>35</v>
      </c>
      <c r="I117" s="10" t="s">
        <v>13</v>
      </c>
      <c r="J117" s="10" t="s">
        <v>39</v>
      </c>
      <c r="K117" s="10" t="s">
        <v>39</v>
      </c>
      <c r="L117" s="10" t="s">
        <v>37</v>
      </c>
    </row>
    <row r="118" customFormat="false" ht="15.75" hidden="false" customHeight="false" outlineLevel="0" collapsed="false">
      <c r="A118" s="10" t="n">
        <v>48</v>
      </c>
      <c r="B118" s="10" t="n">
        <v>1828.36</v>
      </c>
      <c r="C118" s="10" t="s">
        <v>12</v>
      </c>
      <c r="D118" s="10" t="n">
        <v>8</v>
      </c>
      <c r="E118" s="10" t="n">
        <v>8</v>
      </c>
      <c r="F118" s="10" t="n">
        <v>0</v>
      </c>
      <c r="G118" s="10" t="n">
        <v>4</v>
      </c>
      <c r="H118" s="10" t="n">
        <v>47</v>
      </c>
      <c r="I118" s="10" t="s">
        <v>13</v>
      </c>
      <c r="J118" s="10" t="s">
        <v>39</v>
      </c>
      <c r="K118" s="10" t="s">
        <v>37</v>
      </c>
      <c r="L118" s="10" t="s">
        <v>37</v>
      </c>
    </row>
    <row r="119" customFormat="false" ht="15.75" hidden="false" customHeight="false" outlineLevel="0" collapsed="false">
      <c r="A119" s="10" t="n">
        <v>42</v>
      </c>
      <c r="B119" s="10" t="n">
        <v>3665.91</v>
      </c>
      <c r="C119" s="10" t="s">
        <v>17</v>
      </c>
      <c r="D119" s="10" t="n">
        <v>5.5</v>
      </c>
      <c r="E119" s="10" t="n">
        <v>5.5</v>
      </c>
      <c r="F119" s="10" t="n">
        <v>0</v>
      </c>
      <c r="G119" s="10" t="n">
        <v>4</v>
      </c>
      <c r="H119" s="10" t="n">
        <v>30</v>
      </c>
      <c r="I119" s="10" t="s">
        <v>16</v>
      </c>
      <c r="J119" s="10" t="s">
        <v>39</v>
      </c>
      <c r="K119" s="10" t="s">
        <v>37</v>
      </c>
      <c r="L119" s="10" t="s">
        <v>41</v>
      </c>
    </row>
    <row r="120" customFormat="false" ht="15.75" hidden="false" customHeight="false" outlineLevel="0" collapsed="false">
      <c r="A120" s="10" t="n">
        <v>10</v>
      </c>
      <c r="B120" s="10" t="n">
        <v>1089.45</v>
      </c>
      <c r="C120" s="10" t="s">
        <v>20</v>
      </c>
      <c r="D120" s="10" t="n">
        <v>0.5</v>
      </c>
      <c r="E120" s="10" t="n">
        <v>0.5</v>
      </c>
      <c r="F120" s="10" t="n">
        <v>0</v>
      </c>
      <c r="G120" s="10" t="n">
        <v>2</v>
      </c>
      <c r="H120" s="10" t="n">
        <v>27</v>
      </c>
      <c r="I120" s="10" t="s">
        <v>13</v>
      </c>
      <c r="J120" s="10" t="s">
        <v>38</v>
      </c>
      <c r="K120" s="10" t="s">
        <v>39</v>
      </c>
      <c r="L120" s="10" t="s">
        <v>42</v>
      </c>
    </row>
    <row r="121" customFormat="false" ht="15.75" hidden="false" customHeight="false" outlineLevel="0" collapsed="false">
      <c r="A121" s="10" t="n">
        <v>33</v>
      </c>
      <c r="B121" s="10" t="n">
        <v>2187.59</v>
      </c>
      <c r="C121" s="10" t="s">
        <v>15</v>
      </c>
      <c r="D121" s="10" t="n">
        <v>2.5</v>
      </c>
      <c r="E121" s="10" t="n">
        <v>2.5</v>
      </c>
      <c r="F121" s="10" t="n">
        <v>0</v>
      </c>
      <c r="G121" s="10" t="n">
        <v>1</v>
      </c>
      <c r="H121" s="10" t="n">
        <v>23</v>
      </c>
      <c r="I121" s="10" t="s">
        <v>16</v>
      </c>
      <c r="J121" s="10" t="s">
        <v>38</v>
      </c>
      <c r="K121" s="10" t="s">
        <v>43</v>
      </c>
      <c r="L121" s="10" t="s">
        <v>40</v>
      </c>
    </row>
    <row r="122" customFormat="false" ht="15.75" hidden="false" customHeight="false" outlineLevel="0" collapsed="false">
      <c r="A122" s="10" t="n">
        <v>12</v>
      </c>
      <c r="B122" s="10" t="n">
        <v>1209.03</v>
      </c>
      <c r="C122" s="10" t="s">
        <v>17</v>
      </c>
      <c r="D122" s="10" t="n">
        <v>5.5</v>
      </c>
      <c r="E122" s="10" t="n">
        <v>5.5</v>
      </c>
      <c r="F122" s="10" t="n">
        <v>0</v>
      </c>
      <c r="G122" s="10" t="n">
        <v>3</v>
      </c>
      <c r="H122" s="10" t="n">
        <v>36</v>
      </c>
      <c r="I122" s="10" t="s">
        <v>13</v>
      </c>
      <c r="J122" s="10" t="s">
        <v>39</v>
      </c>
      <c r="K122" s="10" t="s">
        <v>39</v>
      </c>
      <c r="L122" s="10" t="s">
        <v>41</v>
      </c>
    </row>
    <row r="123" customFormat="false" ht="15.75" hidden="false" customHeight="false" outlineLevel="0" collapsed="false">
      <c r="A123" s="10" t="n">
        <v>21</v>
      </c>
      <c r="B123" s="10" t="n">
        <v>937.69</v>
      </c>
      <c r="C123" s="10" t="s">
        <v>15</v>
      </c>
      <c r="D123" s="10" t="n">
        <v>2.5</v>
      </c>
      <c r="E123" s="10" t="n">
        <v>2.5</v>
      </c>
      <c r="F123" s="10" t="n">
        <v>0</v>
      </c>
      <c r="G123" s="10" t="n">
        <v>3</v>
      </c>
      <c r="H123" s="10" t="n">
        <v>25</v>
      </c>
      <c r="I123" s="10" t="s">
        <v>16</v>
      </c>
      <c r="J123" s="10" t="s">
        <v>38</v>
      </c>
      <c r="K123" s="10" t="s">
        <v>39</v>
      </c>
      <c r="L123" s="10" t="s">
        <v>40</v>
      </c>
    </row>
    <row r="124" customFormat="false" ht="15.75" hidden="false" customHeight="false" outlineLevel="0" collapsed="false">
      <c r="A124" s="10" t="n">
        <v>24</v>
      </c>
      <c r="B124" s="10" t="n">
        <v>1976.55</v>
      </c>
      <c r="C124" s="10" t="s">
        <v>12</v>
      </c>
      <c r="D124" s="10" t="n">
        <v>8</v>
      </c>
      <c r="E124" s="10" t="n">
        <v>8</v>
      </c>
      <c r="F124" s="10" t="n">
        <v>0</v>
      </c>
      <c r="G124" s="10" t="n">
        <v>4</v>
      </c>
      <c r="H124" s="10" t="n">
        <v>41</v>
      </c>
      <c r="I124" s="10" t="s">
        <v>13</v>
      </c>
      <c r="J124" s="10" t="s">
        <v>39</v>
      </c>
      <c r="K124" s="10" t="s">
        <v>37</v>
      </c>
      <c r="L124" s="10" t="s">
        <v>37</v>
      </c>
    </row>
    <row r="125" customFormat="false" ht="15.75" hidden="false" customHeight="false" outlineLevel="0" collapsed="false">
      <c r="A125" s="10" t="n">
        <v>12</v>
      </c>
      <c r="B125" s="10" t="n">
        <v>903.45</v>
      </c>
      <c r="C125" s="10" t="s">
        <v>15</v>
      </c>
      <c r="D125" s="10" t="n">
        <v>2.5</v>
      </c>
      <c r="E125" s="10" t="n">
        <v>2.5</v>
      </c>
      <c r="F125" s="10" t="n">
        <v>0</v>
      </c>
      <c r="G125" s="10" t="n">
        <v>3</v>
      </c>
      <c r="H125" s="10" t="n">
        <v>24</v>
      </c>
      <c r="I125" s="10" t="s">
        <v>13</v>
      </c>
      <c r="J125" s="10" t="s">
        <v>38</v>
      </c>
      <c r="K125" s="10" t="s">
        <v>39</v>
      </c>
      <c r="L125" s="10" t="s">
        <v>40</v>
      </c>
    </row>
    <row r="126" customFormat="false" ht="15.75" hidden="false" customHeight="false" outlineLevel="0" collapsed="false">
      <c r="A126" s="10" t="n">
        <v>10</v>
      </c>
      <c r="B126" s="10" t="n">
        <v>399.09</v>
      </c>
      <c r="C126" s="10" t="s">
        <v>12</v>
      </c>
      <c r="D126" s="10" t="n">
        <v>8</v>
      </c>
      <c r="E126" s="10" t="n">
        <v>8</v>
      </c>
      <c r="F126" s="10" t="n">
        <v>0</v>
      </c>
      <c r="G126" s="10" t="n">
        <v>4</v>
      </c>
      <c r="H126" s="10" t="n">
        <v>63</v>
      </c>
      <c r="I126" s="10" t="s">
        <v>13</v>
      </c>
      <c r="J126" s="10" t="s">
        <v>36</v>
      </c>
      <c r="K126" s="10" t="s">
        <v>37</v>
      </c>
      <c r="L126" s="10" t="s">
        <v>37</v>
      </c>
    </row>
    <row r="127" customFormat="false" ht="15.75" hidden="false" customHeight="false" outlineLevel="0" collapsed="false">
      <c r="A127" s="10" t="n">
        <v>18</v>
      </c>
      <c r="B127" s="10" t="n">
        <v>983.16</v>
      </c>
      <c r="C127" s="10" t="s">
        <v>20</v>
      </c>
      <c r="D127" s="10" t="n">
        <v>0.5</v>
      </c>
      <c r="E127" s="10" t="n">
        <v>0.5</v>
      </c>
      <c r="F127" s="10" t="n">
        <v>0</v>
      </c>
      <c r="G127" s="10" t="n">
        <v>4</v>
      </c>
      <c r="H127" s="10" t="n">
        <v>27</v>
      </c>
      <c r="I127" s="10" t="s">
        <v>16</v>
      </c>
      <c r="J127" s="10" t="s">
        <v>38</v>
      </c>
      <c r="K127" s="10" t="s">
        <v>37</v>
      </c>
      <c r="L127" s="10" t="s">
        <v>42</v>
      </c>
    </row>
    <row r="128" customFormat="false" ht="15.75" hidden="false" customHeight="false" outlineLevel="0" collapsed="false">
      <c r="A128" s="10" t="n">
        <v>12</v>
      </c>
      <c r="B128" s="10" t="n">
        <v>1083.83</v>
      </c>
      <c r="C128" s="10" t="s">
        <v>15</v>
      </c>
      <c r="D128" s="10" t="n">
        <v>2.5</v>
      </c>
      <c r="E128" s="10" t="n">
        <v>2.5</v>
      </c>
      <c r="F128" s="10" t="n">
        <v>0</v>
      </c>
      <c r="G128" s="10" t="n">
        <v>4</v>
      </c>
      <c r="H128" s="10" t="n">
        <v>30</v>
      </c>
      <c r="I128" s="10" t="s">
        <v>13</v>
      </c>
      <c r="J128" s="10" t="s">
        <v>39</v>
      </c>
      <c r="K128" s="10" t="s">
        <v>37</v>
      </c>
      <c r="L128" s="10" t="s">
        <v>40</v>
      </c>
    </row>
    <row r="129" customFormat="false" ht="15.75" hidden="false" customHeight="false" outlineLevel="0" collapsed="false">
      <c r="A129" s="10" t="n">
        <v>12</v>
      </c>
      <c r="B129" s="10" t="n">
        <v>358.21</v>
      </c>
      <c r="C129" s="10" t="s">
        <v>15</v>
      </c>
      <c r="D129" s="10" t="n">
        <v>2.5</v>
      </c>
      <c r="E129" s="10" t="n">
        <v>2.5</v>
      </c>
      <c r="F129" s="10" t="n">
        <v>0</v>
      </c>
      <c r="G129" s="10" t="n">
        <v>4</v>
      </c>
      <c r="H129" s="10" t="n">
        <v>40</v>
      </c>
      <c r="I129" s="10" t="s">
        <v>13</v>
      </c>
      <c r="J129" s="10" t="s">
        <v>39</v>
      </c>
      <c r="K129" s="10" t="s">
        <v>37</v>
      </c>
      <c r="L129" s="10" t="s">
        <v>40</v>
      </c>
    </row>
    <row r="130" customFormat="false" ht="15.75" hidden="false" customHeight="false" outlineLevel="0" collapsed="false">
      <c r="A130" s="10" t="n">
        <v>12</v>
      </c>
      <c r="B130" s="10" t="n">
        <v>326.53</v>
      </c>
      <c r="C130" s="10" t="s">
        <v>15</v>
      </c>
      <c r="D130" s="10" t="n">
        <v>2.5</v>
      </c>
      <c r="E130" s="10" t="n">
        <v>2.5</v>
      </c>
      <c r="F130" s="10" t="n">
        <v>0</v>
      </c>
      <c r="G130" s="10" t="n">
        <v>4</v>
      </c>
      <c r="H130" s="10" t="n">
        <v>30</v>
      </c>
      <c r="I130" s="10" t="s">
        <v>16</v>
      </c>
      <c r="J130" s="10" t="s">
        <v>39</v>
      </c>
      <c r="K130" s="10" t="s">
        <v>37</v>
      </c>
      <c r="L130" s="10" t="s">
        <v>40</v>
      </c>
    </row>
    <row r="131" customFormat="false" ht="15.75" hidden="false" customHeight="false" outlineLevel="0" collapsed="false">
      <c r="A131" s="10" t="n">
        <v>12</v>
      </c>
      <c r="B131" s="10" t="n">
        <v>950.46</v>
      </c>
      <c r="C131" s="10" t="s">
        <v>19</v>
      </c>
      <c r="D131" s="10" t="n">
        <v>0</v>
      </c>
      <c r="E131" s="10" t="n">
        <v>0</v>
      </c>
      <c r="F131" s="10" t="n">
        <v>0</v>
      </c>
      <c r="G131" s="10" t="n">
        <v>4</v>
      </c>
      <c r="H131" s="10" t="n">
        <v>34</v>
      </c>
      <c r="I131" s="10" t="s">
        <v>13</v>
      </c>
      <c r="J131" s="10" t="s">
        <v>39</v>
      </c>
      <c r="K131" s="10" t="s">
        <v>37</v>
      </c>
      <c r="L131" s="10" t="s">
        <v>19</v>
      </c>
    </row>
    <row r="132" customFormat="false" ht="15.75" hidden="false" customHeight="false" outlineLevel="0" collapsed="false">
      <c r="A132" s="10" t="n">
        <v>12</v>
      </c>
      <c r="B132" s="10" t="n">
        <v>1787.99</v>
      </c>
      <c r="C132" s="10" t="s">
        <v>15</v>
      </c>
      <c r="D132" s="10" t="n">
        <v>2.5</v>
      </c>
      <c r="E132" s="10" t="n">
        <v>2.5</v>
      </c>
      <c r="F132" s="10" t="n">
        <v>0</v>
      </c>
      <c r="G132" s="10" t="n">
        <v>3</v>
      </c>
      <c r="H132" s="10" t="n">
        <v>29</v>
      </c>
      <c r="I132" s="10" t="s">
        <v>16</v>
      </c>
      <c r="J132" s="10" t="s">
        <v>38</v>
      </c>
      <c r="K132" s="10" t="s">
        <v>39</v>
      </c>
      <c r="L132" s="10" t="s">
        <v>40</v>
      </c>
    </row>
    <row r="133" customFormat="false" ht="15.75" hidden="false" customHeight="false" outlineLevel="0" collapsed="false">
      <c r="A133" s="10" t="n">
        <v>48</v>
      </c>
      <c r="B133" s="10" t="n">
        <v>4336.86</v>
      </c>
      <c r="C133" s="10" t="s">
        <v>17</v>
      </c>
      <c r="D133" s="10" t="n">
        <v>5.5</v>
      </c>
      <c r="E133" s="10" t="n">
        <v>5.5</v>
      </c>
      <c r="F133" s="10" t="n">
        <v>0</v>
      </c>
      <c r="G133" s="10" t="n">
        <v>1</v>
      </c>
      <c r="H133" s="10" t="n">
        <v>24</v>
      </c>
      <c r="I133" s="10" t="s">
        <v>13</v>
      </c>
      <c r="J133" s="10" t="s">
        <v>38</v>
      </c>
      <c r="K133" s="10" t="s">
        <v>43</v>
      </c>
      <c r="L133" s="10" t="s">
        <v>41</v>
      </c>
    </row>
    <row r="134" customFormat="false" ht="15.75" hidden="false" customHeight="false" outlineLevel="0" collapsed="false">
      <c r="A134" s="10" t="n">
        <v>36</v>
      </c>
      <c r="B134" s="10" t="n">
        <v>3519.26</v>
      </c>
      <c r="C134" s="10" t="s">
        <v>15</v>
      </c>
      <c r="D134" s="10" t="n">
        <v>2.5</v>
      </c>
      <c r="E134" s="10" t="n">
        <v>2.5</v>
      </c>
      <c r="F134" s="10" t="n">
        <v>0</v>
      </c>
      <c r="G134" s="10" t="n">
        <v>4</v>
      </c>
      <c r="H134" s="10" t="n">
        <v>29</v>
      </c>
      <c r="I134" s="10" t="s">
        <v>16</v>
      </c>
      <c r="J134" s="10" t="s">
        <v>38</v>
      </c>
      <c r="K134" s="10" t="s">
        <v>37</v>
      </c>
      <c r="L134" s="10" t="s">
        <v>40</v>
      </c>
    </row>
    <row r="135" customFormat="false" ht="15.75" hidden="false" customHeight="false" outlineLevel="0" collapsed="false">
      <c r="A135" s="10" t="n">
        <v>15</v>
      </c>
      <c r="B135" s="10" t="n">
        <v>1383.79</v>
      </c>
      <c r="C135" s="10" t="s">
        <v>20</v>
      </c>
      <c r="D135" s="10" t="n">
        <v>0.5</v>
      </c>
      <c r="E135" s="10" t="n">
        <v>0.5</v>
      </c>
      <c r="F135" s="10" t="n">
        <v>0</v>
      </c>
      <c r="G135" s="10" t="n">
        <v>2</v>
      </c>
      <c r="H135" s="10" t="n">
        <v>27</v>
      </c>
      <c r="I135" s="10" t="s">
        <v>13</v>
      </c>
      <c r="J135" s="10" t="s">
        <v>38</v>
      </c>
      <c r="K135" s="10" t="s">
        <v>39</v>
      </c>
      <c r="L135" s="10" t="s">
        <v>42</v>
      </c>
    </row>
    <row r="136" customFormat="false" ht="15.75" hidden="false" customHeight="false" outlineLevel="0" collapsed="false">
      <c r="A136" s="10" t="n">
        <v>18</v>
      </c>
      <c r="B136" s="10" t="n">
        <v>1013.82</v>
      </c>
      <c r="C136" s="10" t="s">
        <v>15</v>
      </c>
      <c r="D136" s="10" t="n">
        <v>2.5</v>
      </c>
      <c r="E136" s="10" t="n">
        <v>2.5</v>
      </c>
      <c r="F136" s="10" t="n">
        <v>0</v>
      </c>
      <c r="G136" s="10" t="n">
        <v>4</v>
      </c>
      <c r="H136" s="10" t="n">
        <v>47</v>
      </c>
      <c r="I136" s="10" t="s">
        <v>13</v>
      </c>
      <c r="J136" s="10" t="s">
        <v>39</v>
      </c>
      <c r="K136" s="10" t="s">
        <v>37</v>
      </c>
      <c r="L136" s="10" t="s">
        <v>40</v>
      </c>
    </row>
    <row r="137" customFormat="false" ht="15.75" hidden="false" customHeight="false" outlineLevel="0" collapsed="false">
      <c r="A137" s="10" t="n">
        <v>60</v>
      </c>
      <c r="B137" s="10" t="n">
        <v>5183.58</v>
      </c>
      <c r="C137" s="10" t="s">
        <v>17</v>
      </c>
      <c r="D137" s="10" t="n">
        <v>5.5</v>
      </c>
      <c r="E137" s="10" t="n">
        <v>3</v>
      </c>
      <c r="F137" s="10" t="n">
        <v>1</v>
      </c>
      <c r="G137" s="10" t="n">
        <v>2</v>
      </c>
      <c r="H137" s="10" t="n">
        <v>21</v>
      </c>
      <c r="I137" s="10" t="s">
        <v>13</v>
      </c>
      <c r="J137" s="10" t="s">
        <v>38</v>
      </c>
      <c r="K137" s="10" t="s">
        <v>39</v>
      </c>
      <c r="L137" s="10" t="s">
        <v>40</v>
      </c>
    </row>
    <row r="138" customFormat="false" ht="15.75" hidden="false" customHeight="false" outlineLevel="0" collapsed="false">
      <c r="A138" s="10" t="n">
        <v>12</v>
      </c>
      <c r="B138" s="10" t="n">
        <v>633.64</v>
      </c>
      <c r="C138" s="10" t="s">
        <v>12</v>
      </c>
      <c r="D138" s="10" t="n">
        <v>8</v>
      </c>
      <c r="E138" s="10" t="n">
        <v>8</v>
      </c>
      <c r="F138" s="10" t="n">
        <v>0</v>
      </c>
      <c r="G138" s="10" t="n">
        <v>4</v>
      </c>
      <c r="H138" s="10" t="n">
        <v>38</v>
      </c>
      <c r="I138" s="10" t="s">
        <v>13</v>
      </c>
      <c r="J138" s="10" t="s">
        <v>39</v>
      </c>
      <c r="K138" s="10" t="s">
        <v>37</v>
      </c>
      <c r="L138" s="10" t="s">
        <v>37</v>
      </c>
    </row>
    <row r="139" customFormat="false" ht="15.75" hidden="false" customHeight="false" outlineLevel="0" collapsed="false">
      <c r="A139" s="10" t="n">
        <v>27</v>
      </c>
      <c r="B139" s="10" t="n">
        <v>4401.24</v>
      </c>
      <c r="C139" s="10" t="s">
        <v>15</v>
      </c>
      <c r="D139" s="10" t="n">
        <v>2.5</v>
      </c>
      <c r="E139" s="10" t="n">
        <v>2.5</v>
      </c>
      <c r="F139" s="10" t="n">
        <v>0</v>
      </c>
      <c r="G139" s="10" t="n">
        <v>2</v>
      </c>
      <c r="H139" s="10" t="n">
        <v>27</v>
      </c>
      <c r="I139" s="10" t="s">
        <v>13</v>
      </c>
      <c r="J139" s="10" t="s">
        <v>38</v>
      </c>
      <c r="K139" s="10" t="s">
        <v>39</v>
      </c>
      <c r="L139" s="10" t="s">
        <v>40</v>
      </c>
    </row>
    <row r="140" customFormat="false" ht="15.75" hidden="false" customHeight="false" outlineLevel="0" collapsed="false">
      <c r="A140" s="10" t="n">
        <v>12</v>
      </c>
      <c r="B140" s="10" t="n">
        <v>391.43</v>
      </c>
      <c r="C140" s="10" t="s">
        <v>15</v>
      </c>
      <c r="D140" s="10" t="n">
        <v>2.5</v>
      </c>
      <c r="E140" s="10" t="n">
        <v>2.5</v>
      </c>
      <c r="F140" s="10" t="n">
        <v>0</v>
      </c>
      <c r="G140" s="10" t="n">
        <v>4</v>
      </c>
      <c r="H140" s="10" t="n">
        <v>66</v>
      </c>
      <c r="I140" s="10" t="s">
        <v>16</v>
      </c>
      <c r="J140" s="10" t="s">
        <v>36</v>
      </c>
      <c r="K140" s="10" t="s">
        <v>37</v>
      </c>
      <c r="L140" s="10" t="s">
        <v>40</v>
      </c>
    </row>
    <row r="141" customFormat="false" ht="15.75" hidden="false" customHeight="false" outlineLevel="0" collapsed="false">
      <c r="A141" s="10" t="n">
        <v>15</v>
      </c>
      <c r="B141" s="10" t="n">
        <v>1394.01</v>
      </c>
      <c r="C141" s="10" t="s">
        <v>17</v>
      </c>
      <c r="D141" s="10" t="n">
        <v>5.5</v>
      </c>
      <c r="E141" s="10" t="n">
        <v>5.5</v>
      </c>
      <c r="F141" s="10" t="n">
        <v>0</v>
      </c>
      <c r="G141" s="10" t="n">
        <v>4</v>
      </c>
      <c r="H141" s="10" t="n">
        <v>35</v>
      </c>
      <c r="I141" s="10" t="s">
        <v>13</v>
      </c>
      <c r="J141" s="10" t="s">
        <v>39</v>
      </c>
      <c r="K141" s="10" t="s">
        <v>37</v>
      </c>
      <c r="L141" s="10" t="s">
        <v>41</v>
      </c>
    </row>
    <row r="142" customFormat="false" ht="15.75" hidden="false" customHeight="false" outlineLevel="0" collapsed="false">
      <c r="A142" s="10" t="n">
        <v>12</v>
      </c>
      <c r="B142" s="10" t="n">
        <v>961.19</v>
      </c>
      <c r="C142" s="10" t="s">
        <v>15</v>
      </c>
      <c r="D142" s="10" t="n">
        <v>2.5</v>
      </c>
      <c r="E142" s="10" t="n">
        <v>2.5</v>
      </c>
      <c r="F142" s="10" t="n">
        <v>0</v>
      </c>
      <c r="G142" s="10" t="n">
        <v>2</v>
      </c>
      <c r="H142" s="10" t="n">
        <v>44</v>
      </c>
      <c r="I142" s="10" t="s">
        <v>13</v>
      </c>
      <c r="J142" s="10" t="s">
        <v>39</v>
      </c>
      <c r="K142" s="10" t="s">
        <v>39</v>
      </c>
      <c r="L142" s="10" t="s">
        <v>40</v>
      </c>
    </row>
    <row r="143" customFormat="false" ht="15.75" hidden="false" customHeight="false" outlineLevel="0" collapsed="false">
      <c r="A143" s="10" t="n">
        <v>6</v>
      </c>
      <c r="B143" s="10" t="n">
        <v>362.3</v>
      </c>
      <c r="C143" s="10" t="s">
        <v>20</v>
      </c>
      <c r="D143" s="10" t="n">
        <v>0.5</v>
      </c>
      <c r="E143" s="10" t="n">
        <v>0.5</v>
      </c>
      <c r="F143" s="10" t="n">
        <v>0</v>
      </c>
      <c r="G143" s="10" t="n">
        <v>2</v>
      </c>
      <c r="H143" s="10" t="n">
        <v>27</v>
      </c>
      <c r="I143" s="10" t="s">
        <v>13</v>
      </c>
      <c r="J143" s="10" t="s">
        <v>38</v>
      </c>
      <c r="K143" s="10" t="s">
        <v>39</v>
      </c>
      <c r="L143" s="10" t="s">
        <v>42</v>
      </c>
    </row>
    <row r="144" customFormat="false" ht="15.75" hidden="false" customHeight="false" outlineLevel="0" collapsed="false">
      <c r="A144" s="10" t="n">
        <v>36</v>
      </c>
      <c r="B144" s="10" t="n">
        <v>2450.25</v>
      </c>
      <c r="C144" s="10" t="s">
        <v>20</v>
      </c>
      <c r="D144" s="10" t="n">
        <v>0.5</v>
      </c>
      <c r="E144" s="10" t="n">
        <v>0.5</v>
      </c>
      <c r="F144" s="10" t="n">
        <v>0</v>
      </c>
      <c r="G144" s="10" t="n">
        <v>4</v>
      </c>
      <c r="H144" s="10" t="n">
        <v>30</v>
      </c>
      <c r="I144" s="10" t="s">
        <v>13</v>
      </c>
      <c r="J144" s="10" t="s">
        <v>39</v>
      </c>
      <c r="K144" s="10" t="s">
        <v>37</v>
      </c>
      <c r="L144" s="10" t="s">
        <v>42</v>
      </c>
    </row>
    <row r="145" customFormat="false" ht="15.75" hidden="false" customHeight="false" outlineLevel="0" collapsed="false">
      <c r="A145" s="10" t="n">
        <v>27</v>
      </c>
      <c r="B145" s="10" t="n">
        <v>1745.58</v>
      </c>
      <c r="C145" s="10" t="s">
        <v>15</v>
      </c>
      <c r="D145" s="10" t="n">
        <v>2.5</v>
      </c>
      <c r="E145" s="10" t="n">
        <v>2.5</v>
      </c>
      <c r="F145" s="10" t="n">
        <v>0</v>
      </c>
      <c r="G145" s="10" t="n">
        <v>3</v>
      </c>
      <c r="H145" s="10" t="n">
        <v>27</v>
      </c>
      <c r="I145" s="10" t="s">
        <v>13</v>
      </c>
      <c r="J145" s="10" t="s">
        <v>38</v>
      </c>
      <c r="K145" s="10" t="s">
        <v>39</v>
      </c>
      <c r="L145" s="10" t="s">
        <v>40</v>
      </c>
    </row>
    <row r="146" customFormat="false" ht="15.75" hidden="false" customHeight="false" outlineLevel="0" collapsed="false">
      <c r="A146" s="10" t="n">
        <v>18</v>
      </c>
      <c r="B146" s="10" t="n">
        <v>1258.08</v>
      </c>
      <c r="C146" s="10" t="s">
        <v>15</v>
      </c>
      <c r="D146" s="10" t="n">
        <v>2.5</v>
      </c>
      <c r="E146" s="10" t="n">
        <v>2.5</v>
      </c>
      <c r="F146" s="10" t="n">
        <v>0</v>
      </c>
      <c r="G146" s="10" t="n">
        <v>2</v>
      </c>
      <c r="H146" s="10" t="n">
        <v>22</v>
      </c>
      <c r="I146" s="10" t="s">
        <v>16</v>
      </c>
      <c r="J146" s="10" t="s">
        <v>38</v>
      </c>
      <c r="K146" s="10" t="s">
        <v>39</v>
      </c>
      <c r="L146" s="10" t="s">
        <v>40</v>
      </c>
    </row>
    <row r="147" customFormat="false" ht="15.75" hidden="false" customHeight="false" outlineLevel="0" collapsed="false">
      <c r="A147" s="10" t="n">
        <v>21</v>
      </c>
      <c r="B147" s="10" t="n">
        <v>1169.17</v>
      </c>
      <c r="C147" s="10" t="s">
        <v>20</v>
      </c>
      <c r="D147" s="10" t="n">
        <v>0.5</v>
      </c>
      <c r="E147" s="10" t="n">
        <v>0.5</v>
      </c>
      <c r="F147" s="10" t="n">
        <v>0</v>
      </c>
      <c r="G147" s="10" t="n">
        <v>4</v>
      </c>
      <c r="H147" s="10" t="n">
        <v>23</v>
      </c>
      <c r="I147" s="10" t="s">
        <v>13</v>
      </c>
      <c r="J147" s="10" t="s">
        <v>38</v>
      </c>
      <c r="K147" s="10" t="s">
        <v>37</v>
      </c>
      <c r="L147" s="10" t="s">
        <v>42</v>
      </c>
    </row>
    <row r="148" customFormat="false" ht="15.75" hidden="false" customHeight="false" outlineLevel="0" collapsed="false">
      <c r="A148" s="10" t="n">
        <v>48</v>
      </c>
      <c r="B148" s="10" t="n">
        <v>1822.23</v>
      </c>
      <c r="C148" s="10" t="s">
        <v>17</v>
      </c>
      <c r="D148" s="10" t="n">
        <v>5.5</v>
      </c>
      <c r="E148" s="10" t="n">
        <v>5.5</v>
      </c>
      <c r="F148" s="10" t="n">
        <v>0</v>
      </c>
      <c r="G148" s="10" t="n">
        <v>4</v>
      </c>
      <c r="H148" s="10" t="n">
        <v>30</v>
      </c>
      <c r="I148" s="10" t="s">
        <v>13</v>
      </c>
      <c r="J148" s="10" t="s">
        <v>39</v>
      </c>
      <c r="K148" s="10" t="s">
        <v>37</v>
      </c>
      <c r="L148" s="10" t="s">
        <v>41</v>
      </c>
    </row>
    <row r="149" customFormat="false" ht="15.75" hidden="false" customHeight="false" outlineLevel="0" collapsed="false">
      <c r="A149" s="10" t="n">
        <v>6</v>
      </c>
      <c r="B149" s="10" t="n">
        <v>439.46</v>
      </c>
      <c r="C149" s="10" t="s">
        <v>12</v>
      </c>
      <c r="D149" s="10" t="n">
        <v>8</v>
      </c>
      <c r="E149" s="10" t="n">
        <v>8</v>
      </c>
      <c r="F149" s="10" t="n">
        <v>0</v>
      </c>
      <c r="G149" s="10" t="n">
        <v>1</v>
      </c>
      <c r="H149" s="10" t="n">
        <v>39</v>
      </c>
      <c r="I149" s="10" t="s">
        <v>13</v>
      </c>
      <c r="J149" s="10" t="s">
        <v>39</v>
      </c>
      <c r="K149" s="10" t="s">
        <v>43</v>
      </c>
      <c r="L149" s="10" t="s">
        <v>37</v>
      </c>
    </row>
    <row r="150" customFormat="false" ht="15.75" hidden="false" customHeight="false" outlineLevel="0" collapsed="false">
      <c r="A150" s="10" t="n">
        <v>12</v>
      </c>
      <c r="B150" s="10" t="n">
        <v>348.5</v>
      </c>
      <c r="C150" s="10" t="s">
        <v>17</v>
      </c>
      <c r="D150" s="10" t="n">
        <v>5.5</v>
      </c>
      <c r="E150" s="10" t="n">
        <v>5.5</v>
      </c>
      <c r="F150" s="10" t="n">
        <v>0</v>
      </c>
      <c r="G150" s="10" t="n">
        <v>4</v>
      </c>
      <c r="H150" s="10" t="n">
        <v>51</v>
      </c>
      <c r="I150" s="10" t="s">
        <v>13</v>
      </c>
      <c r="J150" s="10" t="s">
        <v>36</v>
      </c>
      <c r="K150" s="10" t="s">
        <v>37</v>
      </c>
      <c r="L150" s="10" t="s">
        <v>41</v>
      </c>
    </row>
    <row r="151" customFormat="false" ht="15.75" hidden="false" customHeight="false" outlineLevel="0" collapsed="false">
      <c r="A151" s="10" t="n">
        <v>36</v>
      </c>
      <c r="B151" s="10" t="n">
        <v>2744.58</v>
      </c>
      <c r="C151" s="10" t="s">
        <v>15</v>
      </c>
      <c r="D151" s="10" t="n">
        <v>2.5</v>
      </c>
      <c r="E151" s="10" t="n">
        <v>2.5</v>
      </c>
      <c r="F151" s="10" t="n">
        <v>0</v>
      </c>
      <c r="G151" s="10" t="n">
        <v>3</v>
      </c>
      <c r="H151" s="10" t="n">
        <v>28</v>
      </c>
      <c r="I151" s="10" t="s">
        <v>13</v>
      </c>
      <c r="J151" s="10" t="s">
        <v>38</v>
      </c>
      <c r="K151" s="10" t="s">
        <v>39</v>
      </c>
      <c r="L151" s="10" t="s">
        <v>40</v>
      </c>
    </row>
    <row r="152" customFormat="false" ht="15.75" hidden="false" customHeight="false" outlineLevel="0" collapsed="false">
      <c r="A152" s="10" t="n">
        <v>18</v>
      </c>
      <c r="B152" s="10" t="n">
        <v>808.4</v>
      </c>
      <c r="C152" s="10" t="s">
        <v>12</v>
      </c>
      <c r="D152" s="10" t="n">
        <v>8</v>
      </c>
      <c r="E152" s="10" t="n">
        <v>8</v>
      </c>
      <c r="F152" s="10" t="n">
        <v>0</v>
      </c>
      <c r="G152" s="10" t="n">
        <v>4</v>
      </c>
      <c r="H152" s="10" t="n">
        <v>46</v>
      </c>
      <c r="I152" s="10" t="s">
        <v>13</v>
      </c>
      <c r="J152" s="10" t="s">
        <v>39</v>
      </c>
      <c r="K152" s="10" t="s">
        <v>37</v>
      </c>
      <c r="L152" s="10" t="s">
        <v>37</v>
      </c>
    </row>
    <row r="153" customFormat="false" ht="15.75" hidden="false" customHeight="false" outlineLevel="0" collapsed="false">
      <c r="A153" s="10" t="n">
        <v>6</v>
      </c>
      <c r="B153" s="10" t="n">
        <v>687.81</v>
      </c>
      <c r="C153" s="10" t="s">
        <v>12</v>
      </c>
      <c r="D153" s="10" t="n">
        <v>8</v>
      </c>
      <c r="E153" s="10" t="n">
        <v>8</v>
      </c>
      <c r="F153" s="10" t="n">
        <v>0</v>
      </c>
      <c r="G153" s="10" t="n">
        <v>2</v>
      </c>
      <c r="H153" s="10" t="n">
        <v>42</v>
      </c>
      <c r="I153" s="10" t="s">
        <v>13</v>
      </c>
      <c r="J153" s="10" t="s">
        <v>39</v>
      </c>
      <c r="K153" s="10" t="s">
        <v>39</v>
      </c>
      <c r="L153" s="10" t="s">
        <v>37</v>
      </c>
    </row>
    <row r="154" customFormat="false" ht="15.75" hidden="false" customHeight="false" outlineLevel="0" collapsed="false">
      <c r="A154" s="10" t="n">
        <v>10</v>
      </c>
      <c r="B154" s="10" t="n">
        <v>983.16</v>
      </c>
      <c r="C154" s="10" t="s">
        <v>15</v>
      </c>
      <c r="D154" s="10" t="n">
        <v>2.5</v>
      </c>
      <c r="E154" s="10" t="n">
        <v>2.5</v>
      </c>
      <c r="F154" s="10" t="n">
        <v>0</v>
      </c>
      <c r="G154" s="10" t="n">
        <v>1</v>
      </c>
      <c r="H154" s="10" t="n">
        <v>38</v>
      </c>
      <c r="I154" s="10" t="s">
        <v>13</v>
      </c>
      <c r="J154" s="10" t="s">
        <v>39</v>
      </c>
      <c r="K154" s="10" t="s">
        <v>43</v>
      </c>
      <c r="L154" s="10" t="s">
        <v>40</v>
      </c>
    </row>
    <row r="155" customFormat="false" ht="15.75" hidden="false" customHeight="false" outlineLevel="0" collapsed="false">
      <c r="A155" s="10" t="n">
        <v>36</v>
      </c>
      <c r="B155" s="10" t="n">
        <v>2988.33</v>
      </c>
      <c r="C155" s="10" t="s">
        <v>15</v>
      </c>
      <c r="D155" s="10" t="n">
        <v>2.5</v>
      </c>
      <c r="E155" s="10" t="n">
        <v>2.5</v>
      </c>
      <c r="F155" s="10" t="n">
        <v>0</v>
      </c>
      <c r="G155" s="10" t="n">
        <v>4</v>
      </c>
      <c r="H155" s="10" t="n">
        <v>24</v>
      </c>
      <c r="I155" s="10" t="s">
        <v>13</v>
      </c>
      <c r="J155" s="10" t="s">
        <v>38</v>
      </c>
      <c r="K155" s="10" t="s">
        <v>37</v>
      </c>
      <c r="L155" s="10" t="s">
        <v>40</v>
      </c>
    </row>
    <row r="156" customFormat="false" ht="15.75" hidden="false" customHeight="false" outlineLevel="0" collapsed="false">
      <c r="A156" s="10" t="n">
        <v>24</v>
      </c>
      <c r="B156" s="10" t="n">
        <v>3964.34</v>
      </c>
      <c r="C156" s="10" t="s">
        <v>12</v>
      </c>
      <c r="D156" s="10" t="n">
        <v>8</v>
      </c>
      <c r="E156" s="10" t="n">
        <v>8</v>
      </c>
      <c r="F156" s="10" t="n">
        <v>0</v>
      </c>
      <c r="G156" s="10" t="n">
        <v>2</v>
      </c>
      <c r="H156" s="10" t="n">
        <v>29</v>
      </c>
      <c r="I156" s="10" t="s">
        <v>13</v>
      </c>
      <c r="J156" s="10" t="s">
        <v>38</v>
      </c>
      <c r="K156" s="10" t="s">
        <v>39</v>
      </c>
      <c r="L156" s="10" t="s">
        <v>37</v>
      </c>
    </row>
    <row r="157" customFormat="false" ht="15.75" hidden="false" customHeight="false" outlineLevel="0" collapsed="false">
      <c r="A157" s="10" t="n">
        <v>24</v>
      </c>
      <c r="B157" s="10" t="n">
        <v>3560.14</v>
      </c>
      <c r="C157" s="10" t="s">
        <v>17</v>
      </c>
      <c r="D157" s="10" t="n">
        <v>5.5</v>
      </c>
      <c r="E157" s="10" t="n">
        <v>5.5</v>
      </c>
      <c r="F157" s="10" t="n">
        <v>0</v>
      </c>
      <c r="G157" s="10" t="n">
        <v>4</v>
      </c>
      <c r="H157" s="10" t="n">
        <v>36</v>
      </c>
      <c r="I157" s="10" t="s">
        <v>13</v>
      </c>
      <c r="J157" s="10" t="s">
        <v>39</v>
      </c>
      <c r="K157" s="10" t="s">
        <v>37</v>
      </c>
      <c r="L157" s="10" t="s">
        <v>41</v>
      </c>
    </row>
    <row r="158" customFormat="false" ht="15.75" hidden="false" customHeight="false" outlineLevel="0" collapsed="false">
      <c r="A158" s="10" t="n">
        <v>12</v>
      </c>
      <c r="B158" s="10" t="n">
        <v>655.1</v>
      </c>
      <c r="C158" s="10" t="s">
        <v>15</v>
      </c>
      <c r="D158" s="10" t="n">
        <v>2.5</v>
      </c>
      <c r="E158" s="10" t="n">
        <v>2</v>
      </c>
      <c r="F158" s="10" t="n">
        <v>1</v>
      </c>
      <c r="G158" s="10" t="n">
        <v>2</v>
      </c>
      <c r="H158" s="10" t="n">
        <v>20</v>
      </c>
      <c r="I158" s="10" t="s">
        <v>16</v>
      </c>
      <c r="J158" s="10" t="s">
        <v>38</v>
      </c>
      <c r="K158" s="10" t="s">
        <v>39</v>
      </c>
      <c r="L158" s="10" t="s">
        <v>42</v>
      </c>
    </row>
    <row r="159" customFormat="false" ht="15.75" hidden="false" customHeight="false" outlineLevel="0" collapsed="false">
      <c r="A159" s="10" t="n">
        <v>9</v>
      </c>
      <c r="B159" s="10" t="n">
        <v>658.17</v>
      </c>
      <c r="C159" s="10" t="s">
        <v>12</v>
      </c>
      <c r="D159" s="10" t="n">
        <v>8</v>
      </c>
      <c r="E159" s="10" t="n">
        <v>8</v>
      </c>
      <c r="F159" s="10" t="n">
        <v>0</v>
      </c>
      <c r="G159" s="10" t="n">
        <v>3</v>
      </c>
      <c r="H159" s="10" t="n">
        <v>48</v>
      </c>
      <c r="I159" s="10" t="s">
        <v>13</v>
      </c>
      <c r="J159" s="10" t="s">
        <v>39</v>
      </c>
      <c r="K159" s="10" t="s">
        <v>39</v>
      </c>
      <c r="L159" s="10" t="s">
        <v>37</v>
      </c>
    </row>
    <row r="160" customFormat="false" ht="15.75" hidden="false" customHeight="false" outlineLevel="0" collapsed="false">
      <c r="A160" s="10" t="n">
        <v>12</v>
      </c>
      <c r="B160" s="10" t="n">
        <v>173.23</v>
      </c>
      <c r="C160" s="10" t="s">
        <v>12</v>
      </c>
      <c r="D160" s="10" t="n">
        <v>8</v>
      </c>
      <c r="E160" s="10" t="n">
        <v>8</v>
      </c>
      <c r="F160" s="10" t="n">
        <v>0</v>
      </c>
      <c r="G160" s="10" t="n">
        <v>4</v>
      </c>
      <c r="H160" s="10" t="n">
        <v>45</v>
      </c>
      <c r="I160" s="10" t="s">
        <v>13</v>
      </c>
      <c r="J160" s="10" t="s">
        <v>39</v>
      </c>
      <c r="K160" s="10" t="s">
        <v>37</v>
      </c>
      <c r="L160" s="10" t="s">
        <v>37</v>
      </c>
    </row>
    <row r="161" customFormat="false" ht="15.75" hidden="false" customHeight="false" outlineLevel="0" collapsed="false">
      <c r="A161" s="10" t="n">
        <v>24</v>
      </c>
      <c r="B161" s="10" t="n">
        <v>1794.63</v>
      </c>
      <c r="C161" s="10" t="s">
        <v>17</v>
      </c>
      <c r="D161" s="10" t="n">
        <v>5.5</v>
      </c>
      <c r="E161" s="10" t="n">
        <v>5.5</v>
      </c>
      <c r="F161" s="10" t="n">
        <v>0</v>
      </c>
      <c r="G161" s="10" t="n">
        <v>2</v>
      </c>
      <c r="H161" s="10" t="n">
        <v>38</v>
      </c>
      <c r="I161" s="10" t="s">
        <v>13</v>
      </c>
      <c r="J161" s="10" t="s">
        <v>39</v>
      </c>
      <c r="K161" s="10" t="s">
        <v>39</v>
      </c>
      <c r="L161" s="10" t="s">
        <v>41</v>
      </c>
    </row>
    <row r="162" customFormat="false" ht="15.75" hidden="false" customHeight="false" outlineLevel="0" collapsed="false">
      <c r="A162" s="10" t="n">
        <v>6</v>
      </c>
      <c r="B162" s="10" t="n">
        <v>969.88</v>
      </c>
      <c r="C162" s="10" t="s">
        <v>15</v>
      </c>
      <c r="D162" s="10" t="n">
        <v>2.5</v>
      </c>
      <c r="E162" s="10" t="n">
        <v>2.5</v>
      </c>
      <c r="F162" s="10" t="n">
        <v>0</v>
      </c>
      <c r="G162" s="10" t="n">
        <v>1</v>
      </c>
      <c r="H162" s="10" t="n">
        <v>34</v>
      </c>
      <c r="I162" s="10" t="s">
        <v>13</v>
      </c>
      <c r="J162" s="10" t="s">
        <v>39</v>
      </c>
      <c r="K162" s="10" t="s">
        <v>43</v>
      </c>
      <c r="L162" s="10" t="s">
        <v>40</v>
      </c>
    </row>
    <row r="163" customFormat="false" ht="15.75" hidden="false" customHeight="false" outlineLevel="0" collapsed="false">
      <c r="A163" s="10" t="n">
        <v>24</v>
      </c>
      <c r="B163" s="10" t="n">
        <v>1467.59</v>
      </c>
      <c r="C163" s="10" t="s">
        <v>12</v>
      </c>
      <c r="D163" s="10" t="n">
        <v>8</v>
      </c>
      <c r="E163" s="10" t="n">
        <v>8</v>
      </c>
      <c r="F163" s="10" t="n">
        <v>0</v>
      </c>
      <c r="G163" s="10" t="n">
        <v>3</v>
      </c>
      <c r="H163" s="10" t="n">
        <v>36</v>
      </c>
      <c r="I163" s="10" t="s">
        <v>13</v>
      </c>
      <c r="J163" s="10" t="s">
        <v>39</v>
      </c>
      <c r="K163" s="10" t="s">
        <v>39</v>
      </c>
      <c r="L163" s="10" t="s">
        <v>37</v>
      </c>
    </row>
    <row r="164" customFormat="false" ht="15.75" hidden="false" customHeight="false" outlineLevel="0" collapsed="false">
      <c r="A164" s="10" t="n">
        <v>18</v>
      </c>
      <c r="B164" s="10" t="n">
        <v>539.11</v>
      </c>
      <c r="C164" s="10" t="s">
        <v>20</v>
      </c>
      <c r="D164" s="10" t="n">
        <v>0.5</v>
      </c>
      <c r="E164" s="10" t="n">
        <v>0.5</v>
      </c>
      <c r="F164" s="10" t="n">
        <v>0</v>
      </c>
      <c r="G164" s="10" t="n">
        <v>4</v>
      </c>
      <c r="H164" s="10" t="n">
        <v>30</v>
      </c>
      <c r="I164" s="10" t="s">
        <v>13</v>
      </c>
      <c r="J164" s="10" t="s">
        <v>39</v>
      </c>
      <c r="K164" s="10" t="s">
        <v>37</v>
      </c>
      <c r="L164" s="10" t="s">
        <v>42</v>
      </c>
    </row>
    <row r="165" customFormat="false" ht="15.75" hidden="false" customHeight="false" outlineLevel="0" collapsed="false">
      <c r="A165" s="10" t="n">
        <v>15</v>
      </c>
      <c r="B165" s="10" t="n">
        <v>644.88</v>
      </c>
      <c r="C165" s="10" t="s">
        <v>17</v>
      </c>
      <c r="D165" s="10" t="n">
        <v>5.5</v>
      </c>
      <c r="E165" s="10" t="n">
        <v>5.5</v>
      </c>
      <c r="F165" s="10" t="n">
        <v>0</v>
      </c>
      <c r="G165" s="10" t="n">
        <v>4</v>
      </c>
      <c r="H165" s="10" t="n">
        <v>36</v>
      </c>
      <c r="I165" s="10" t="s">
        <v>13</v>
      </c>
      <c r="J165" s="10" t="s">
        <v>39</v>
      </c>
      <c r="K165" s="10" t="s">
        <v>37</v>
      </c>
      <c r="L165" s="10" t="s">
        <v>41</v>
      </c>
    </row>
    <row r="166" customFormat="false" ht="15.75" hidden="false" customHeight="false" outlineLevel="0" collapsed="false">
      <c r="A166" s="10" t="n">
        <v>10</v>
      </c>
      <c r="B166" s="10" t="n">
        <v>3734.39</v>
      </c>
      <c r="C166" s="10" t="s">
        <v>19</v>
      </c>
      <c r="D166" s="10" t="n">
        <v>0</v>
      </c>
      <c r="E166" s="10" t="n">
        <v>0</v>
      </c>
      <c r="F166" s="10" t="n">
        <v>0</v>
      </c>
      <c r="G166" s="10" t="n">
        <v>2</v>
      </c>
      <c r="H166" s="10" t="n">
        <v>70</v>
      </c>
      <c r="I166" s="10" t="s">
        <v>13</v>
      </c>
      <c r="J166" s="10" t="s">
        <v>36</v>
      </c>
      <c r="K166" s="10" t="s">
        <v>39</v>
      </c>
      <c r="L166" s="10" t="s">
        <v>19</v>
      </c>
    </row>
    <row r="167" customFormat="false" ht="15.75" hidden="false" customHeight="false" outlineLevel="0" collapsed="false">
      <c r="A167" s="10" t="n">
        <v>36</v>
      </c>
      <c r="B167" s="10" t="n">
        <v>464.5</v>
      </c>
      <c r="C167" s="10" t="s">
        <v>12</v>
      </c>
      <c r="D167" s="10" t="n">
        <v>8</v>
      </c>
      <c r="E167" s="10" t="n">
        <v>8</v>
      </c>
      <c r="F167" s="10" t="n">
        <v>0</v>
      </c>
      <c r="G167" s="10" t="n">
        <v>4</v>
      </c>
      <c r="H167" s="10" t="n">
        <v>36</v>
      </c>
      <c r="I167" s="10" t="s">
        <v>13</v>
      </c>
      <c r="J167" s="10" t="s">
        <v>39</v>
      </c>
      <c r="K167" s="10" t="s">
        <v>37</v>
      </c>
      <c r="L167" s="10" t="s">
        <v>37</v>
      </c>
    </row>
    <row r="168" customFormat="false" ht="15.75" hidden="false" customHeight="false" outlineLevel="0" collapsed="false">
      <c r="A168" s="10" t="n">
        <v>6</v>
      </c>
      <c r="B168" s="10" t="n">
        <v>1521.76</v>
      </c>
      <c r="C168" s="10" t="s">
        <v>15</v>
      </c>
      <c r="D168" s="10" t="n">
        <v>2.5</v>
      </c>
      <c r="E168" s="10" t="n">
        <v>2.5</v>
      </c>
      <c r="F168" s="10" t="n">
        <v>0</v>
      </c>
      <c r="G168" s="10" t="n">
        <v>1</v>
      </c>
      <c r="H168" s="10" t="n">
        <v>32</v>
      </c>
      <c r="I168" s="10" t="s">
        <v>13</v>
      </c>
      <c r="J168" s="10" t="s">
        <v>39</v>
      </c>
      <c r="K168" s="10" t="s">
        <v>43</v>
      </c>
      <c r="L168" s="10" t="s">
        <v>40</v>
      </c>
    </row>
    <row r="169" customFormat="false" ht="15.75" hidden="false" customHeight="false" outlineLevel="0" collapsed="false">
      <c r="A169" s="10" t="n">
        <v>18</v>
      </c>
      <c r="B169" s="10" t="n">
        <v>577.94</v>
      </c>
      <c r="C169" s="10" t="s">
        <v>19</v>
      </c>
      <c r="D169" s="10" t="n">
        <v>0</v>
      </c>
      <c r="E169" s="10" t="n">
        <v>0</v>
      </c>
      <c r="F169" s="10" t="n">
        <v>0</v>
      </c>
      <c r="G169" s="10" t="n">
        <v>4</v>
      </c>
      <c r="H169" s="10" t="n">
        <v>33</v>
      </c>
      <c r="I169" s="10" t="s">
        <v>16</v>
      </c>
      <c r="J169" s="10" t="s">
        <v>39</v>
      </c>
      <c r="K169" s="10" t="s">
        <v>37</v>
      </c>
      <c r="L169" s="10" t="s">
        <v>19</v>
      </c>
    </row>
    <row r="170" customFormat="false" ht="15.75" hidden="false" customHeight="false" outlineLevel="0" collapsed="false">
      <c r="A170" s="10" t="n">
        <v>11</v>
      </c>
      <c r="B170" s="10" t="n">
        <v>805.85</v>
      </c>
      <c r="C170" s="10" t="s">
        <v>20</v>
      </c>
      <c r="D170" s="10" t="n">
        <v>0.5</v>
      </c>
      <c r="E170" s="10" t="n">
        <v>0.5</v>
      </c>
      <c r="F170" s="10" t="n">
        <v>0</v>
      </c>
      <c r="G170" s="10" t="n">
        <v>4</v>
      </c>
      <c r="H170" s="10" t="n">
        <v>20</v>
      </c>
      <c r="I170" s="10" t="s">
        <v>13</v>
      </c>
      <c r="J170" s="10" t="s">
        <v>38</v>
      </c>
      <c r="K170" s="10" t="s">
        <v>37</v>
      </c>
      <c r="L170" s="10" t="s">
        <v>42</v>
      </c>
    </row>
    <row r="171" customFormat="false" ht="15.75" hidden="false" customHeight="false" outlineLevel="0" collapsed="false">
      <c r="A171" s="10" t="n">
        <v>24</v>
      </c>
      <c r="B171" s="10" t="n">
        <v>2029.69</v>
      </c>
      <c r="C171" s="10" t="s">
        <v>17</v>
      </c>
      <c r="D171" s="10" t="n">
        <v>5.5</v>
      </c>
      <c r="E171" s="10" t="n">
        <v>5.5</v>
      </c>
      <c r="F171" s="10" t="n">
        <v>0</v>
      </c>
      <c r="G171" s="10" t="n">
        <v>2</v>
      </c>
      <c r="H171" s="10" t="n">
        <v>25</v>
      </c>
      <c r="I171" s="10" t="s">
        <v>13</v>
      </c>
      <c r="J171" s="10" t="s">
        <v>38</v>
      </c>
      <c r="K171" s="10" t="s">
        <v>39</v>
      </c>
      <c r="L171" s="10" t="s">
        <v>41</v>
      </c>
    </row>
    <row r="172" customFormat="false" ht="15.75" hidden="false" customHeight="false" outlineLevel="0" collapsed="false">
      <c r="A172" s="10" t="n">
        <v>24</v>
      </c>
      <c r="B172" s="10" t="n">
        <v>988.79</v>
      </c>
      <c r="C172" s="10" t="s">
        <v>12</v>
      </c>
      <c r="D172" s="10" t="n">
        <v>8</v>
      </c>
      <c r="E172" s="10" t="n">
        <v>8</v>
      </c>
      <c r="F172" s="10" t="n">
        <v>0</v>
      </c>
      <c r="G172" s="10" t="n">
        <v>4</v>
      </c>
      <c r="H172" s="10" t="n">
        <v>31</v>
      </c>
      <c r="I172" s="10" t="s">
        <v>16</v>
      </c>
      <c r="J172" s="10" t="s">
        <v>39</v>
      </c>
      <c r="K172" s="10" t="s">
        <v>37</v>
      </c>
      <c r="L172" s="10" t="s">
        <v>37</v>
      </c>
    </row>
    <row r="173" customFormat="false" ht="15.75" hidden="false" customHeight="false" outlineLevel="0" collapsed="false">
      <c r="A173" s="10" t="n">
        <v>15</v>
      </c>
      <c r="B173" s="10" t="n">
        <v>485.45</v>
      </c>
      <c r="C173" s="10" t="s">
        <v>12</v>
      </c>
      <c r="D173" s="10" t="n">
        <v>8</v>
      </c>
      <c r="E173" s="10" t="n">
        <v>8</v>
      </c>
      <c r="F173" s="10" t="n">
        <v>0</v>
      </c>
      <c r="G173" s="10" t="n">
        <v>4</v>
      </c>
      <c r="H173" s="10" t="n">
        <v>33</v>
      </c>
      <c r="I173" s="10" t="s">
        <v>16</v>
      </c>
      <c r="J173" s="10" t="s">
        <v>39</v>
      </c>
      <c r="K173" s="10" t="s">
        <v>37</v>
      </c>
      <c r="L173" s="10" t="s">
        <v>37</v>
      </c>
    </row>
    <row r="174" customFormat="false" ht="15.75" hidden="false" customHeight="false" outlineLevel="0" collapsed="false">
      <c r="A174" s="10" t="n">
        <v>12</v>
      </c>
      <c r="B174" s="10" t="n">
        <v>389.89</v>
      </c>
      <c r="C174" s="10" t="s">
        <v>15</v>
      </c>
      <c r="D174" s="10" t="n">
        <v>2.5</v>
      </c>
      <c r="E174" s="10" t="n">
        <v>2.5</v>
      </c>
      <c r="F174" s="10" t="n">
        <v>0</v>
      </c>
      <c r="G174" s="10" t="n">
        <v>4</v>
      </c>
      <c r="H174" s="10" t="n">
        <v>26</v>
      </c>
      <c r="I174" s="10" t="s">
        <v>13</v>
      </c>
      <c r="J174" s="10" t="s">
        <v>38</v>
      </c>
      <c r="K174" s="10" t="s">
        <v>37</v>
      </c>
      <c r="L174" s="10" t="s">
        <v>40</v>
      </c>
    </row>
    <row r="175" customFormat="false" ht="15.75" hidden="false" customHeight="false" outlineLevel="0" collapsed="false">
      <c r="A175" s="10" t="n">
        <v>24</v>
      </c>
      <c r="B175" s="10" t="n">
        <v>1054.7</v>
      </c>
      <c r="C175" s="10" t="s">
        <v>19</v>
      </c>
      <c r="D175" s="10" t="n">
        <v>0</v>
      </c>
      <c r="E175" s="10" t="n">
        <v>0</v>
      </c>
      <c r="F175" s="10" t="n">
        <v>0</v>
      </c>
      <c r="G175" s="10" t="n">
        <v>3</v>
      </c>
      <c r="H175" s="10" t="n">
        <v>34</v>
      </c>
      <c r="I175" s="10" t="s">
        <v>16</v>
      </c>
      <c r="J175" s="10" t="s">
        <v>39</v>
      </c>
      <c r="K175" s="10" t="s">
        <v>39</v>
      </c>
      <c r="L175" s="10" t="s">
        <v>19</v>
      </c>
    </row>
    <row r="176" customFormat="false" ht="15.75" hidden="false" customHeight="false" outlineLevel="0" collapsed="false">
      <c r="A176" s="10" t="n">
        <v>8</v>
      </c>
      <c r="B176" s="10" t="n">
        <v>722.55</v>
      </c>
      <c r="C176" s="10" t="s">
        <v>15</v>
      </c>
      <c r="D176" s="10" t="n">
        <v>2.5</v>
      </c>
      <c r="E176" s="10" t="n">
        <v>2.5</v>
      </c>
      <c r="F176" s="10" t="n">
        <v>0</v>
      </c>
      <c r="G176" s="10" t="n">
        <v>4</v>
      </c>
      <c r="H176" s="10" t="n">
        <v>33</v>
      </c>
      <c r="I176" s="10" t="s">
        <v>13</v>
      </c>
      <c r="J176" s="10" t="s">
        <v>39</v>
      </c>
      <c r="K176" s="10" t="s">
        <v>37</v>
      </c>
      <c r="L176" s="10" t="s">
        <v>40</v>
      </c>
    </row>
    <row r="177" customFormat="false" ht="15.75" hidden="false" customHeight="false" outlineLevel="0" collapsed="false">
      <c r="A177" s="10" t="n">
        <v>21</v>
      </c>
      <c r="B177" s="10" t="n">
        <v>1744.55</v>
      </c>
      <c r="C177" s="10" t="s">
        <v>20</v>
      </c>
      <c r="D177" s="10" t="n">
        <v>0.5</v>
      </c>
      <c r="E177" s="10" t="n">
        <v>0.5</v>
      </c>
      <c r="F177" s="10" t="n">
        <v>0</v>
      </c>
      <c r="G177" s="10" t="n">
        <v>2</v>
      </c>
      <c r="H177" s="10" t="n">
        <v>26</v>
      </c>
      <c r="I177" s="10" t="s">
        <v>16</v>
      </c>
      <c r="J177" s="10" t="s">
        <v>38</v>
      </c>
      <c r="K177" s="10" t="s">
        <v>39</v>
      </c>
      <c r="L177" s="10" t="s">
        <v>42</v>
      </c>
    </row>
    <row r="178" customFormat="false" ht="15.75" hidden="false" customHeight="false" outlineLevel="0" collapsed="false">
      <c r="A178" s="10" t="n">
        <v>30</v>
      </c>
      <c r="B178" s="10" t="n">
        <v>3824.84</v>
      </c>
      <c r="C178" s="10" t="s">
        <v>19</v>
      </c>
      <c r="D178" s="10" t="n">
        <v>0</v>
      </c>
      <c r="E178" s="10" t="n">
        <v>0</v>
      </c>
      <c r="F178" s="10" t="n">
        <v>0</v>
      </c>
      <c r="G178" s="10" t="n">
        <v>4</v>
      </c>
      <c r="H178" s="10" t="n">
        <v>53</v>
      </c>
      <c r="I178" s="10" t="s">
        <v>16</v>
      </c>
      <c r="J178" s="10" t="s">
        <v>36</v>
      </c>
      <c r="K178" s="10" t="s">
        <v>37</v>
      </c>
      <c r="L178" s="10" t="s">
        <v>19</v>
      </c>
    </row>
    <row r="179" customFormat="false" ht="15.75" hidden="false" customHeight="false" outlineLevel="0" collapsed="false">
      <c r="A179" s="10" t="n">
        <v>12</v>
      </c>
      <c r="B179" s="10" t="n">
        <v>1316.85</v>
      </c>
      <c r="C179" s="10" t="s">
        <v>15</v>
      </c>
      <c r="D179" s="10" t="n">
        <v>2.5</v>
      </c>
      <c r="E179" s="10" t="n">
        <v>2.5</v>
      </c>
      <c r="F179" s="10" t="n">
        <v>0</v>
      </c>
      <c r="G179" s="10" t="n">
        <v>2</v>
      </c>
      <c r="H179" s="10" t="n">
        <v>42</v>
      </c>
      <c r="I179" s="10" t="s">
        <v>13</v>
      </c>
      <c r="J179" s="10" t="s">
        <v>39</v>
      </c>
      <c r="K179" s="10" t="s">
        <v>39</v>
      </c>
      <c r="L179" s="10" t="s">
        <v>40</v>
      </c>
    </row>
    <row r="180" customFormat="false" ht="15.75" hidden="false" customHeight="false" outlineLevel="0" collapsed="false">
      <c r="A180" s="10" t="n">
        <v>6</v>
      </c>
      <c r="B180" s="10" t="n">
        <v>172.72</v>
      </c>
      <c r="C180" s="10" t="s">
        <v>12</v>
      </c>
      <c r="D180" s="10" t="n">
        <v>8</v>
      </c>
      <c r="E180" s="10" t="n">
        <v>8</v>
      </c>
      <c r="F180" s="10" t="n">
        <v>0</v>
      </c>
      <c r="G180" s="10" t="n">
        <v>4</v>
      </c>
      <c r="H180" s="10" t="n">
        <v>52</v>
      </c>
      <c r="I180" s="10" t="s">
        <v>13</v>
      </c>
      <c r="J180" s="10" t="s">
        <v>36</v>
      </c>
      <c r="K180" s="10" t="s">
        <v>37</v>
      </c>
      <c r="L180" s="10" t="s">
        <v>37</v>
      </c>
    </row>
    <row r="181" customFormat="false" ht="15.75" hidden="false" customHeight="false" outlineLevel="0" collapsed="false">
      <c r="A181" s="10" t="n">
        <v>12</v>
      </c>
      <c r="B181" s="10" t="n">
        <v>1003.09</v>
      </c>
      <c r="C181" s="10" t="s">
        <v>17</v>
      </c>
      <c r="D181" s="10" t="n">
        <v>5.5</v>
      </c>
      <c r="E181" s="10" t="n">
        <v>5.5</v>
      </c>
      <c r="F181" s="10" t="n">
        <v>0</v>
      </c>
      <c r="G181" s="10" t="n">
        <v>4</v>
      </c>
      <c r="H181" s="10" t="n">
        <v>31</v>
      </c>
      <c r="I181" s="10" t="s">
        <v>13</v>
      </c>
      <c r="J181" s="10" t="s">
        <v>39</v>
      </c>
      <c r="K181" s="10" t="s">
        <v>37</v>
      </c>
      <c r="L181" s="10" t="s">
        <v>41</v>
      </c>
    </row>
    <row r="182" customFormat="false" ht="15.75" hidden="false" customHeight="false" outlineLevel="0" collapsed="false">
      <c r="A182" s="10" t="n">
        <v>21</v>
      </c>
      <c r="B182" s="10" t="n">
        <v>291.78</v>
      </c>
      <c r="C182" s="10" t="s">
        <v>12</v>
      </c>
      <c r="D182" s="10" t="n">
        <v>8</v>
      </c>
      <c r="E182" s="10" t="n">
        <v>8</v>
      </c>
      <c r="F182" s="10" t="n">
        <v>0</v>
      </c>
      <c r="G182" s="10" t="n">
        <v>4</v>
      </c>
      <c r="H182" s="10" t="n">
        <v>65</v>
      </c>
      <c r="I182" s="10" t="s">
        <v>13</v>
      </c>
      <c r="J182" s="10" t="s">
        <v>36</v>
      </c>
      <c r="K182" s="10" t="s">
        <v>37</v>
      </c>
      <c r="L182" s="10" t="s">
        <v>37</v>
      </c>
    </row>
    <row r="183" customFormat="false" ht="15.75" hidden="false" customHeight="false" outlineLevel="0" collapsed="false">
      <c r="A183" s="10" t="n">
        <v>36</v>
      </c>
      <c r="B183" s="10" t="n">
        <v>4891.29</v>
      </c>
      <c r="C183" s="10" t="s">
        <v>20</v>
      </c>
      <c r="D183" s="10" t="n">
        <v>0.5</v>
      </c>
      <c r="E183" s="10" t="n">
        <v>0.5</v>
      </c>
      <c r="F183" s="10" t="n">
        <v>0</v>
      </c>
      <c r="G183" s="10" t="n">
        <v>1</v>
      </c>
      <c r="H183" s="10" t="n">
        <v>28</v>
      </c>
      <c r="I183" s="10" t="s">
        <v>16</v>
      </c>
      <c r="J183" s="10" t="s">
        <v>38</v>
      </c>
      <c r="K183" s="10" t="s">
        <v>43</v>
      </c>
      <c r="L183" s="10" t="s">
        <v>42</v>
      </c>
    </row>
    <row r="184" customFormat="false" ht="15.75" hidden="false" customHeight="false" outlineLevel="0" collapsed="false">
      <c r="A184" s="10" t="n">
        <v>36</v>
      </c>
      <c r="B184" s="10" t="n">
        <v>2276.51</v>
      </c>
      <c r="C184" s="10" t="s">
        <v>15</v>
      </c>
      <c r="D184" s="10" t="n">
        <v>2.5</v>
      </c>
      <c r="E184" s="10" t="n">
        <v>2.5</v>
      </c>
      <c r="F184" s="10" t="n">
        <v>0</v>
      </c>
      <c r="G184" s="10" t="n">
        <v>2</v>
      </c>
      <c r="H184" s="10" t="n">
        <v>30</v>
      </c>
      <c r="I184" s="10" t="s">
        <v>16</v>
      </c>
      <c r="J184" s="10" t="s">
        <v>39</v>
      </c>
      <c r="K184" s="10" t="s">
        <v>39</v>
      </c>
      <c r="L184" s="10" t="s">
        <v>40</v>
      </c>
    </row>
    <row r="185" customFormat="false" ht="15.75" hidden="false" customHeight="false" outlineLevel="0" collapsed="false">
      <c r="A185" s="10" t="n">
        <v>21</v>
      </c>
      <c r="B185" s="10" t="n">
        <v>841.62</v>
      </c>
      <c r="C185" s="10" t="s">
        <v>15</v>
      </c>
      <c r="D185" s="10" t="n">
        <v>2.5</v>
      </c>
      <c r="E185" s="10" t="n">
        <v>2.5</v>
      </c>
      <c r="F185" s="10" t="n">
        <v>0</v>
      </c>
      <c r="G185" s="10" t="n">
        <v>4</v>
      </c>
      <c r="H185" s="10" t="n">
        <v>40</v>
      </c>
      <c r="I185" s="10" t="s">
        <v>16</v>
      </c>
      <c r="J185" s="10" t="s">
        <v>39</v>
      </c>
      <c r="K185" s="10" t="s">
        <v>37</v>
      </c>
      <c r="L185" s="10" t="s">
        <v>40</v>
      </c>
    </row>
    <row r="186" customFormat="false" ht="15.75" hidden="false" customHeight="false" outlineLevel="0" collapsed="false">
      <c r="A186" s="10" t="n">
        <v>24</v>
      </c>
      <c r="B186" s="10" t="n">
        <v>1930.05</v>
      </c>
      <c r="C186" s="10" t="s">
        <v>15</v>
      </c>
      <c r="D186" s="10" t="n">
        <v>2.5</v>
      </c>
      <c r="E186" s="10" t="n">
        <v>2.5</v>
      </c>
      <c r="F186" s="10" t="n">
        <v>0</v>
      </c>
      <c r="G186" s="10" t="n">
        <v>4</v>
      </c>
      <c r="H186" s="10" t="n">
        <v>50</v>
      </c>
      <c r="I186" s="10" t="s">
        <v>13</v>
      </c>
      <c r="J186" s="10" t="s">
        <v>39</v>
      </c>
      <c r="K186" s="10" t="s">
        <v>37</v>
      </c>
      <c r="L186" s="10" t="s">
        <v>40</v>
      </c>
    </row>
    <row r="187" customFormat="false" ht="15.75" hidden="false" customHeight="false" outlineLevel="0" collapsed="false">
      <c r="A187" s="10" t="n">
        <v>18</v>
      </c>
      <c r="B187" s="10" t="n">
        <v>451.72</v>
      </c>
      <c r="C187" s="10" t="s">
        <v>12</v>
      </c>
      <c r="D187" s="10" t="n">
        <v>8</v>
      </c>
      <c r="E187" s="10" t="n">
        <v>8</v>
      </c>
      <c r="F187" s="10" t="n">
        <v>0</v>
      </c>
      <c r="G187" s="10" t="n">
        <v>4</v>
      </c>
      <c r="H187" s="10" t="n">
        <v>36</v>
      </c>
      <c r="I187" s="10" t="s">
        <v>16</v>
      </c>
      <c r="J187" s="10" t="s">
        <v>39</v>
      </c>
      <c r="K187" s="10" t="s">
        <v>37</v>
      </c>
      <c r="L187" s="10" t="s">
        <v>37</v>
      </c>
    </row>
    <row r="188" customFormat="false" ht="15.75" hidden="false" customHeight="false" outlineLevel="0" collapsed="false">
      <c r="A188" s="10" t="n">
        <v>15</v>
      </c>
      <c r="B188" s="10" t="n">
        <v>694.96</v>
      </c>
      <c r="C188" s="10" t="s">
        <v>15</v>
      </c>
      <c r="D188" s="10" t="n">
        <v>2.5</v>
      </c>
      <c r="E188" s="10" t="n">
        <v>2.5</v>
      </c>
      <c r="F188" s="10" t="n">
        <v>0</v>
      </c>
      <c r="G188" s="10" t="n">
        <v>4</v>
      </c>
      <c r="H188" s="10" t="n">
        <v>31</v>
      </c>
      <c r="I188" s="10" t="s">
        <v>13</v>
      </c>
      <c r="J188" s="10" t="s">
        <v>39</v>
      </c>
      <c r="K188" s="10" t="s">
        <v>37</v>
      </c>
      <c r="L188" s="10" t="s">
        <v>40</v>
      </c>
    </row>
    <row r="189" customFormat="false" ht="15.75" hidden="false" customHeight="false" outlineLevel="0" collapsed="false">
      <c r="A189" s="10" t="n">
        <v>9</v>
      </c>
      <c r="B189" s="10" t="n">
        <v>2620.92</v>
      </c>
      <c r="C189" s="10" t="s">
        <v>12</v>
      </c>
      <c r="D189" s="10" t="n">
        <v>8</v>
      </c>
      <c r="E189" s="10" t="n">
        <v>8</v>
      </c>
      <c r="F189" s="10" t="n">
        <v>0</v>
      </c>
      <c r="G189" s="10" t="n">
        <v>2</v>
      </c>
      <c r="H189" s="10" t="n">
        <v>74</v>
      </c>
      <c r="I189" s="10" t="s">
        <v>16</v>
      </c>
      <c r="J189" s="10" t="s">
        <v>36</v>
      </c>
      <c r="K189" s="10" t="s">
        <v>39</v>
      </c>
      <c r="L189" s="10" t="s">
        <v>37</v>
      </c>
    </row>
    <row r="190" customFormat="false" ht="15.75" hidden="false" customHeight="false" outlineLevel="0" collapsed="false">
      <c r="A190" s="10" t="n">
        <v>16</v>
      </c>
      <c r="B190" s="10" t="n">
        <v>600.43</v>
      </c>
      <c r="C190" s="10" t="s">
        <v>19</v>
      </c>
      <c r="D190" s="10" t="n">
        <v>0</v>
      </c>
      <c r="E190" s="10" t="n">
        <v>0</v>
      </c>
      <c r="F190" s="10" t="n">
        <v>0</v>
      </c>
      <c r="G190" s="10" t="n">
        <v>2</v>
      </c>
      <c r="H190" s="10" t="n">
        <v>68</v>
      </c>
      <c r="I190" s="10" t="s">
        <v>13</v>
      </c>
      <c r="J190" s="10" t="s">
        <v>36</v>
      </c>
      <c r="K190" s="10" t="s">
        <v>39</v>
      </c>
      <c r="L190" s="10" t="s">
        <v>19</v>
      </c>
    </row>
    <row r="191" customFormat="false" ht="15.75" hidden="false" customHeight="false" outlineLevel="0" collapsed="false">
      <c r="A191" s="10" t="n">
        <v>12</v>
      </c>
      <c r="B191" s="10" t="n">
        <v>344.41</v>
      </c>
      <c r="C191" s="10" t="s">
        <v>17</v>
      </c>
      <c r="D191" s="10" t="n">
        <v>5.5</v>
      </c>
      <c r="E191" s="10" t="n">
        <v>2</v>
      </c>
      <c r="F191" s="10" t="n">
        <v>1</v>
      </c>
      <c r="G191" s="10" t="n">
        <v>4</v>
      </c>
      <c r="H191" s="10" t="n">
        <v>20</v>
      </c>
      <c r="I191" s="10" t="s">
        <v>16</v>
      </c>
      <c r="J191" s="10" t="s">
        <v>38</v>
      </c>
      <c r="K191" s="10" t="s">
        <v>37</v>
      </c>
      <c r="L191" s="10" t="s">
        <v>42</v>
      </c>
    </row>
    <row r="192" customFormat="false" ht="15.75" hidden="false" customHeight="false" outlineLevel="0" collapsed="false">
      <c r="A192" s="10" t="n">
        <v>18</v>
      </c>
      <c r="B192" s="10" t="n">
        <v>1657.68</v>
      </c>
      <c r="C192" s="10" t="s">
        <v>15</v>
      </c>
      <c r="D192" s="10" t="n">
        <v>2.5</v>
      </c>
      <c r="E192" s="10" t="n">
        <v>2.5</v>
      </c>
      <c r="F192" s="10" t="n">
        <v>0</v>
      </c>
      <c r="G192" s="10" t="n">
        <v>1</v>
      </c>
      <c r="H192" s="10" t="n">
        <v>33</v>
      </c>
      <c r="I192" s="10" t="s">
        <v>13</v>
      </c>
      <c r="J192" s="10" t="s">
        <v>39</v>
      </c>
      <c r="K192" s="10" t="s">
        <v>43</v>
      </c>
      <c r="L192" s="10" t="s">
        <v>40</v>
      </c>
    </row>
    <row r="193" customFormat="false" ht="15.75" hidden="false" customHeight="false" outlineLevel="0" collapsed="false">
      <c r="A193" s="10" t="n">
        <v>24</v>
      </c>
      <c r="B193" s="10" t="n">
        <v>2346</v>
      </c>
      <c r="C193" s="10" t="s">
        <v>15</v>
      </c>
      <c r="D193" s="10" t="n">
        <v>2.5</v>
      </c>
      <c r="E193" s="10" t="n">
        <v>2.5</v>
      </c>
      <c r="F193" s="10" t="n">
        <v>0</v>
      </c>
      <c r="G193" s="10" t="n">
        <v>2</v>
      </c>
      <c r="H193" s="10" t="n">
        <v>54</v>
      </c>
      <c r="I193" s="10" t="s">
        <v>16</v>
      </c>
      <c r="J193" s="10" t="s">
        <v>36</v>
      </c>
      <c r="K193" s="10" t="s">
        <v>39</v>
      </c>
      <c r="L193" s="10" t="s">
        <v>40</v>
      </c>
    </row>
    <row r="194" customFormat="false" ht="15.75" hidden="false" customHeight="false" outlineLevel="0" collapsed="false">
      <c r="A194" s="10" t="n">
        <v>48</v>
      </c>
      <c r="B194" s="10" t="n">
        <v>1964.28</v>
      </c>
      <c r="C194" s="10" t="s">
        <v>17</v>
      </c>
      <c r="D194" s="10" t="n">
        <v>5.5</v>
      </c>
      <c r="E194" s="10" t="n">
        <v>5.5</v>
      </c>
      <c r="F194" s="10" t="n">
        <v>0</v>
      </c>
      <c r="G194" s="10" t="n">
        <v>4</v>
      </c>
      <c r="H194" s="10" t="n">
        <v>34</v>
      </c>
      <c r="I194" s="10" t="s">
        <v>16</v>
      </c>
      <c r="J194" s="10" t="s">
        <v>39</v>
      </c>
      <c r="K194" s="10" t="s">
        <v>37</v>
      </c>
      <c r="L194" s="10" t="s">
        <v>41</v>
      </c>
    </row>
    <row r="195" customFormat="false" ht="15.75" hidden="false" customHeight="false" outlineLevel="0" collapsed="false">
      <c r="A195" s="10" t="n">
        <v>27</v>
      </c>
      <c r="B195" s="10" t="n">
        <v>2000.57</v>
      </c>
      <c r="C195" s="10" t="s">
        <v>15</v>
      </c>
      <c r="D195" s="10" t="n">
        <v>2.5</v>
      </c>
      <c r="E195" s="10" t="n">
        <v>2.5</v>
      </c>
      <c r="F195" s="10" t="n">
        <v>0</v>
      </c>
      <c r="G195" s="10" t="n">
        <v>4</v>
      </c>
      <c r="H195" s="10" t="n">
        <v>36</v>
      </c>
      <c r="I195" s="10" t="s">
        <v>16</v>
      </c>
      <c r="J195" s="10" t="s">
        <v>39</v>
      </c>
      <c r="K195" s="10" t="s">
        <v>37</v>
      </c>
      <c r="L195" s="10" t="s">
        <v>40</v>
      </c>
    </row>
    <row r="196" customFormat="false" ht="15.75" hidden="false" customHeight="false" outlineLevel="0" collapsed="false">
      <c r="A196" s="10" t="n">
        <v>6</v>
      </c>
      <c r="B196" s="10" t="n">
        <v>1077.19</v>
      </c>
      <c r="C196" s="10" t="s">
        <v>17</v>
      </c>
      <c r="D196" s="10" t="n">
        <v>5.5</v>
      </c>
      <c r="E196" s="10" t="n">
        <v>5.5</v>
      </c>
      <c r="F196" s="10" t="n">
        <v>0</v>
      </c>
      <c r="G196" s="10" t="n">
        <v>2</v>
      </c>
      <c r="H196" s="10" t="n">
        <v>29</v>
      </c>
      <c r="I196" s="10" t="s">
        <v>13</v>
      </c>
      <c r="J196" s="10" t="s">
        <v>38</v>
      </c>
      <c r="K196" s="10" t="s">
        <v>39</v>
      </c>
      <c r="L196" s="10" t="s">
        <v>41</v>
      </c>
    </row>
    <row r="197" customFormat="false" ht="15.75" hidden="false" customHeight="false" outlineLevel="0" collapsed="false">
      <c r="A197" s="10" t="n">
        <v>45</v>
      </c>
      <c r="B197" s="10" t="n">
        <v>1548.84</v>
      </c>
      <c r="C197" s="10" t="s">
        <v>15</v>
      </c>
      <c r="D197" s="10" t="n">
        <v>2.5</v>
      </c>
      <c r="E197" s="10" t="n">
        <v>2.5</v>
      </c>
      <c r="F197" s="10" t="n">
        <v>0</v>
      </c>
      <c r="G197" s="10" t="n">
        <v>4</v>
      </c>
      <c r="H197" s="10" t="n">
        <v>21</v>
      </c>
      <c r="I197" s="10" t="s">
        <v>16</v>
      </c>
      <c r="J197" s="10" t="s">
        <v>38</v>
      </c>
      <c r="K197" s="10" t="s">
        <v>37</v>
      </c>
      <c r="L197" s="10" t="s">
        <v>40</v>
      </c>
    </row>
    <row r="198" customFormat="false" ht="15.75" hidden="false" customHeight="false" outlineLevel="0" collapsed="false">
      <c r="A198" s="10" t="n">
        <v>9</v>
      </c>
      <c r="B198" s="10" t="n">
        <v>767.01</v>
      </c>
      <c r="C198" s="10" t="s">
        <v>12</v>
      </c>
      <c r="D198" s="10" t="n">
        <v>8</v>
      </c>
      <c r="E198" s="10" t="n">
        <v>8</v>
      </c>
      <c r="F198" s="10" t="n">
        <v>0</v>
      </c>
      <c r="G198" s="10" t="n">
        <v>2</v>
      </c>
      <c r="H198" s="10" t="n">
        <v>34</v>
      </c>
      <c r="I198" s="10" t="s">
        <v>16</v>
      </c>
      <c r="J198" s="10" t="s">
        <v>39</v>
      </c>
      <c r="K198" s="10" t="s">
        <v>39</v>
      </c>
      <c r="L198" s="10" t="s">
        <v>37</v>
      </c>
    </row>
    <row r="199" customFormat="false" ht="15.75" hidden="false" customHeight="false" outlineLevel="0" collapsed="false">
      <c r="A199" s="10" t="n">
        <v>6</v>
      </c>
      <c r="B199" s="10" t="n">
        <v>706.2</v>
      </c>
      <c r="C199" s="10" t="s">
        <v>15</v>
      </c>
      <c r="D199" s="10" t="n">
        <v>2.5</v>
      </c>
      <c r="E199" s="10" t="n">
        <v>2.5</v>
      </c>
      <c r="F199" s="10" t="n">
        <v>0</v>
      </c>
      <c r="G199" s="10" t="n">
        <v>1</v>
      </c>
      <c r="H199" s="10" t="n">
        <v>28</v>
      </c>
      <c r="I199" s="10" t="s">
        <v>13</v>
      </c>
      <c r="J199" s="10" t="s">
        <v>38</v>
      </c>
      <c r="K199" s="10" t="s">
        <v>43</v>
      </c>
      <c r="L199" s="10" t="s">
        <v>40</v>
      </c>
    </row>
    <row r="200" customFormat="false" ht="15.75" hidden="false" customHeight="false" outlineLevel="0" collapsed="false">
      <c r="A200" s="10" t="n">
        <v>12</v>
      </c>
      <c r="B200" s="10" t="n">
        <v>485.96</v>
      </c>
      <c r="C200" s="10" t="s">
        <v>20</v>
      </c>
      <c r="D200" s="10" t="n">
        <v>0.5</v>
      </c>
      <c r="E200" s="10" t="n">
        <v>0.5</v>
      </c>
      <c r="F200" s="10" t="n">
        <v>0</v>
      </c>
      <c r="G200" s="10" t="n">
        <v>4</v>
      </c>
      <c r="H200" s="10" t="n">
        <v>27</v>
      </c>
      <c r="I200" s="10" t="s">
        <v>16</v>
      </c>
      <c r="J200" s="10" t="s">
        <v>38</v>
      </c>
      <c r="K200" s="10" t="s">
        <v>37</v>
      </c>
      <c r="L200" s="10" t="s">
        <v>42</v>
      </c>
    </row>
    <row r="201" customFormat="false" ht="15.75" hidden="false" customHeight="false" outlineLevel="0" collapsed="false">
      <c r="A201" s="10" t="n">
        <v>24</v>
      </c>
      <c r="B201" s="10" t="n">
        <v>1410.36</v>
      </c>
      <c r="C201" s="10" t="s">
        <v>12</v>
      </c>
      <c r="D201" s="10" t="n">
        <v>8</v>
      </c>
      <c r="E201" s="10" t="n">
        <v>8</v>
      </c>
      <c r="F201" s="10" t="n">
        <v>0</v>
      </c>
      <c r="G201" s="10" t="n">
        <v>4</v>
      </c>
      <c r="H201" s="10" t="n">
        <v>36</v>
      </c>
      <c r="I201" s="10" t="s">
        <v>13</v>
      </c>
      <c r="J201" s="10" t="s">
        <v>39</v>
      </c>
      <c r="K201" s="10" t="s">
        <v>37</v>
      </c>
      <c r="L201" s="10" t="s">
        <v>37</v>
      </c>
    </row>
    <row r="202" customFormat="false" ht="15.75" hidden="false" customHeight="false" outlineLevel="0" collapsed="false">
      <c r="A202" s="10" t="n">
        <v>18</v>
      </c>
      <c r="B202" s="10" t="n">
        <v>2195.77</v>
      </c>
      <c r="C202" s="10" t="s">
        <v>12</v>
      </c>
      <c r="D202" s="10" t="n">
        <v>8</v>
      </c>
      <c r="E202" s="10" t="n">
        <v>8</v>
      </c>
      <c r="F202" s="10" t="n">
        <v>0</v>
      </c>
      <c r="G202" s="10" t="n">
        <v>4</v>
      </c>
      <c r="H202" s="10" t="n">
        <v>40</v>
      </c>
      <c r="I202" s="10" t="s">
        <v>16</v>
      </c>
      <c r="J202" s="10" t="s">
        <v>39</v>
      </c>
      <c r="K202" s="10" t="s">
        <v>37</v>
      </c>
      <c r="L202" s="10" t="s">
        <v>37</v>
      </c>
    </row>
    <row r="203" customFormat="false" ht="15.75" hidden="false" customHeight="false" outlineLevel="0" collapsed="false">
      <c r="A203" s="10" t="n">
        <v>9</v>
      </c>
      <c r="B203" s="10" t="n">
        <v>478.3</v>
      </c>
      <c r="C203" s="10" t="s">
        <v>12</v>
      </c>
      <c r="D203" s="10" t="n">
        <v>8</v>
      </c>
      <c r="E203" s="10" t="n">
        <v>8</v>
      </c>
      <c r="F203" s="10" t="n">
        <v>0</v>
      </c>
      <c r="G203" s="10" t="n">
        <v>4</v>
      </c>
      <c r="H203" s="10" t="n">
        <v>52</v>
      </c>
      <c r="I203" s="10" t="s">
        <v>13</v>
      </c>
      <c r="J203" s="10" t="s">
        <v>36</v>
      </c>
      <c r="K203" s="10" t="s">
        <v>37</v>
      </c>
      <c r="L203" s="10" t="s">
        <v>37</v>
      </c>
    </row>
    <row r="204" customFormat="false" ht="15.75" hidden="false" customHeight="false" outlineLevel="0" collapsed="false">
      <c r="A204" s="10" t="n">
        <v>12</v>
      </c>
      <c r="B204" s="10" t="n">
        <v>596.85</v>
      </c>
      <c r="C204" s="10" t="s">
        <v>15</v>
      </c>
      <c r="D204" s="10" t="n">
        <v>2.5</v>
      </c>
      <c r="E204" s="10" t="n">
        <v>2.5</v>
      </c>
      <c r="F204" s="10" t="n">
        <v>0</v>
      </c>
      <c r="G204" s="10" t="n">
        <v>4</v>
      </c>
      <c r="H204" s="10" t="n">
        <v>27</v>
      </c>
      <c r="I204" s="10" t="s">
        <v>13</v>
      </c>
      <c r="J204" s="10" t="s">
        <v>38</v>
      </c>
      <c r="K204" s="10" t="s">
        <v>37</v>
      </c>
      <c r="L204" s="10" t="s">
        <v>40</v>
      </c>
    </row>
    <row r="205" customFormat="false" ht="15.75" hidden="false" customHeight="false" outlineLevel="0" collapsed="false">
      <c r="A205" s="10" t="n">
        <v>27</v>
      </c>
      <c r="B205" s="10" t="n">
        <v>2614.79</v>
      </c>
      <c r="C205" s="10" t="s">
        <v>17</v>
      </c>
      <c r="D205" s="10" t="n">
        <v>5.5</v>
      </c>
      <c r="E205" s="10" t="n">
        <v>5.5</v>
      </c>
      <c r="F205" s="10" t="n">
        <v>0</v>
      </c>
      <c r="G205" s="10" t="n">
        <v>3</v>
      </c>
      <c r="H205" s="10" t="n">
        <v>26</v>
      </c>
      <c r="I205" s="10" t="s">
        <v>13</v>
      </c>
      <c r="J205" s="10" t="s">
        <v>38</v>
      </c>
      <c r="K205" s="10" t="s">
        <v>39</v>
      </c>
      <c r="L205" s="10" t="s">
        <v>41</v>
      </c>
    </row>
    <row r="206" customFormat="false" ht="15.75" hidden="false" customHeight="false" outlineLevel="0" collapsed="false">
      <c r="A206" s="10" t="n">
        <v>12</v>
      </c>
      <c r="B206" s="10" t="n">
        <v>460.92</v>
      </c>
      <c r="C206" s="10" t="s">
        <v>17</v>
      </c>
      <c r="D206" s="10" t="n">
        <v>5.5</v>
      </c>
      <c r="E206" s="10" t="n">
        <v>3</v>
      </c>
      <c r="F206" s="10" t="n">
        <v>1</v>
      </c>
      <c r="G206" s="10" t="n">
        <v>4</v>
      </c>
      <c r="H206" s="10" t="n">
        <v>21</v>
      </c>
      <c r="I206" s="10" t="s">
        <v>16</v>
      </c>
      <c r="J206" s="10" t="s">
        <v>38</v>
      </c>
      <c r="K206" s="10" t="s">
        <v>37</v>
      </c>
      <c r="L206" s="10" t="s">
        <v>40</v>
      </c>
    </row>
    <row r="207" customFormat="false" ht="15.75" hidden="false" customHeight="false" outlineLevel="0" collapsed="false">
      <c r="A207" s="10" t="n">
        <v>12</v>
      </c>
      <c r="B207" s="10" t="n">
        <v>763.95</v>
      </c>
      <c r="C207" s="10" t="s">
        <v>12</v>
      </c>
      <c r="D207" s="10" t="n">
        <v>8</v>
      </c>
      <c r="E207" s="10" t="n">
        <v>8</v>
      </c>
      <c r="F207" s="10" t="n">
        <v>0</v>
      </c>
      <c r="G207" s="10" t="n">
        <v>4</v>
      </c>
      <c r="H207" s="10" t="n">
        <v>38</v>
      </c>
      <c r="I207" s="10" t="s">
        <v>13</v>
      </c>
      <c r="J207" s="10" t="s">
        <v>39</v>
      </c>
      <c r="K207" s="10" t="s">
        <v>37</v>
      </c>
      <c r="L207" s="10" t="s">
        <v>37</v>
      </c>
    </row>
    <row r="208" customFormat="false" ht="15.75" hidden="false" customHeight="false" outlineLevel="0" collapsed="false">
      <c r="A208" s="10" t="n">
        <v>30</v>
      </c>
      <c r="B208" s="10" t="n">
        <v>5428.35</v>
      </c>
      <c r="C208" s="10" t="s">
        <v>12</v>
      </c>
      <c r="D208" s="10" t="n">
        <v>8</v>
      </c>
      <c r="E208" s="10" t="n">
        <v>8</v>
      </c>
      <c r="F208" s="10" t="n">
        <v>0</v>
      </c>
      <c r="G208" s="10" t="n">
        <v>3</v>
      </c>
      <c r="H208" s="10" t="n">
        <v>38</v>
      </c>
      <c r="I208" s="10" t="s">
        <v>13</v>
      </c>
      <c r="J208" s="10" t="s">
        <v>39</v>
      </c>
      <c r="K208" s="10" t="s">
        <v>39</v>
      </c>
      <c r="L208" s="10" t="s">
        <v>37</v>
      </c>
    </row>
    <row r="209" customFormat="false" ht="15.75" hidden="false" customHeight="false" outlineLevel="0" collapsed="false">
      <c r="A209" s="10" t="n">
        <v>12</v>
      </c>
      <c r="B209" s="10" t="n">
        <v>988.79</v>
      </c>
      <c r="C209" s="10" t="s">
        <v>12</v>
      </c>
      <c r="D209" s="10" t="n">
        <v>8</v>
      </c>
      <c r="E209" s="10" t="n">
        <v>8</v>
      </c>
      <c r="F209" s="10" t="n">
        <v>0</v>
      </c>
      <c r="G209" s="10" t="n">
        <v>4</v>
      </c>
      <c r="H209" s="10" t="n">
        <v>43</v>
      </c>
      <c r="I209" s="10" t="s">
        <v>13</v>
      </c>
      <c r="J209" s="10" t="s">
        <v>39</v>
      </c>
      <c r="K209" s="10" t="s">
        <v>37</v>
      </c>
      <c r="L209" s="10" t="s">
        <v>37</v>
      </c>
    </row>
    <row r="210" customFormat="false" ht="15.75" hidden="false" customHeight="false" outlineLevel="0" collapsed="false">
      <c r="A210" s="10" t="n">
        <v>12</v>
      </c>
      <c r="B210" s="10" t="n">
        <v>727.66</v>
      </c>
      <c r="C210" s="10" t="s">
        <v>17</v>
      </c>
      <c r="D210" s="10" t="n">
        <v>5.5</v>
      </c>
      <c r="E210" s="10" t="n">
        <v>5.5</v>
      </c>
      <c r="F210" s="10" t="n">
        <v>0</v>
      </c>
      <c r="G210" s="10" t="n">
        <v>4</v>
      </c>
      <c r="H210" s="10" t="n">
        <v>26</v>
      </c>
      <c r="I210" s="10" t="s">
        <v>13</v>
      </c>
      <c r="J210" s="10" t="s">
        <v>38</v>
      </c>
      <c r="K210" s="10" t="s">
        <v>37</v>
      </c>
      <c r="L210" s="10" t="s">
        <v>41</v>
      </c>
    </row>
    <row r="211" customFormat="false" ht="15.75" hidden="false" customHeight="false" outlineLevel="0" collapsed="false">
      <c r="A211" s="10" t="n">
        <v>24</v>
      </c>
      <c r="B211" s="10" t="n">
        <v>3356.25</v>
      </c>
      <c r="C211" s="10" t="s">
        <v>15</v>
      </c>
      <c r="D211" s="10" t="n">
        <v>2.5</v>
      </c>
      <c r="E211" s="10" t="n">
        <v>2.5</v>
      </c>
      <c r="F211" s="10" t="n">
        <v>0</v>
      </c>
      <c r="G211" s="10" t="n">
        <v>2</v>
      </c>
      <c r="H211" s="10" t="n">
        <v>21</v>
      </c>
      <c r="I211" s="10" t="s">
        <v>13</v>
      </c>
      <c r="J211" s="10" t="s">
        <v>38</v>
      </c>
      <c r="K211" s="10" t="s">
        <v>39</v>
      </c>
      <c r="L211" s="10" t="s">
        <v>40</v>
      </c>
    </row>
    <row r="212" customFormat="false" ht="15.75" hidden="false" customHeight="false" outlineLevel="0" collapsed="false">
      <c r="A212" s="10" t="n">
        <v>12</v>
      </c>
      <c r="B212" s="10" t="n">
        <v>722.04</v>
      </c>
      <c r="C212" s="10" t="s">
        <v>17</v>
      </c>
      <c r="D212" s="10" t="n">
        <v>5.5</v>
      </c>
      <c r="E212" s="10" t="n">
        <v>5.5</v>
      </c>
      <c r="F212" s="10" t="n">
        <v>0</v>
      </c>
      <c r="G212" s="10" t="n">
        <v>3</v>
      </c>
      <c r="H212" s="10" t="n">
        <v>55</v>
      </c>
      <c r="I212" s="10" t="s">
        <v>13</v>
      </c>
      <c r="J212" s="10" t="s">
        <v>36</v>
      </c>
      <c r="K212" s="10" t="s">
        <v>39</v>
      </c>
      <c r="L212" s="10" t="s">
        <v>41</v>
      </c>
    </row>
    <row r="213" customFormat="false" ht="15.75" hidden="false" customHeight="false" outlineLevel="0" collapsed="false">
      <c r="A213" s="10" t="n">
        <v>9</v>
      </c>
      <c r="B213" s="10" t="n">
        <v>1570.81</v>
      </c>
      <c r="C213" s="10" t="s">
        <v>15</v>
      </c>
      <c r="D213" s="10" t="n">
        <v>2.5</v>
      </c>
      <c r="E213" s="10" t="n">
        <v>2.5</v>
      </c>
      <c r="F213" s="10" t="n">
        <v>0</v>
      </c>
      <c r="G213" s="10" t="n">
        <v>1</v>
      </c>
      <c r="H213" s="10" t="n">
        <v>33</v>
      </c>
      <c r="I213" s="10" t="s">
        <v>13</v>
      </c>
      <c r="J213" s="10" t="s">
        <v>39</v>
      </c>
      <c r="K213" s="10" t="s">
        <v>43</v>
      </c>
      <c r="L213" s="10" t="s">
        <v>40</v>
      </c>
    </row>
    <row r="214" customFormat="false" ht="15.75" hidden="false" customHeight="false" outlineLevel="0" collapsed="false">
      <c r="A214" s="10" t="n">
        <v>36</v>
      </c>
      <c r="B214" s="10" t="n">
        <v>1959.69</v>
      </c>
      <c r="C214" s="10" t="s">
        <v>12</v>
      </c>
      <c r="D214" s="10" t="n">
        <v>8</v>
      </c>
      <c r="E214" s="10" t="n">
        <v>8</v>
      </c>
      <c r="F214" s="10" t="n">
        <v>0</v>
      </c>
      <c r="G214" s="10" t="n">
        <v>2</v>
      </c>
      <c r="H214" s="10" t="n">
        <v>45</v>
      </c>
      <c r="I214" s="10" t="s">
        <v>13</v>
      </c>
      <c r="J214" s="10" t="s">
        <v>39</v>
      </c>
      <c r="K214" s="10" t="s">
        <v>39</v>
      </c>
      <c r="L214" s="10" t="s">
        <v>37</v>
      </c>
    </row>
    <row r="215" customFormat="false" ht="15.75" hidden="false" customHeight="false" outlineLevel="0" collapsed="false">
      <c r="A215" s="10" t="n">
        <v>27</v>
      </c>
      <c r="B215" s="10" t="n">
        <v>2704.72</v>
      </c>
      <c r="C215" s="10" t="s">
        <v>19</v>
      </c>
      <c r="D215" s="10" t="n">
        <v>0</v>
      </c>
      <c r="E215" s="10" t="n">
        <v>0</v>
      </c>
      <c r="F215" s="10" t="n">
        <v>0</v>
      </c>
      <c r="G215" s="10" t="n">
        <v>2</v>
      </c>
      <c r="H215" s="10" t="n">
        <v>50</v>
      </c>
      <c r="I215" s="10" t="s">
        <v>16</v>
      </c>
      <c r="J215" s="10" t="s">
        <v>39</v>
      </c>
      <c r="K215" s="10" t="s">
        <v>39</v>
      </c>
      <c r="L215" s="10" t="s">
        <v>19</v>
      </c>
    </row>
    <row r="216" customFormat="false" ht="15.75" hidden="false" customHeight="false" outlineLevel="0" collapsed="false">
      <c r="A216" s="10" t="n">
        <v>30</v>
      </c>
      <c r="B216" s="10" t="n">
        <v>974.99</v>
      </c>
      <c r="C216" s="10" t="s">
        <v>12</v>
      </c>
      <c r="D216" s="10" t="n">
        <v>8</v>
      </c>
      <c r="E216" s="10" t="n">
        <v>8</v>
      </c>
      <c r="F216" s="10" t="n">
        <v>0</v>
      </c>
      <c r="G216" s="10" t="n">
        <v>4</v>
      </c>
      <c r="H216" s="10" t="n">
        <v>66</v>
      </c>
      <c r="I216" s="10" t="s">
        <v>16</v>
      </c>
      <c r="J216" s="10" t="s">
        <v>36</v>
      </c>
      <c r="K216" s="10" t="s">
        <v>37</v>
      </c>
      <c r="L216" s="10" t="s">
        <v>37</v>
      </c>
    </row>
    <row r="217" customFormat="false" ht="15.75" hidden="false" customHeight="false" outlineLevel="0" collapsed="false">
      <c r="A217" s="10" t="n">
        <v>36</v>
      </c>
      <c r="B217" s="10" t="n">
        <v>1707.76</v>
      </c>
      <c r="C217" s="10" t="s">
        <v>12</v>
      </c>
      <c r="D217" s="10" t="n">
        <v>8</v>
      </c>
      <c r="E217" s="10" t="n">
        <v>8</v>
      </c>
      <c r="F217" s="10" t="n">
        <v>0</v>
      </c>
      <c r="G217" s="10" t="n">
        <v>4</v>
      </c>
      <c r="H217" s="10" t="n">
        <v>51</v>
      </c>
      <c r="I217" s="10" t="s">
        <v>13</v>
      </c>
      <c r="J217" s="10" t="s">
        <v>36</v>
      </c>
      <c r="K217" s="10" t="s">
        <v>37</v>
      </c>
      <c r="L217" s="10" t="s">
        <v>37</v>
      </c>
    </row>
    <row r="218" customFormat="false" ht="15.75" hidden="false" customHeight="false" outlineLevel="0" collapsed="false">
      <c r="A218" s="10" t="n">
        <v>6</v>
      </c>
      <c r="B218" s="10" t="n">
        <v>476.25</v>
      </c>
      <c r="C218" s="10" t="s">
        <v>17</v>
      </c>
      <c r="D218" s="10" t="n">
        <v>5.5</v>
      </c>
      <c r="E218" s="10" t="n">
        <v>5.5</v>
      </c>
      <c r="F218" s="10" t="n">
        <v>0</v>
      </c>
      <c r="G218" s="10" t="n">
        <v>1</v>
      </c>
      <c r="H218" s="10" t="n">
        <v>39</v>
      </c>
      <c r="I218" s="10" t="s">
        <v>13</v>
      </c>
      <c r="J218" s="10" t="s">
        <v>39</v>
      </c>
      <c r="K218" s="10" t="s">
        <v>43</v>
      </c>
      <c r="L218" s="10" t="s">
        <v>41</v>
      </c>
    </row>
    <row r="219" customFormat="false" ht="15.75" hidden="false" customHeight="false" outlineLevel="0" collapsed="false">
      <c r="A219" s="10" t="n">
        <v>18</v>
      </c>
      <c r="B219" s="10" t="n">
        <v>1586.14</v>
      </c>
      <c r="C219" s="10" t="s">
        <v>17</v>
      </c>
      <c r="D219" s="10" t="n">
        <v>5.5</v>
      </c>
      <c r="E219" s="10" t="n">
        <v>5.5</v>
      </c>
      <c r="F219" s="10" t="n">
        <v>0</v>
      </c>
      <c r="G219" s="10" t="n">
        <v>3</v>
      </c>
      <c r="H219" s="10" t="n">
        <v>31</v>
      </c>
      <c r="I219" s="10" t="s">
        <v>13</v>
      </c>
      <c r="J219" s="10" t="s">
        <v>39</v>
      </c>
      <c r="K219" s="10" t="s">
        <v>39</v>
      </c>
      <c r="L219" s="10" t="s">
        <v>41</v>
      </c>
    </row>
    <row r="220" customFormat="false" ht="15.75" hidden="false" customHeight="false" outlineLevel="0" collapsed="false">
      <c r="A220" s="10" t="n">
        <v>36</v>
      </c>
      <c r="B220" s="10" t="n">
        <v>1999.54</v>
      </c>
      <c r="C220" s="10" t="s">
        <v>15</v>
      </c>
      <c r="D220" s="10" t="n">
        <v>2.5</v>
      </c>
      <c r="E220" s="10" t="n">
        <v>2.5</v>
      </c>
      <c r="F220" s="10" t="n">
        <v>0</v>
      </c>
      <c r="G220" s="10" t="n">
        <v>2</v>
      </c>
      <c r="H220" s="10" t="n">
        <v>23</v>
      </c>
      <c r="I220" s="10" t="s">
        <v>13</v>
      </c>
      <c r="J220" s="10" t="s">
        <v>38</v>
      </c>
      <c r="K220" s="10" t="s">
        <v>39</v>
      </c>
      <c r="L220" s="10" t="s">
        <v>40</v>
      </c>
    </row>
    <row r="221" customFormat="false" ht="15.75" hidden="false" customHeight="false" outlineLevel="0" collapsed="false">
      <c r="A221" s="10" t="n">
        <v>24</v>
      </c>
      <c r="B221" s="10" t="n">
        <v>1543.73</v>
      </c>
      <c r="C221" s="10" t="s">
        <v>15</v>
      </c>
      <c r="D221" s="10" t="n">
        <v>2.5</v>
      </c>
      <c r="E221" s="10" t="n">
        <v>2.5</v>
      </c>
      <c r="F221" s="10" t="n">
        <v>0</v>
      </c>
      <c r="G221" s="10" t="n">
        <v>2</v>
      </c>
      <c r="H221" s="10" t="n">
        <v>24</v>
      </c>
      <c r="I221" s="10" t="s">
        <v>13</v>
      </c>
      <c r="J221" s="10" t="s">
        <v>38</v>
      </c>
      <c r="K221" s="10" t="s">
        <v>39</v>
      </c>
      <c r="L221" s="10" t="s">
        <v>40</v>
      </c>
    </row>
    <row r="222" customFormat="false" ht="15.75" hidden="false" customHeight="false" outlineLevel="0" collapsed="false">
      <c r="A222" s="10" t="n">
        <v>10</v>
      </c>
      <c r="B222" s="10" t="n">
        <v>697</v>
      </c>
      <c r="C222" s="10" t="s">
        <v>15</v>
      </c>
      <c r="D222" s="10" t="n">
        <v>2.5</v>
      </c>
      <c r="E222" s="10" t="n">
        <v>2.5</v>
      </c>
      <c r="F222" s="10" t="n">
        <v>0</v>
      </c>
      <c r="G222" s="10" t="n">
        <v>2</v>
      </c>
      <c r="H222" s="10" t="n">
        <v>64</v>
      </c>
      <c r="I222" s="10" t="s">
        <v>13</v>
      </c>
      <c r="J222" s="10" t="s">
        <v>36</v>
      </c>
      <c r="K222" s="10" t="s">
        <v>39</v>
      </c>
      <c r="L222" s="10" t="s">
        <v>40</v>
      </c>
    </row>
    <row r="223" customFormat="false" ht="15.75" hidden="false" customHeight="false" outlineLevel="0" collapsed="false">
      <c r="A223" s="10" t="n">
        <v>12</v>
      </c>
      <c r="B223" s="10" t="n">
        <v>319.38</v>
      </c>
      <c r="C223" s="10" t="s">
        <v>20</v>
      </c>
      <c r="D223" s="10" t="n">
        <v>0.5</v>
      </c>
      <c r="E223" s="10" t="n">
        <v>0.5</v>
      </c>
      <c r="F223" s="10" t="n">
        <v>0</v>
      </c>
      <c r="G223" s="10" t="n">
        <v>4</v>
      </c>
      <c r="H223" s="10" t="n">
        <v>26</v>
      </c>
      <c r="I223" s="10" t="s">
        <v>13</v>
      </c>
      <c r="J223" s="10" t="s">
        <v>38</v>
      </c>
      <c r="K223" s="10" t="s">
        <v>37</v>
      </c>
      <c r="L223" s="10" t="s">
        <v>42</v>
      </c>
    </row>
    <row r="224" customFormat="false" ht="15.75" hidden="false" customHeight="false" outlineLevel="0" collapsed="false">
      <c r="A224" s="10" t="n">
        <v>12</v>
      </c>
      <c r="B224" s="10" t="n">
        <v>613.2</v>
      </c>
      <c r="C224" s="10" t="s">
        <v>15</v>
      </c>
      <c r="D224" s="10" t="n">
        <v>2.5</v>
      </c>
      <c r="E224" s="10" t="n">
        <v>2.5</v>
      </c>
      <c r="F224" s="10" t="n">
        <v>0</v>
      </c>
      <c r="G224" s="10" t="n">
        <v>4</v>
      </c>
      <c r="H224" s="10" t="n">
        <v>23</v>
      </c>
      <c r="I224" s="10" t="s">
        <v>13</v>
      </c>
      <c r="J224" s="10" t="s">
        <v>38</v>
      </c>
      <c r="K224" s="10" t="s">
        <v>37</v>
      </c>
      <c r="L224" s="10" t="s">
        <v>40</v>
      </c>
    </row>
    <row r="225" customFormat="false" ht="15.75" hidden="false" customHeight="false" outlineLevel="0" collapsed="false">
      <c r="A225" s="10" t="n">
        <v>12</v>
      </c>
      <c r="B225" s="10" t="n">
        <v>361.28</v>
      </c>
      <c r="C225" s="10" t="s">
        <v>15</v>
      </c>
      <c r="D225" s="10" t="n">
        <v>2.5</v>
      </c>
      <c r="E225" s="10" t="n">
        <v>2.5</v>
      </c>
      <c r="F225" s="10" t="n">
        <v>0</v>
      </c>
      <c r="G225" s="10" t="n">
        <v>4</v>
      </c>
      <c r="H225" s="10" t="n">
        <v>30</v>
      </c>
      <c r="I225" s="10" t="s">
        <v>13</v>
      </c>
      <c r="J225" s="10" t="s">
        <v>39</v>
      </c>
      <c r="K225" s="10" t="s">
        <v>37</v>
      </c>
      <c r="L225" s="10" t="s">
        <v>40</v>
      </c>
    </row>
    <row r="226" customFormat="false" ht="15.75" hidden="false" customHeight="false" outlineLevel="0" collapsed="false">
      <c r="A226" s="10" t="n">
        <v>24</v>
      </c>
      <c r="B226" s="10" t="n">
        <v>1521.76</v>
      </c>
      <c r="C226" s="10" t="s">
        <v>15</v>
      </c>
      <c r="D226" s="10" t="n">
        <v>2.5</v>
      </c>
      <c r="E226" s="10" t="n">
        <v>2.5</v>
      </c>
      <c r="F226" s="10" t="n">
        <v>0</v>
      </c>
      <c r="G226" s="10" t="n">
        <v>4</v>
      </c>
      <c r="H226" s="10" t="n">
        <v>32</v>
      </c>
      <c r="I226" s="10" t="s">
        <v>13</v>
      </c>
      <c r="J226" s="10" t="s">
        <v>39</v>
      </c>
      <c r="K226" s="10" t="s">
        <v>37</v>
      </c>
      <c r="L226" s="10" t="s">
        <v>40</v>
      </c>
    </row>
    <row r="227" customFormat="false" ht="15.75" hidden="false" customHeight="false" outlineLevel="0" collapsed="false">
      <c r="A227" s="10" t="n">
        <v>15</v>
      </c>
      <c r="B227" s="10" t="n">
        <v>2379.73</v>
      </c>
      <c r="C227" s="10" t="s">
        <v>15</v>
      </c>
      <c r="D227" s="10" t="n">
        <v>2.5</v>
      </c>
      <c r="E227" s="10" t="n">
        <v>2.5</v>
      </c>
      <c r="F227" s="10" t="n">
        <v>0</v>
      </c>
      <c r="G227" s="10" t="n">
        <v>3</v>
      </c>
      <c r="H227" s="10" t="n">
        <v>30</v>
      </c>
      <c r="I227" s="10" t="s">
        <v>13</v>
      </c>
      <c r="J227" s="10" t="s">
        <v>39</v>
      </c>
      <c r="K227" s="10" t="s">
        <v>39</v>
      </c>
      <c r="L227" s="10" t="s">
        <v>40</v>
      </c>
    </row>
    <row r="228" customFormat="false" ht="15.75" hidden="false" customHeight="false" outlineLevel="0" collapsed="false">
      <c r="A228" s="10" t="n">
        <v>36</v>
      </c>
      <c r="B228" s="10" t="n">
        <v>1335.24</v>
      </c>
      <c r="C228" s="10" t="s">
        <v>15</v>
      </c>
      <c r="D228" s="10" t="n">
        <v>2.5</v>
      </c>
      <c r="E228" s="10" t="n">
        <v>2.5</v>
      </c>
      <c r="F228" s="10" t="n">
        <v>0</v>
      </c>
      <c r="G228" s="10" t="n">
        <v>4</v>
      </c>
      <c r="H228" s="10" t="n">
        <v>27</v>
      </c>
      <c r="I228" s="10" t="s">
        <v>13</v>
      </c>
      <c r="J228" s="10" t="s">
        <v>38</v>
      </c>
      <c r="K228" s="10" t="s">
        <v>37</v>
      </c>
      <c r="L228" s="10" t="s">
        <v>40</v>
      </c>
    </row>
    <row r="229" customFormat="false" ht="15.75" hidden="false" customHeight="false" outlineLevel="0" collapsed="false">
      <c r="A229" s="10" t="n">
        <v>48</v>
      </c>
      <c r="B229" s="10" t="n">
        <v>5601.07</v>
      </c>
      <c r="C229" s="10" t="s">
        <v>17</v>
      </c>
      <c r="D229" s="10" t="n">
        <v>5.5</v>
      </c>
      <c r="E229" s="10" t="n">
        <v>5.5</v>
      </c>
      <c r="F229" s="10" t="n">
        <v>0</v>
      </c>
      <c r="G229" s="10" t="n">
        <v>1</v>
      </c>
      <c r="H229" s="10" t="n">
        <v>27</v>
      </c>
      <c r="I229" s="10" t="s">
        <v>16</v>
      </c>
      <c r="J229" s="10" t="s">
        <v>38</v>
      </c>
      <c r="K229" s="10" t="s">
        <v>43</v>
      </c>
      <c r="L229" s="10" t="s">
        <v>41</v>
      </c>
    </row>
    <row r="230" customFormat="false" ht="15.75" hidden="false" customHeight="false" outlineLevel="0" collapsed="false">
      <c r="A230" s="10" t="n">
        <v>12</v>
      </c>
      <c r="B230" s="10" t="n">
        <v>4019.02</v>
      </c>
      <c r="C230" s="10" t="s">
        <v>12</v>
      </c>
      <c r="D230" s="10" t="n">
        <v>8</v>
      </c>
      <c r="E230" s="10" t="n">
        <v>8</v>
      </c>
      <c r="F230" s="10" t="n">
        <v>0</v>
      </c>
      <c r="G230" s="10" t="n">
        <v>4</v>
      </c>
      <c r="H230" s="10" t="n">
        <v>53</v>
      </c>
      <c r="I230" s="10" t="s">
        <v>16</v>
      </c>
      <c r="J230" s="10" t="s">
        <v>36</v>
      </c>
      <c r="K230" s="10" t="s">
        <v>37</v>
      </c>
      <c r="L230" s="10" t="s">
        <v>37</v>
      </c>
    </row>
    <row r="231" customFormat="false" ht="15.75" hidden="false" customHeight="false" outlineLevel="0" collapsed="false">
      <c r="A231" s="10" t="n">
        <v>9</v>
      </c>
      <c r="B231" s="10" t="n">
        <v>755.26</v>
      </c>
      <c r="C231" s="10" t="s">
        <v>17</v>
      </c>
      <c r="D231" s="10" t="n">
        <v>5.5</v>
      </c>
      <c r="E231" s="10" t="n">
        <v>4</v>
      </c>
      <c r="F231" s="10" t="n">
        <v>1</v>
      </c>
      <c r="G231" s="10" t="n">
        <v>4</v>
      </c>
      <c r="H231" s="10" t="n">
        <v>22</v>
      </c>
      <c r="I231" s="10" t="s">
        <v>16</v>
      </c>
      <c r="J231" s="10" t="s">
        <v>38</v>
      </c>
      <c r="K231" s="10" t="s">
        <v>37</v>
      </c>
      <c r="L231" s="10" t="s">
        <v>41</v>
      </c>
    </row>
    <row r="232" customFormat="false" ht="15.75" hidden="false" customHeight="false" outlineLevel="0" collapsed="false">
      <c r="A232" s="10" t="n">
        <v>24</v>
      </c>
      <c r="B232" s="10" t="n">
        <v>1609.14</v>
      </c>
      <c r="C232" s="10" t="s">
        <v>20</v>
      </c>
      <c r="D232" s="10" t="n">
        <v>0.5</v>
      </c>
      <c r="E232" s="10" t="n">
        <v>0.5</v>
      </c>
      <c r="F232" s="10" t="n">
        <v>0</v>
      </c>
      <c r="G232" s="10" t="n">
        <v>4</v>
      </c>
      <c r="H232" s="10" t="n">
        <v>22</v>
      </c>
      <c r="I232" s="10" t="s">
        <v>13</v>
      </c>
      <c r="J232" s="10" t="s">
        <v>38</v>
      </c>
      <c r="K232" s="10" t="s">
        <v>37</v>
      </c>
      <c r="L232" s="10" t="s">
        <v>42</v>
      </c>
    </row>
    <row r="233" customFormat="false" ht="15.75" hidden="false" customHeight="false" outlineLevel="0" collapsed="false">
      <c r="A233" s="10" t="n">
        <v>36</v>
      </c>
      <c r="B233" s="10" t="n">
        <v>2151.31</v>
      </c>
      <c r="C233" s="10" t="s">
        <v>15</v>
      </c>
      <c r="D233" s="10" t="n">
        <v>2.5</v>
      </c>
      <c r="E233" s="10" t="n">
        <v>2.5</v>
      </c>
      <c r="F233" s="10" t="n">
        <v>0</v>
      </c>
      <c r="G233" s="10" t="n">
        <v>4</v>
      </c>
      <c r="H233" s="10" t="n">
        <v>26</v>
      </c>
      <c r="I233" s="10" t="s">
        <v>16</v>
      </c>
      <c r="J233" s="10" t="s">
        <v>38</v>
      </c>
      <c r="K233" s="10" t="s">
        <v>37</v>
      </c>
      <c r="L233" s="10" t="s">
        <v>40</v>
      </c>
    </row>
    <row r="234" customFormat="false" ht="15.75" hidden="false" customHeight="false" outlineLevel="0" collapsed="false">
      <c r="A234" s="10" t="n">
        <v>9</v>
      </c>
      <c r="B234" s="10" t="n">
        <v>1281.08</v>
      </c>
      <c r="C234" s="10" t="s">
        <v>12</v>
      </c>
      <c r="D234" s="10" t="n">
        <v>8</v>
      </c>
      <c r="E234" s="10" t="n">
        <v>8</v>
      </c>
      <c r="F234" s="10" t="n">
        <v>0</v>
      </c>
      <c r="G234" s="10" t="n">
        <v>2</v>
      </c>
      <c r="H234" s="10" t="n">
        <v>51</v>
      </c>
      <c r="I234" s="10" t="s">
        <v>13</v>
      </c>
      <c r="J234" s="10" t="s">
        <v>36</v>
      </c>
      <c r="K234" s="10" t="s">
        <v>39</v>
      </c>
      <c r="L234" s="10" t="s">
        <v>37</v>
      </c>
    </row>
    <row r="235" customFormat="false" ht="15.75" hidden="false" customHeight="false" outlineLevel="0" collapsed="false">
      <c r="A235" s="10" t="n">
        <v>12</v>
      </c>
      <c r="B235" s="10" t="n">
        <v>1094.05</v>
      </c>
      <c r="C235" s="10" t="s">
        <v>17</v>
      </c>
      <c r="D235" s="10" t="n">
        <v>5.5</v>
      </c>
      <c r="E235" s="10" t="n">
        <v>5.5</v>
      </c>
      <c r="F235" s="10" t="n">
        <v>0</v>
      </c>
      <c r="G235" s="10" t="n">
        <v>3</v>
      </c>
      <c r="H235" s="10" t="n">
        <v>35</v>
      </c>
      <c r="I235" s="10" t="s">
        <v>13</v>
      </c>
      <c r="J235" s="10" t="s">
        <v>39</v>
      </c>
      <c r="K235" s="10" t="s">
        <v>39</v>
      </c>
      <c r="L235" s="10" t="s">
        <v>41</v>
      </c>
    </row>
    <row r="236" customFormat="false" ht="15.75" hidden="false" customHeight="false" outlineLevel="0" collapsed="false">
      <c r="A236" s="10" t="n">
        <v>18</v>
      </c>
      <c r="B236" s="10" t="n">
        <v>442.53</v>
      </c>
      <c r="C236" s="10" t="s">
        <v>15</v>
      </c>
      <c r="D236" s="10" t="n">
        <v>2.5</v>
      </c>
      <c r="E236" s="10" t="n">
        <v>2.5</v>
      </c>
      <c r="F236" s="10" t="n">
        <v>0</v>
      </c>
      <c r="G236" s="10" t="n">
        <v>4</v>
      </c>
      <c r="H236" s="10" t="n">
        <v>25</v>
      </c>
      <c r="I236" s="10" t="s">
        <v>13</v>
      </c>
      <c r="J236" s="10" t="s">
        <v>38</v>
      </c>
      <c r="K236" s="10" t="s">
        <v>37</v>
      </c>
      <c r="L236" s="10" t="s">
        <v>40</v>
      </c>
    </row>
    <row r="237" customFormat="false" ht="15.75" hidden="false" customHeight="false" outlineLevel="0" collapsed="false">
      <c r="A237" s="10" t="n">
        <v>4</v>
      </c>
      <c r="B237" s="10" t="n">
        <v>788.98</v>
      </c>
      <c r="C237" s="10" t="s">
        <v>17</v>
      </c>
      <c r="D237" s="10" t="n">
        <v>5.5</v>
      </c>
      <c r="E237" s="10" t="n">
        <v>5.5</v>
      </c>
      <c r="F237" s="10" t="n">
        <v>0</v>
      </c>
      <c r="G237" s="10" t="n">
        <v>2</v>
      </c>
      <c r="H237" s="10" t="n">
        <v>42</v>
      </c>
      <c r="I237" s="10" t="s">
        <v>13</v>
      </c>
      <c r="J237" s="10" t="s">
        <v>39</v>
      </c>
      <c r="K237" s="10" t="s">
        <v>39</v>
      </c>
      <c r="L237" s="10" t="s">
        <v>41</v>
      </c>
    </row>
    <row r="238" customFormat="false" ht="15.75" hidden="false" customHeight="false" outlineLevel="0" collapsed="false">
      <c r="A238" s="10" t="n">
        <v>24</v>
      </c>
      <c r="B238" s="10" t="n">
        <v>931.55</v>
      </c>
      <c r="C238" s="10" t="s">
        <v>19</v>
      </c>
      <c r="D238" s="10" t="n">
        <v>0</v>
      </c>
      <c r="E238" s="10" t="n">
        <v>0</v>
      </c>
      <c r="F238" s="10" t="n">
        <v>0</v>
      </c>
      <c r="G238" s="10" t="n">
        <v>4</v>
      </c>
      <c r="H238" s="10" t="n">
        <v>30</v>
      </c>
      <c r="I238" s="10" t="s">
        <v>16</v>
      </c>
      <c r="J238" s="10" t="s">
        <v>39</v>
      </c>
      <c r="K238" s="10" t="s">
        <v>37</v>
      </c>
      <c r="L238" s="10" t="s">
        <v>19</v>
      </c>
    </row>
    <row r="239" customFormat="false" ht="15.75" hidden="false" customHeight="false" outlineLevel="0" collapsed="false">
      <c r="A239" s="10" t="n">
        <v>6</v>
      </c>
      <c r="B239" s="10" t="n">
        <v>7437.61</v>
      </c>
      <c r="C239" s="10" t="s">
        <v>19</v>
      </c>
      <c r="D239" s="10" t="n">
        <v>0</v>
      </c>
      <c r="E239" s="10" t="n">
        <v>0</v>
      </c>
      <c r="F239" s="10" t="n">
        <v>0</v>
      </c>
      <c r="G239" s="10" t="n">
        <v>1</v>
      </c>
      <c r="H239" s="10" t="n">
        <v>23</v>
      </c>
      <c r="I239" s="10" t="s">
        <v>16</v>
      </c>
      <c r="J239" s="10" t="s">
        <v>38</v>
      </c>
      <c r="K239" s="10" t="s">
        <v>43</v>
      </c>
      <c r="L239" s="10" t="s">
        <v>19</v>
      </c>
    </row>
    <row r="240" customFormat="false" ht="15.75" hidden="false" customHeight="false" outlineLevel="0" collapsed="false">
      <c r="A240" s="10" t="n">
        <v>21</v>
      </c>
      <c r="B240" s="10" t="n">
        <v>1413.94</v>
      </c>
      <c r="C240" s="10" t="s">
        <v>12</v>
      </c>
      <c r="D240" s="10" t="n">
        <v>8</v>
      </c>
      <c r="E240" s="10" t="n">
        <v>8</v>
      </c>
      <c r="F240" s="10" t="n">
        <v>0</v>
      </c>
      <c r="G240" s="10" t="n">
        <v>4</v>
      </c>
      <c r="H240" s="10" t="n">
        <v>61</v>
      </c>
      <c r="I240" s="10" t="s">
        <v>16</v>
      </c>
      <c r="J240" s="10" t="s">
        <v>36</v>
      </c>
      <c r="K240" s="10" t="s">
        <v>37</v>
      </c>
      <c r="L240" s="10" t="s">
        <v>37</v>
      </c>
    </row>
    <row r="241" customFormat="false" ht="15.75" hidden="false" customHeight="false" outlineLevel="0" collapsed="false">
      <c r="A241" s="10" t="n">
        <v>12</v>
      </c>
      <c r="B241" s="10" t="n">
        <v>659.7</v>
      </c>
      <c r="C241" s="10" t="s">
        <v>15</v>
      </c>
      <c r="D241" s="10" t="n">
        <v>2.5</v>
      </c>
      <c r="E241" s="10" t="n">
        <v>2.5</v>
      </c>
      <c r="F241" s="10" t="n">
        <v>0</v>
      </c>
      <c r="G241" s="10" t="n">
        <v>4</v>
      </c>
      <c r="H241" s="10" t="n">
        <v>35</v>
      </c>
      <c r="I241" s="10" t="s">
        <v>13</v>
      </c>
      <c r="J241" s="10" t="s">
        <v>39</v>
      </c>
      <c r="K241" s="10" t="s">
        <v>37</v>
      </c>
      <c r="L241" s="10" t="s">
        <v>40</v>
      </c>
    </row>
    <row r="242" customFormat="false" ht="15.75" hidden="false" customHeight="false" outlineLevel="0" collapsed="false">
      <c r="A242" s="10" t="n">
        <v>30</v>
      </c>
      <c r="B242" s="10" t="n">
        <v>1288.74</v>
      </c>
      <c r="C242" s="10" t="s">
        <v>12</v>
      </c>
      <c r="D242" s="10" t="n">
        <v>8</v>
      </c>
      <c r="E242" s="10" t="n">
        <v>8</v>
      </c>
      <c r="F242" s="10" t="n">
        <v>0</v>
      </c>
      <c r="G242" s="10" t="n">
        <v>1</v>
      </c>
      <c r="H242" s="10" t="n">
        <v>39</v>
      </c>
      <c r="I242" s="10" t="s">
        <v>13</v>
      </c>
      <c r="J242" s="10" t="s">
        <v>39</v>
      </c>
      <c r="K242" s="10" t="s">
        <v>43</v>
      </c>
      <c r="L242" s="10" t="s">
        <v>37</v>
      </c>
    </row>
    <row r="243" customFormat="false" ht="15.75" hidden="false" customHeight="false" outlineLevel="0" collapsed="false">
      <c r="A243" s="10" t="n">
        <v>24</v>
      </c>
      <c r="B243" s="10" t="n">
        <v>467.57</v>
      </c>
      <c r="C243" s="10" t="s">
        <v>12</v>
      </c>
      <c r="D243" s="10" t="n">
        <v>8</v>
      </c>
      <c r="E243" s="10" t="n">
        <v>8</v>
      </c>
      <c r="F243" s="10" t="n">
        <v>0</v>
      </c>
      <c r="G243" s="10" t="n">
        <v>4</v>
      </c>
      <c r="H243" s="10" t="n">
        <v>29</v>
      </c>
      <c r="I243" s="10" t="s">
        <v>16</v>
      </c>
      <c r="J243" s="10" t="s">
        <v>38</v>
      </c>
      <c r="K243" s="10" t="s">
        <v>37</v>
      </c>
      <c r="L243" s="10" t="s">
        <v>37</v>
      </c>
    </row>
    <row r="244" customFormat="false" ht="15.75" hidden="false" customHeight="false" outlineLevel="0" collapsed="false">
      <c r="A244" s="10" t="n">
        <v>6</v>
      </c>
      <c r="B244" s="10" t="n">
        <v>815.05</v>
      </c>
      <c r="C244" s="10" t="s">
        <v>17</v>
      </c>
      <c r="D244" s="10" t="n">
        <v>5.5</v>
      </c>
      <c r="E244" s="10" t="n">
        <v>5.5</v>
      </c>
      <c r="F244" s="10" t="n">
        <v>0</v>
      </c>
      <c r="G244" s="10" t="n">
        <v>3</v>
      </c>
      <c r="H244" s="10" t="n">
        <v>51</v>
      </c>
      <c r="I244" s="10" t="s">
        <v>13</v>
      </c>
      <c r="J244" s="10" t="s">
        <v>36</v>
      </c>
      <c r="K244" s="10" t="s">
        <v>39</v>
      </c>
      <c r="L244" s="10" t="s">
        <v>41</v>
      </c>
    </row>
    <row r="245" customFormat="false" ht="15.75" hidden="false" customHeight="false" outlineLevel="0" collapsed="false">
      <c r="A245" s="10" t="n">
        <v>48</v>
      </c>
      <c r="B245" s="10" t="n">
        <v>2353.16</v>
      </c>
      <c r="C245" s="10" t="s">
        <v>12</v>
      </c>
      <c r="D245" s="10" t="n">
        <v>8</v>
      </c>
      <c r="E245" s="10" t="n">
        <v>6</v>
      </c>
      <c r="F245" s="10" t="n">
        <v>1</v>
      </c>
      <c r="G245" s="10" t="n">
        <v>3</v>
      </c>
      <c r="H245" s="10" t="n">
        <v>24</v>
      </c>
      <c r="I245" s="10" t="s">
        <v>16</v>
      </c>
      <c r="J245" s="10" t="s">
        <v>38</v>
      </c>
      <c r="K245" s="10" t="s">
        <v>39</v>
      </c>
      <c r="L245" s="10" t="s">
        <v>41</v>
      </c>
    </row>
    <row r="246" customFormat="false" ht="15.75" hidden="false" customHeight="false" outlineLevel="0" collapsed="false">
      <c r="A246" s="10" t="n">
        <v>12</v>
      </c>
      <c r="B246" s="10" t="n">
        <v>605.54</v>
      </c>
      <c r="C246" s="10" t="s">
        <v>15</v>
      </c>
      <c r="D246" s="10" t="n">
        <v>2.5</v>
      </c>
      <c r="E246" s="10" t="n">
        <v>2.5</v>
      </c>
      <c r="F246" s="10" t="n">
        <v>0</v>
      </c>
      <c r="G246" s="10" t="n">
        <v>3</v>
      </c>
      <c r="H246" s="10" t="n">
        <v>27</v>
      </c>
      <c r="I246" s="10" t="s">
        <v>13</v>
      </c>
      <c r="J246" s="10" t="s">
        <v>38</v>
      </c>
      <c r="K246" s="10" t="s">
        <v>39</v>
      </c>
      <c r="L246" s="10" t="s">
        <v>40</v>
      </c>
    </row>
    <row r="247" customFormat="false" ht="15.75" hidden="false" customHeight="false" outlineLevel="0" collapsed="false">
      <c r="A247" s="10" t="n">
        <v>12</v>
      </c>
      <c r="B247" s="10" t="n">
        <v>1761.42</v>
      </c>
      <c r="C247" s="10" t="s">
        <v>15</v>
      </c>
      <c r="D247" s="10" t="n">
        <v>2.5</v>
      </c>
      <c r="E247" s="10" t="n">
        <v>2.5</v>
      </c>
      <c r="F247" s="10" t="n">
        <v>0</v>
      </c>
      <c r="G247" s="10" t="n">
        <v>4</v>
      </c>
      <c r="H247" s="10" t="n">
        <v>35</v>
      </c>
      <c r="I247" s="10" t="s">
        <v>13</v>
      </c>
      <c r="J247" s="10" t="s">
        <v>39</v>
      </c>
      <c r="K247" s="10" t="s">
        <v>37</v>
      </c>
      <c r="L247" s="10" t="s">
        <v>40</v>
      </c>
    </row>
    <row r="248" customFormat="false" ht="15.75" hidden="false" customHeight="false" outlineLevel="0" collapsed="false">
      <c r="A248" s="10" t="n">
        <v>24</v>
      </c>
      <c r="B248" s="10" t="n">
        <v>642.84</v>
      </c>
      <c r="C248" s="10" t="s">
        <v>17</v>
      </c>
      <c r="D248" s="10" t="n">
        <v>5.5</v>
      </c>
      <c r="E248" s="10" t="n">
        <v>5.5</v>
      </c>
      <c r="F248" s="10" t="n">
        <v>0</v>
      </c>
      <c r="G248" s="10" t="n">
        <v>4</v>
      </c>
      <c r="H248" s="10" t="n">
        <v>25</v>
      </c>
      <c r="I248" s="10" t="s">
        <v>13</v>
      </c>
      <c r="J248" s="10" t="s">
        <v>38</v>
      </c>
      <c r="K248" s="10" t="s">
        <v>37</v>
      </c>
      <c r="L248" s="10" t="s">
        <v>41</v>
      </c>
    </row>
    <row r="249" customFormat="false" ht="15.75" hidden="false" customHeight="false" outlineLevel="0" collapsed="false">
      <c r="A249" s="10" t="n">
        <v>12</v>
      </c>
      <c r="B249" s="10" t="n">
        <v>366.39</v>
      </c>
      <c r="C249" s="10" t="s">
        <v>12</v>
      </c>
      <c r="D249" s="10" t="n">
        <v>8</v>
      </c>
      <c r="E249" s="10" t="n">
        <v>8</v>
      </c>
      <c r="F249" s="10" t="n">
        <v>0</v>
      </c>
      <c r="G249" s="10" t="n">
        <v>4</v>
      </c>
      <c r="H249" s="10" t="n">
        <v>52</v>
      </c>
      <c r="I249" s="10" t="s">
        <v>13</v>
      </c>
      <c r="J249" s="10" t="s">
        <v>36</v>
      </c>
      <c r="K249" s="10" t="s">
        <v>37</v>
      </c>
      <c r="L249" s="10" t="s">
        <v>37</v>
      </c>
    </row>
    <row r="250" customFormat="false" ht="15.75" hidden="false" customHeight="false" outlineLevel="0" collapsed="false">
      <c r="A250" s="10" t="n">
        <v>6</v>
      </c>
      <c r="B250" s="10" t="n">
        <v>615.24</v>
      </c>
      <c r="C250" s="10" t="s">
        <v>15</v>
      </c>
      <c r="D250" s="10" t="n">
        <v>2.5</v>
      </c>
      <c r="E250" s="10" t="n">
        <v>2.5</v>
      </c>
      <c r="F250" s="10" t="n">
        <v>0</v>
      </c>
      <c r="G250" s="10" t="n">
        <v>4</v>
      </c>
      <c r="H250" s="10" t="n">
        <v>35</v>
      </c>
      <c r="I250" s="10" t="s">
        <v>13</v>
      </c>
      <c r="J250" s="10" t="s">
        <v>39</v>
      </c>
      <c r="K250" s="10" t="s">
        <v>37</v>
      </c>
      <c r="L250" s="10" t="s">
        <v>40</v>
      </c>
    </row>
    <row r="251" customFormat="false" ht="15.75" hidden="false" customHeight="false" outlineLevel="0" collapsed="false">
      <c r="A251" s="10" t="n">
        <v>24</v>
      </c>
      <c r="B251" s="10" t="n">
        <v>983.68</v>
      </c>
      <c r="C251" s="10" t="s">
        <v>15</v>
      </c>
      <c r="D251" s="10" t="n">
        <v>2.5</v>
      </c>
      <c r="E251" s="10" t="n">
        <v>2.5</v>
      </c>
      <c r="F251" s="10" t="n">
        <v>0</v>
      </c>
      <c r="G251" s="10" t="n">
        <v>2</v>
      </c>
      <c r="H251" s="10" t="n">
        <v>26</v>
      </c>
      <c r="I251" s="10" t="s">
        <v>13</v>
      </c>
      <c r="J251" s="10" t="s">
        <v>38</v>
      </c>
      <c r="K251" s="10" t="s">
        <v>39</v>
      </c>
      <c r="L251" s="10" t="s">
        <v>40</v>
      </c>
    </row>
    <row r="252" customFormat="false" ht="15.75" hidden="false" customHeight="false" outlineLevel="0" collapsed="false">
      <c r="A252" s="10" t="n">
        <v>18</v>
      </c>
      <c r="B252" s="10" t="n">
        <v>221.26</v>
      </c>
      <c r="C252" s="10" t="s">
        <v>19</v>
      </c>
      <c r="D252" s="10" t="n">
        <v>0</v>
      </c>
      <c r="E252" s="10" t="n">
        <v>0</v>
      </c>
      <c r="F252" s="10" t="n">
        <v>0</v>
      </c>
      <c r="G252" s="10" t="n">
        <v>3</v>
      </c>
      <c r="H252" s="10" t="n">
        <v>22</v>
      </c>
      <c r="I252" s="10" t="s">
        <v>16</v>
      </c>
      <c r="J252" s="10" t="s">
        <v>38</v>
      </c>
      <c r="K252" s="10" t="s">
        <v>39</v>
      </c>
      <c r="L252" s="10" t="s">
        <v>19</v>
      </c>
    </row>
    <row r="253" customFormat="false" ht="15.75" hidden="false" customHeight="false" outlineLevel="0" collapsed="false">
      <c r="A253" s="10" t="n">
        <v>6</v>
      </c>
      <c r="B253" s="10" t="n">
        <v>340.33</v>
      </c>
      <c r="C253" s="10" t="s">
        <v>17</v>
      </c>
      <c r="D253" s="10" t="n">
        <v>5.5</v>
      </c>
      <c r="E253" s="10" t="n">
        <v>5.5</v>
      </c>
      <c r="F253" s="10" t="n">
        <v>0</v>
      </c>
      <c r="G253" s="10" t="n">
        <v>3</v>
      </c>
      <c r="H253" s="10" t="n">
        <v>39</v>
      </c>
      <c r="I253" s="10" t="s">
        <v>13</v>
      </c>
      <c r="J253" s="10" t="s">
        <v>39</v>
      </c>
      <c r="K253" s="10" t="s">
        <v>39</v>
      </c>
      <c r="L253" s="10" t="s">
        <v>41</v>
      </c>
    </row>
    <row r="254" customFormat="false" ht="15.75" hidden="false" customHeight="false" outlineLevel="0" collapsed="false">
      <c r="A254" s="10" t="n">
        <v>12</v>
      </c>
      <c r="B254" s="10" t="n">
        <v>1150.26</v>
      </c>
      <c r="C254" s="10" t="s">
        <v>15</v>
      </c>
      <c r="D254" s="10" t="n">
        <v>2.5</v>
      </c>
      <c r="E254" s="10" t="n">
        <v>2.5</v>
      </c>
      <c r="F254" s="10" t="n">
        <v>0</v>
      </c>
      <c r="G254" s="10" t="n">
        <v>1</v>
      </c>
      <c r="H254" s="10" t="n">
        <v>46</v>
      </c>
      <c r="I254" s="10" t="s">
        <v>13</v>
      </c>
      <c r="J254" s="10" t="s">
        <v>39</v>
      </c>
      <c r="K254" s="10" t="s">
        <v>43</v>
      </c>
      <c r="L254" s="10" t="s">
        <v>40</v>
      </c>
    </row>
    <row r="255" customFormat="false" ht="15.75" hidden="false" customHeight="false" outlineLevel="0" collapsed="false">
      <c r="A255" s="10" t="n">
        <v>30</v>
      </c>
      <c r="B255" s="10" t="n">
        <v>1098.65</v>
      </c>
      <c r="C255" s="10" t="s">
        <v>15</v>
      </c>
      <c r="D255" s="10" t="n">
        <v>2.5</v>
      </c>
      <c r="E255" s="10" t="n">
        <v>2.5</v>
      </c>
      <c r="F255" s="10" t="n">
        <v>0</v>
      </c>
      <c r="G255" s="10" t="n">
        <v>4</v>
      </c>
      <c r="H255" s="10" t="n">
        <v>24</v>
      </c>
      <c r="I255" s="10" t="s">
        <v>16</v>
      </c>
      <c r="J255" s="10" t="s">
        <v>38</v>
      </c>
      <c r="K255" s="10" t="s">
        <v>37</v>
      </c>
      <c r="L255" s="10" t="s">
        <v>40</v>
      </c>
    </row>
    <row r="256" customFormat="false" ht="15.75" hidden="false" customHeight="false" outlineLevel="0" collapsed="false">
      <c r="A256" s="10" t="n">
        <v>24</v>
      </c>
      <c r="B256" s="10" t="n">
        <v>2121.16</v>
      </c>
      <c r="C256" s="10" t="s">
        <v>15</v>
      </c>
      <c r="D256" s="10" t="n">
        <v>2.5</v>
      </c>
      <c r="E256" s="10" t="n">
        <v>2.5</v>
      </c>
      <c r="F256" s="10" t="n">
        <v>0</v>
      </c>
      <c r="G256" s="10" t="n">
        <v>2</v>
      </c>
      <c r="H256" s="10" t="n">
        <v>35</v>
      </c>
      <c r="I256" s="10" t="s">
        <v>13</v>
      </c>
      <c r="J256" s="10" t="s">
        <v>39</v>
      </c>
      <c r="K256" s="10" t="s">
        <v>39</v>
      </c>
      <c r="L256" s="10" t="s">
        <v>40</v>
      </c>
    </row>
    <row r="257" customFormat="false" ht="15.75" hidden="false" customHeight="false" outlineLevel="0" collapsed="false">
      <c r="A257" s="10" t="n">
        <v>9</v>
      </c>
      <c r="B257" s="10" t="n">
        <v>1037.33</v>
      </c>
      <c r="C257" s="10" t="s">
        <v>17</v>
      </c>
      <c r="D257" s="10" t="n">
        <v>5.5</v>
      </c>
      <c r="E257" s="10" t="n">
        <v>5.5</v>
      </c>
      <c r="F257" s="10" t="n">
        <v>0</v>
      </c>
      <c r="G257" s="10" t="n">
        <v>2</v>
      </c>
      <c r="H257" s="10" t="n">
        <v>24</v>
      </c>
      <c r="I257" s="10" t="s">
        <v>13</v>
      </c>
      <c r="J257" s="10" t="s">
        <v>38</v>
      </c>
      <c r="K257" s="10" t="s">
        <v>39</v>
      </c>
      <c r="L257" s="10" t="s">
        <v>41</v>
      </c>
    </row>
    <row r="258" customFormat="false" ht="15.75" hidden="false" customHeight="false" outlineLevel="0" collapsed="false">
      <c r="A258" s="10" t="n">
        <v>60</v>
      </c>
      <c r="B258" s="10" t="n">
        <v>3790.6</v>
      </c>
      <c r="C258" s="10" t="s">
        <v>15</v>
      </c>
      <c r="D258" s="10" t="n">
        <v>2.5</v>
      </c>
      <c r="E258" s="10" t="n">
        <v>2.5</v>
      </c>
      <c r="F258" s="10" t="n">
        <v>0</v>
      </c>
      <c r="G258" s="10" t="n">
        <v>1</v>
      </c>
      <c r="H258" s="10" t="n">
        <v>27</v>
      </c>
      <c r="I258" s="10" t="s">
        <v>13</v>
      </c>
      <c r="J258" s="10" t="s">
        <v>38</v>
      </c>
      <c r="K258" s="10" t="s">
        <v>43</v>
      </c>
      <c r="L258" s="10" t="s">
        <v>40</v>
      </c>
    </row>
    <row r="259" customFormat="false" ht="15.75" hidden="false" customHeight="false" outlineLevel="0" collapsed="false">
      <c r="A259" s="10" t="n">
        <v>24</v>
      </c>
      <c r="B259" s="10" t="n">
        <v>1371.52</v>
      </c>
      <c r="C259" s="10" t="s">
        <v>15</v>
      </c>
      <c r="D259" s="10" t="n">
        <v>2.5</v>
      </c>
      <c r="E259" s="10" t="n">
        <v>2.5</v>
      </c>
      <c r="F259" s="10" t="n">
        <v>0</v>
      </c>
      <c r="G259" s="10" t="n">
        <v>4</v>
      </c>
      <c r="H259" s="10" t="n">
        <v>35</v>
      </c>
      <c r="I259" s="10" t="s">
        <v>13</v>
      </c>
      <c r="J259" s="10" t="s">
        <v>39</v>
      </c>
      <c r="K259" s="10" t="s">
        <v>37</v>
      </c>
      <c r="L259" s="10" t="s">
        <v>40</v>
      </c>
    </row>
    <row r="260" customFormat="false" ht="15.75" hidden="false" customHeight="false" outlineLevel="0" collapsed="false">
      <c r="A260" s="10" t="n">
        <v>12</v>
      </c>
      <c r="B260" s="10" t="n">
        <v>1098.14</v>
      </c>
      <c r="C260" s="10" t="s">
        <v>15</v>
      </c>
      <c r="D260" s="10" t="n">
        <v>2.5</v>
      </c>
      <c r="E260" s="10" t="n">
        <v>2.5</v>
      </c>
      <c r="F260" s="10" t="n">
        <v>0</v>
      </c>
      <c r="G260" s="10" t="n">
        <v>4</v>
      </c>
      <c r="H260" s="10" t="n">
        <v>29</v>
      </c>
      <c r="I260" s="10" t="s">
        <v>16</v>
      </c>
      <c r="J260" s="10" t="s">
        <v>38</v>
      </c>
      <c r="K260" s="10" t="s">
        <v>37</v>
      </c>
      <c r="L260" s="10" t="s">
        <v>40</v>
      </c>
    </row>
    <row r="261" customFormat="false" ht="15.75" hidden="false" customHeight="false" outlineLevel="0" collapsed="false">
      <c r="A261" s="10" t="n">
        <v>15</v>
      </c>
      <c r="B261" s="10" t="n">
        <v>1947.93</v>
      </c>
      <c r="C261" s="10" t="s">
        <v>20</v>
      </c>
      <c r="D261" s="10" t="n">
        <v>0.5</v>
      </c>
      <c r="E261" s="10" t="n">
        <v>0.5</v>
      </c>
      <c r="F261" s="10" t="n">
        <v>0</v>
      </c>
      <c r="G261" s="10" t="n">
        <v>1</v>
      </c>
      <c r="H261" s="10" t="n">
        <v>23</v>
      </c>
      <c r="I261" s="10" t="s">
        <v>13</v>
      </c>
      <c r="J261" s="10" t="s">
        <v>38</v>
      </c>
      <c r="K261" s="10" t="s">
        <v>43</v>
      </c>
      <c r="L261" s="10" t="s">
        <v>42</v>
      </c>
    </row>
    <row r="262" customFormat="false" ht="15.75" hidden="false" customHeight="false" outlineLevel="0" collapsed="false">
      <c r="A262" s="10" t="n">
        <v>11</v>
      </c>
      <c r="B262" s="10" t="n">
        <v>589.69</v>
      </c>
      <c r="C262" s="10" t="s">
        <v>19</v>
      </c>
      <c r="D262" s="10" t="n">
        <v>0</v>
      </c>
      <c r="E262" s="10" t="n">
        <v>0</v>
      </c>
      <c r="F262" s="10" t="n">
        <v>0</v>
      </c>
      <c r="G262" s="10" t="n">
        <v>4</v>
      </c>
      <c r="H262" s="10" t="n">
        <v>57</v>
      </c>
      <c r="I262" s="10" t="s">
        <v>13</v>
      </c>
      <c r="J262" s="10" t="s">
        <v>36</v>
      </c>
      <c r="K262" s="10" t="s">
        <v>37</v>
      </c>
      <c r="L262" s="10" t="s">
        <v>19</v>
      </c>
    </row>
    <row r="263" customFormat="false" ht="15.75" hidden="false" customHeight="false" outlineLevel="0" collapsed="false">
      <c r="A263" s="10" t="n">
        <v>12</v>
      </c>
      <c r="B263" s="10" t="n">
        <v>846.73</v>
      </c>
      <c r="C263" s="10" t="s">
        <v>15</v>
      </c>
      <c r="D263" s="10" t="n">
        <v>2.5</v>
      </c>
      <c r="E263" s="10" t="n">
        <v>2.5</v>
      </c>
      <c r="F263" s="10" t="n">
        <v>0</v>
      </c>
      <c r="G263" s="10" t="n">
        <v>2</v>
      </c>
      <c r="H263" s="10" t="n">
        <v>27</v>
      </c>
      <c r="I263" s="10" t="s">
        <v>13</v>
      </c>
      <c r="J263" s="10" t="s">
        <v>38</v>
      </c>
      <c r="K263" s="10" t="s">
        <v>39</v>
      </c>
      <c r="L263" s="10" t="s">
        <v>40</v>
      </c>
    </row>
    <row r="264" customFormat="false" ht="15.75" hidden="false" customHeight="false" outlineLevel="0" collapsed="false">
      <c r="A264" s="10" t="n">
        <v>24</v>
      </c>
      <c r="B264" s="10" t="n">
        <v>819.13</v>
      </c>
      <c r="C264" s="10" t="s">
        <v>12</v>
      </c>
      <c r="D264" s="10" t="n">
        <v>8</v>
      </c>
      <c r="E264" s="10" t="n">
        <v>8</v>
      </c>
      <c r="F264" s="10" t="n">
        <v>0</v>
      </c>
      <c r="G264" s="10" t="n">
        <v>4</v>
      </c>
      <c r="H264" s="10" t="n">
        <v>55</v>
      </c>
      <c r="I264" s="10" t="s">
        <v>13</v>
      </c>
      <c r="J264" s="10" t="s">
        <v>36</v>
      </c>
      <c r="K264" s="10" t="s">
        <v>37</v>
      </c>
      <c r="L264" s="10" t="s">
        <v>37</v>
      </c>
    </row>
    <row r="265" customFormat="false" ht="15.75" hidden="false" customHeight="false" outlineLevel="0" collapsed="false">
      <c r="A265" s="10" t="n">
        <v>18</v>
      </c>
      <c r="B265" s="10" t="n">
        <v>2709.32</v>
      </c>
      <c r="C265" s="10" t="s">
        <v>12</v>
      </c>
      <c r="D265" s="10" t="n">
        <v>8</v>
      </c>
      <c r="E265" s="10" t="n">
        <v>8</v>
      </c>
      <c r="F265" s="10" t="n">
        <v>0</v>
      </c>
      <c r="G265" s="10" t="n">
        <v>2</v>
      </c>
      <c r="H265" s="10" t="n">
        <v>36</v>
      </c>
      <c r="I265" s="10" t="s">
        <v>13</v>
      </c>
      <c r="J265" s="10" t="s">
        <v>39</v>
      </c>
      <c r="K265" s="10" t="s">
        <v>39</v>
      </c>
      <c r="L265" s="10" t="s">
        <v>37</v>
      </c>
    </row>
    <row r="266" customFormat="false" ht="15.75" hidden="false" customHeight="false" outlineLevel="0" collapsed="false">
      <c r="A266" s="10" t="n">
        <v>12</v>
      </c>
      <c r="B266" s="10" t="n">
        <v>1404.23</v>
      </c>
      <c r="C266" s="10" t="s">
        <v>12</v>
      </c>
      <c r="D266" s="10" t="n">
        <v>8</v>
      </c>
      <c r="E266" s="10" t="n">
        <v>8</v>
      </c>
      <c r="F266" s="10" t="n">
        <v>0</v>
      </c>
      <c r="G266" s="10" t="n">
        <v>2</v>
      </c>
      <c r="H266" s="10" t="n">
        <v>57</v>
      </c>
      <c r="I266" s="10" t="s">
        <v>13</v>
      </c>
      <c r="J266" s="10" t="s">
        <v>36</v>
      </c>
      <c r="K266" s="10" t="s">
        <v>39</v>
      </c>
      <c r="L266" s="10" t="s">
        <v>37</v>
      </c>
    </row>
    <row r="267" customFormat="false" ht="15.75" hidden="false" customHeight="false" outlineLevel="0" collapsed="false">
      <c r="A267" s="10" t="n">
        <v>10</v>
      </c>
      <c r="B267" s="10" t="n">
        <v>629.04</v>
      </c>
      <c r="C267" s="10" t="s">
        <v>12</v>
      </c>
      <c r="D267" s="10" t="n">
        <v>8</v>
      </c>
      <c r="E267" s="10" t="n">
        <v>8</v>
      </c>
      <c r="F267" s="10" t="n">
        <v>0</v>
      </c>
      <c r="G267" s="10" t="n">
        <v>3</v>
      </c>
      <c r="H267" s="10" t="n">
        <v>32</v>
      </c>
      <c r="I267" s="10" t="s">
        <v>13</v>
      </c>
      <c r="J267" s="10" t="s">
        <v>39</v>
      </c>
      <c r="K267" s="10" t="s">
        <v>39</v>
      </c>
      <c r="L267" s="10" t="s">
        <v>37</v>
      </c>
    </row>
    <row r="268" customFormat="false" ht="15.75" hidden="false" customHeight="false" outlineLevel="0" collapsed="false">
      <c r="A268" s="10" t="n">
        <v>15</v>
      </c>
      <c r="B268" s="10" t="n">
        <v>409.82</v>
      </c>
      <c r="C268" s="10" t="s">
        <v>12</v>
      </c>
      <c r="D268" s="10" t="n">
        <v>8</v>
      </c>
      <c r="E268" s="10" t="n">
        <v>8</v>
      </c>
      <c r="F268" s="10" t="n">
        <v>0</v>
      </c>
      <c r="G268" s="10" t="n">
        <v>4</v>
      </c>
      <c r="H268" s="10" t="n">
        <v>37</v>
      </c>
      <c r="I268" s="10" t="s">
        <v>16</v>
      </c>
      <c r="J268" s="10" t="s">
        <v>39</v>
      </c>
      <c r="K268" s="10" t="s">
        <v>37</v>
      </c>
      <c r="L268" s="10" t="s">
        <v>37</v>
      </c>
    </row>
    <row r="269" customFormat="false" ht="15.75" hidden="false" customHeight="false" outlineLevel="0" collapsed="false">
      <c r="A269" s="10" t="n">
        <v>36</v>
      </c>
      <c r="B269" s="10" t="n">
        <v>3221.34</v>
      </c>
      <c r="C269" s="10" t="s">
        <v>12</v>
      </c>
      <c r="D269" s="10" t="n">
        <v>8</v>
      </c>
      <c r="E269" s="10" t="n">
        <v>8</v>
      </c>
      <c r="F269" s="10" t="n">
        <v>0</v>
      </c>
      <c r="G269" s="10" t="n">
        <v>4</v>
      </c>
      <c r="H269" s="10" t="n">
        <v>36</v>
      </c>
      <c r="I269" s="10" t="s">
        <v>13</v>
      </c>
      <c r="J269" s="10" t="s">
        <v>39</v>
      </c>
      <c r="K269" s="10" t="s">
        <v>37</v>
      </c>
      <c r="L269" s="10" t="s">
        <v>37</v>
      </c>
    </row>
    <row r="270" customFormat="false" ht="15.75" hidden="false" customHeight="false" outlineLevel="0" collapsed="false">
      <c r="A270" s="10" t="n">
        <v>24</v>
      </c>
      <c r="B270" s="10" t="n">
        <v>783.36</v>
      </c>
      <c r="C270" s="10" t="s">
        <v>20</v>
      </c>
      <c r="D270" s="10" t="n">
        <v>0.5</v>
      </c>
      <c r="E270" s="10" t="n">
        <v>0.5</v>
      </c>
      <c r="F270" s="10" t="n">
        <v>0</v>
      </c>
      <c r="G270" s="10" t="n">
        <v>4</v>
      </c>
      <c r="H270" s="10" t="n">
        <v>38</v>
      </c>
      <c r="I270" s="10" t="s">
        <v>13</v>
      </c>
      <c r="J270" s="10" t="s">
        <v>39</v>
      </c>
      <c r="K270" s="10" t="s">
        <v>37</v>
      </c>
      <c r="L270" s="10" t="s">
        <v>42</v>
      </c>
    </row>
    <row r="271" customFormat="false" ht="15.75" hidden="false" customHeight="false" outlineLevel="0" collapsed="false">
      <c r="A271" s="10" t="n">
        <v>14</v>
      </c>
      <c r="B271" s="10" t="n">
        <v>4587.76</v>
      </c>
      <c r="C271" s="10" t="s">
        <v>12</v>
      </c>
      <c r="D271" s="10" t="n">
        <v>8</v>
      </c>
      <c r="E271" s="10" t="n">
        <v>8</v>
      </c>
      <c r="F271" s="10" t="n">
        <v>0</v>
      </c>
      <c r="G271" s="10" t="n">
        <v>1</v>
      </c>
      <c r="H271" s="10" t="n">
        <v>45</v>
      </c>
      <c r="I271" s="10" t="s">
        <v>16</v>
      </c>
      <c r="J271" s="10" t="s">
        <v>39</v>
      </c>
      <c r="K271" s="10" t="s">
        <v>43</v>
      </c>
      <c r="L271" s="10" t="s">
        <v>37</v>
      </c>
    </row>
    <row r="272" customFormat="false" ht="15.75" hidden="false" customHeight="false" outlineLevel="0" collapsed="false">
      <c r="A272" s="10" t="n">
        <v>24</v>
      </c>
      <c r="B272" s="10" t="n">
        <v>510.49</v>
      </c>
      <c r="C272" s="10" t="s">
        <v>12</v>
      </c>
      <c r="D272" s="10" t="n">
        <v>8</v>
      </c>
      <c r="E272" s="10" t="n">
        <v>7</v>
      </c>
      <c r="F272" s="10" t="n">
        <v>1</v>
      </c>
      <c r="G272" s="10" t="n">
        <v>4</v>
      </c>
      <c r="H272" s="10" t="n">
        <v>25</v>
      </c>
      <c r="I272" s="10" t="s">
        <v>13</v>
      </c>
      <c r="J272" s="10" t="s">
        <v>38</v>
      </c>
      <c r="K272" s="10" t="s">
        <v>37</v>
      </c>
      <c r="L272" s="10" t="s">
        <v>37</v>
      </c>
    </row>
    <row r="273" customFormat="false" ht="15.75" hidden="false" customHeight="false" outlineLevel="0" collapsed="false">
      <c r="A273" s="10" t="n">
        <v>18</v>
      </c>
      <c r="B273" s="10" t="n">
        <v>1360.28</v>
      </c>
      <c r="C273" s="10" t="s">
        <v>17</v>
      </c>
      <c r="D273" s="10" t="n">
        <v>5.5</v>
      </c>
      <c r="E273" s="10" t="n">
        <v>5.5</v>
      </c>
      <c r="F273" s="10" t="n">
        <v>0</v>
      </c>
      <c r="G273" s="10" t="n">
        <v>4</v>
      </c>
      <c r="H273" s="10" t="n">
        <v>32</v>
      </c>
      <c r="I273" s="10" t="s">
        <v>13</v>
      </c>
      <c r="J273" s="10" t="s">
        <v>39</v>
      </c>
      <c r="K273" s="10" t="s">
        <v>37</v>
      </c>
      <c r="L273" s="10" t="s">
        <v>41</v>
      </c>
    </row>
    <row r="274" customFormat="false" ht="15.75" hidden="false" customHeight="false" outlineLevel="0" collapsed="false">
      <c r="A274" s="10" t="n">
        <v>12</v>
      </c>
      <c r="B274" s="10" t="n">
        <v>716.42</v>
      </c>
      <c r="C274" s="10" t="s">
        <v>17</v>
      </c>
      <c r="D274" s="10" t="n">
        <v>5.5</v>
      </c>
      <c r="E274" s="10" t="n">
        <v>5.5</v>
      </c>
      <c r="F274" s="10" t="n">
        <v>0</v>
      </c>
      <c r="G274" s="10" t="n">
        <v>3</v>
      </c>
      <c r="H274" s="10" t="n">
        <v>37</v>
      </c>
      <c r="I274" s="10" t="s">
        <v>13</v>
      </c>
      <c r="J274" s="10" t="s">
        <v>39</v>
      </c>
      <c r="K274" s="10" t="s">
        <v>39</v>
      </c>
      <c r="L274" s="10" t="s">
        <v>41</v>
      </c>
    </row>
    <row r="275" customFormat="false" ht="15.75" hidden="false" customHeight="false" outlineLevel="0" collapsed="false">
      <c r="A275" s="10" t="n">
        <v>48</v>
      </c>
      <c r="B275" s="10" t="n">
        <v>6218.36</v>
      </c>
      <c r="C275" s="10" t="s">
        <v>19</v>
      </c>
      <c r="D275" s="10" t="n">
        <v>0</v>
      </c>
      <c r="E275" s="10" t="n">
        <v>0</v>
      </c>
      <c r="F275" s="10" t="n">
        <v>0</v>
      </c>
      <c r="G275" s="10" t="n">
        <v>4</v>
      </c>
      <c r="H275" s="10" t="n">
        <v>36</v>
      </c>
      <c r="I275" s="10" t="s">
        <v>13</v>
      </c>
      <c r="J275" s="10" t="s">
        <v>39</v>
      </c>
      <c r="K275" s="10" t="s">
        <v>37</v>
      </c>
      <c r="L275" s="10" t="s">
        <v>19</v>
      </c>
    </row>
    <row r="276" customFormat="false" ht="15.75" hidden="false" customHeight="false" outlineLevel="0" collapsed="false">
      <c r="A276" s="10" t="n">
        <v>48</v>
      </c>
      <c r="B276" s="10" t="n">
        <v>1563.66</v>
      </c>
      <c r="C276" s="10" t="s">
        <v>17</v>
      </c>
      <c r="D276" s="10" t="n">
        <v>5.5</v>
      </c>
      <c r="E276" s="10" t="n">
        <v>5.5</v>
      </c>
      <c r="F276" s="10" t="n">
        <v>0</v>
      </c>
      <c r="G276" s="10" t="n">
        <v>4</v>
      </c>
      <c r="H276" s="10" t="n">
        <v>28</v>
      </c>
      <c r="I276" s="10" t="s">
        <v>16</v>
      </c>
      <c r="J276" s="10" t="s">
        <v>38</v>
      </c>
      <c r="K276" s="10" t="s">
        <v>37</v>
      </c>
      <c r="L276" s="10" t="s">
        <v>41</v>
      </c>
    </row>
    <row r="277" customFormat="false" ht="15.75" hidden="false" customHeight="false" outlineLevel="0" collapsed="false">
      <c r="A277" s="10" t="n">
        <v>30</v>
      </c>
      <c r="B277" s="10" t="n">
        <v>6130.98</v>
      </c>
      <c r="C277" s="10" t="s">
        <v>20</v>
      </c>
      <c r="D277" s="10" t="n">
        <v>0.5</v>
      </c>
      <c r="E277" s="10" t="n">
        <v>0.5</v>
      </c>
      <c r="F277" s="10" t="n">
        <v>0</v>
      </c>
      <c r="G277" s="10" t="n">
        <v>1</v>
      </c>
      <c r="H277" s="10" t="n">
        <v>34</v>
      </c>
      <c r="I277" s="10" t="s">
        <v>16</v>
      </c>
      <c r="J277" s="10" t="s">
        <v>39</v>
      </c>
      <c r="K277" s="10" t="s">
        <v>43</v>
      </c>
      <c r="L277" s="10" t="s">
        <v>42</v>
      </c>
    </row>
    <row r="278" customFormat="false" ht="15.75" hidden="false" customHeight="false" outlineLevel="0" collapsed="false">
      <c r="A278" s="10" t="n">
        <v>9</v>
      </c>
      <c r="B278" s="10" t="n">
        <v>1378.17</v>
      </c>
      <c r="C278" s="10" t="s">
        <v>15</v>
      </c>
      <c r="D278" s="10" t="n">
        <v>2.5</v>
      </c>
      <c r="E278" s="10" t="n">
        <v>2.5</v>
      </c>
      <c r="F278" s="10" t="n">
        <v>0</v>
      </c>
      <c r="G278" s="10" t="n">
        <v>1</v>
      </c>
      <c r="H278" s="10" t="n">
        <v>32</v>
      </c>
      <c r="I278" s="10" t="s">
        <v>13</v>
      </c>
      <c r="J278" s="10" t="s">
        <v>39</v>
      </c>
      <c r="K278" s="10" t="s">
        <v>43</v>
      </c>
      <c r="L278" s="10" t="s">
        <v>40</v>
      </c>
    </row>
    <row r="279" customFormat="false" ht="15.75" hidden="false" customHeight="false" outlineLevel="0" collapsed="false">
      <c r="A279" s="10" t="n">
        <v>18</v>
      </c>
      <c r="B279" s="10" t="n">
        <v>1228.44</v>
      </c>
      <c r="C279" s="10" t="s">
        <v>15</v>
      </c>
      <c r="D279" s="10" t="n">
        <v>2.5</v>
      </c>
      <c r="E279" s="10" t="n">
        <v>2.5</v>
      </c>
      <c r="F279" s="10" t="n">
        <v>0</v>
      </c>
      <c r="G279" s="10" t="n">
        <v>2</v>
      </c>
      <c r="H279" s="10" t="n">
        <v>26</v>
      </c>
      <c r="I279" s="10" t="s">
        <v>13</v>
      </c>
      <c r="J279" s="10" t="s">
        <v>38</v>
      </c>
      <c r="K279" s="10" t="s">
        <v>39</v>
      </c>
      <c r="L279" s="10" t="s">
        <v>40</v>
      </c>
    </row>
    <row r="280" customFormat="false" ht="15.75" hidden="false" customHeight="false" outlineLevel="0" collapsed="false">
      <c r="A280" s="10" t="n">
        <v>12</v>
      </c>
      <c r="B280" s="10" t="n">
        <v>644.88</v>
      </c>
      <c r="C280" s="10" t="s">
        <v>12</v>
      </c>
      <c r="D280" s="10" t="n">
        <v>8</v>
      </c>
      <c r="E280" s="10" t="n">
        <v>8</v>
      </c>
      <c r="F280" s="10" t="n">
        <v>0</v>
      </c>
      <c r="G280" s="10" t="n">
        <v>2</v>
      </c>
      <c r="H280" s="10" t="n">
        <v>49</v>
      </c>
      <c r="I280" s="10" t="s">
        <v>13</v>
      </c>
      <c r="J280" s="10" t="s">
        <v>39</v>
      </c>
      <c r="K280" s="10" t="s">
        <v>39</v>
      </c>
      <c r="L280" s="10" t="s">
        <v>37</v>
      </c>
    </row>
    <row r="281" customFormat="false" ht="15.75" hidden="false" customHeight="false" outlineLevel="0" collapsed="false">
      <c r="A281" s="10" t="n">
        <v>6</v>
      </c>
      <c r="B281" s="10" t="n">
        <v>2356.22</v>
      </c>
      <c r="C281" s="10" t="s">
        <v>20</v>
      </c>
      <c r="D281" s="10" t="n">
        <v>0.5</v>
      </c>
      <c r="E281" s="10" t="n">
        <v>0.5</v>
      </c>
      <c r="F281" s="10" t="n">
        <v>0</v>
      </c>
      <c r="G281" s="10" t="n">
        <v>1</v>
      </c>
      <c r="H281" s="10" t="n">
        <v>32</v>
      </c>
      <c r="I281" s="10" t="s">
        <v>16</v>
      </c>
      <c r="J281" s="10" t="s">
        <v>39</v>
      </c>
      <c r="K281" s="10" t="s">
        <v>43</v>
      </c>
      <c r="L281" s="10" t="s">
        <v>42</v>
      </c>
    </row>
    <row r="282" customFormat="false" ht="15.75" hidden="false" customHeight="false" outlineLevel="0" collapsed="false">
      <c r="A282" s="10" t="n">
        <v>24</v>
      </c>
      <c r="B282" s="10" t="n">
        <v>971.41</v>
      </c>
      <c r="C282" s="10" t="s">
        <v>15</v>
      </c>
      <c r="D282" s="10" t="n">
        <v>2.5</v>
      </c>
      <c r="E282" s="10" t="n">
        <v>2.5</v>
      </c>
      <c r="F282" s="10" t="n">
        <v>0</v>
      </c>
      <c r="G282" s="10" t="n">
        <v>4</v>
      </c>
      <c r="H282" s="10" t="n">
        <v>29</v>
      </c>
      <c r="I282" s="10" t="s">
        <v>13</v>
      </c>
      <c r="J282" s="10" t="s">
        <v>38</v>
      </c>
      <c r="K282" s="10" t="s">
        <v>37</v>
      </c>
      <c r="L282" s="10" t="s">
        <v>40</v>
      </c>
    </row>
    <row r="283" customFormat="false" ht="15.75" hidden="false" customHeight="false" outlineLevel="0" collapsed="false">
      <c r="A283" s="10" t="n">
        <v>15</v>
      </c>
      <c r="B283" s="10" t="n">
        <v>1721.05</v>
      </c>
      <c r="C283" s="10" t="s">
        <v>12</v>
      </c>
      <c r="D283" s="10" t="n">
        <v>8</v>
      </c>
      <c r="E283" s="10" t="n">
        <v>5</v>
      </c>
      <c r="F283" s="10" t="n">
        <v>1</v>
      </c>
      <c r="G283" s="10" t="n">
        <v>3</v>
      </c>
      <c r="H283" s="10" t="n">
        <v>23</v>
      </c>
      <c r="I283" s="10" t="s">
        <v>13</v>
      </c>
      <c r="J283" s="10" t="s">
        <v>38</v>
      </c>
      <c r="K283" s="10" t="s">
        <v>39</v>
      </c>
      <c r="L283" s="10" t="s">
        <v>41</v>
      </c>
    </row>
    <row r="284" customFormat="false" ht="15.75" hidden="false" customHeight="false" outlineLevel="0" collapsed="false">
      <c r="A284" s="10" t="n">
        <v>12</v>
      </c>
      <c r="B284" s="10" t="n">
        <v>804.31</v>
      </c>
      <c r="C284" s="10" t="s">
        <v>15</v>
      </c>
      <c r="D284" s="10" t="n">
        <v>2.5</v>
      </c>
      <c r="E284" s="10" t="n">
        <v>2.5</v>
      </c>
      <c r="F284" s="10" t="n">
        <v>0</v>
      </c>
      <c r="G284" s="10" t="n">
        <v>4</v>
      </c>
      <c r="H284" s="10" t="n">
        <v>50</v>
      </c>
      <c r="I284" s="10" t="s">
        <v>13</v>
      </c>
      <c r="J284" s="10" t="s">
        <v>39</v>
      </c>
      <c r="K284" s="10" t="s">
        <v>37</v>
      </c>
      <c r="L284" s="10" t="s">
        <v>40</v>
      </c>
    </row>
    <row r="285" customFormat="false" ht="15.75" hidden="false" customHeight="false" outlineLevel="0" collapsed="false">
      <c r="A285" s="10" t="n">
        <v>18</v>
      </c>
      <c r="B285" s="10" t="n">
        <v>738.4</v>
      </c>
      <c r="C285" s="10" t="s">
        <v>17</v>
      </c>
      <c r="D285" s="10" t="n">
        <v>5.5</v>
      </c>
      <c r="E285" s="10" t="n">
        <v>5.5</v>
      </c>
      <c r="F285" s="10" t="n">
        <v>0</v>
      </c>
      <c r="G285" s="10" t="n">
        <v>4</v>
      </c>
      <c r="H285" s="10" t="n">
        <v>49</v>
      </c>
      <c r="I285" s="10" t="s">
        <v>13</v>
      </c>
      <c r="J285" s="10" t="s">
        <v>39</v>
      </c>
      <c r="K285" s="10" t="s">
        <v>37</v>
      </c>
      <c r="L285" s="10" t="s">
        <v>41</v>
      </c>
    </row>
    <row r="286" customFormat="false" ht="15.75" hidden="false" customHeight="false" outlineLevel="0" collapsed="false">
      <c r="A286" s="10" t="n">
        <v>15</v>
      </c>
      <c r="B286" s="10" t="n">
        <v>776.72</v>
      </c>
      <c r="C286" s="10" t="s">
        <v>12</v>
      </c>
      <c r="D286" s="10" t="n">
        <v>8</v>
      </c>
      <c r="E286" s="10" t="n">
        <v>8</v>
      </c>
      <c r="F286" s="10" t="n">
        <v>0</v>
      </c>
      <c r="G286" s="10" t="n">
        <v>4</v>
      </c>
      <c r="H286" s="10" t="n">
        <v>63</v>
      </c>
      <c r="I286" s="10" t="s">
        <v>13</v>
      </c>
      <c r="J286" s="10" t="s">
        <v>36</v>
      </c>
      <c r="K286" s="10" t="s">
        <v>37</v>
      </c>
      <c r="L286" s="10" t="s">
        <v>37</v>
      </c>
    </row>
    <row r="287" customFormat="false" ht="15.75" hidden="false" customHeight="false" outlineLevel="0" collapsed="false">
      <c r="A287" s="10" t="n">
        <v>24</v>
      </c>
      <c r="B287" s="10" t="n">
        <v>1981.66</v>
      </c>
      <c r="C287" s="10" t="s">
        <v>20</v>
      </c>
      <c r="D287" s="10" t="n">
        <v>0.5</v>
      </c>
      <c r="E287" s="10" t="n">
        <v>0.5</v>
      </c>
      <c r="F287" s="10" t="n">
        <v>0</v>
      </c>
      <c r="G287" s="10" t="n">
        <v>4</v>
      </c>
      <c r="H287" s="10" t="n">
        <v>37</v>
      </c>
      <c r="I287" s="10" t="s">
        <v>13</v>
      </c>
      <c r="J287" s="10" t="s">
        <v>39</v>
      </c>
      <c r="K287" s="10" t="s">
        <v>37</v>
      </c>
      <c r="L287" s="10" t="s">
        <v>42</v>
      </c>
    </row>
    <row r="288" customFormat="false" ht="15.75" hidden="false" customHeight="false" outlineLevel="0" collapsed="false">
      <c r="A288" s="10" t="n">
        <v>47</v>
      </c>
      <c r="B288" s="10" t="n">
        <v>5478.94</v>
      </c>
      <c r="C288" s="10" t="s">
        <v>20</v>
      </c>
      <c r="D288" s="10" t="n">
        <v>0.5</v>
      </c>
      <c r="E288" s="10" t="n">
        <v>0.5</v>
      </c>
      <c r="F288" s="10" t="n">
        <v>0</v>
      </c>
      <c r="G288" s="10" t="n">
        <v>1</v>
      </c>
      <c r="H288" s="10" t="n">
        <v>35</v>
      </c>
      <c r="I288" s="10" t="s">
        <v>13</v>
      </c>
      <c r="J288" s="10" t="s">
        <v>39</v>
      </c>
      <c r="K288" s="10" t="s">
        <v>43</v>
      </c>
      <c r="L288" s="10" t="s">
        <v>42</v>
      </c>
    </row>
    <row r="289" customFormat="false" ht="15.75" hidden="false" customHeight="false" outlineLevel="0" collapsed="false">
      <c r="A289" s="10" t="n">
        <v>48</v>
      </c>
      <c r="B289" s="10" t="n">
        <v>2446.67</v>
      </c>
      <c r="C289" s="10" t="s">
        <v>17</v>
      </c>
      <c r="D289" s="10" t="n">
        <v>5.5</v>
      </c>
      <c r="E289" s="10" t="n">
        <v>5.5</v>
      </c>
      <c r="F289" s="10" t="n">
        <v>0</v>
      </c>
      <c r="G289" s="10" t="n">
        <v>4</v>
      </c>
      <c r="H289" s="10" t="n">
        <v>26</v>
      </c>
      <c r="I289" s="10" t="s">
        <v>13</v>
      </c>
      <c r="J289" s="10" t="s">
        <v>38</v>
      </c>
      <c r="K289" s="10" t="s">
        <v>37</v>
      </c>
      <c r="L289" s="10" t="s">
        <v>41</v>
      </c>
    </row>
    <row r="290" customFormat="false" ht="15.75" hidden="false" customHeight="false" outlineLevel="0" collapsed="false">
      <c r="A290" s="10" t="n">
        <v>48</v>
      </c>
      <c r="B290" s="10" t="n">
        <v>3874.4</v>
      </c>
      <c r="C290" s="10" t="s">
        <v>19</v>
      </c>
      <c r="D290" s="10" t="n">
        <v>0</v>
      </c>
      <c r="E290" s="10" t="n">
        <v>0</v>
      </c>
      <c r="F290" s="10" t="n">
        <v>0</v>
      </c>
      <c r="G290" s="10" t="n">
        <v>2</v>
      </c>
      <c r="H290" s="10" t="n">
        <v>31</v>
      </c>
      <c r="I290" s="10" t="s">
        <v>13</v>
      </c>
      <c r="J290" s="10" t="s">
        <v>39</v>
      </c>
      <c r="K290" s="10" t="s">
        <v>39</v>
      </c>
      <c r="L290" s="10" t="s">
        <v>19</v>
      </c>
    </row>
    <row r="291" customFormat="false" ht="15.75" hidden="false" customHeight="false" outlineLevel="0" collapsed="false">
      <c r="A291" s="10" t="n">
        <v>12</v>
      </c>
      <c r="B291" s="10" t="n">
        <v>558.01</v>
      </c>
      <c r="C291" s="10" t="s">
        <v>15</v>
      </c>
      <c r="D291" s="10" t="n">
        <v>2.5</v>
      </c>
      <c r="E291" s="10" t="n">
        <v>2.5</v>
      </c>
      <c r="F291" s="10" t="n">
        <v>0</v>
      </c>
      <c r="G291" s="10" t="n">
        <v>4</v>
      </c>
      <c r="H291" s="10" t="n">
        <v>49</v>
      </c>
      <c r="I291" s="10" t="s">
        <v>13</v>
      </c>
      <c r="J291" s="10" t="s">
        <v>39</v>
      </c>
      <c r="K291" s="10" t="s">
        <v>37</v>
      </c>
      <c r="L291" s="10" t="s">
        <v>40</v>
      </c>
    </row>
    <row r="292" customFormat="false" ht="15.75" hidden="false" customHeight="false" outlineLevel="0" collapsed="false">
      <c r="A292" s="10" t="n">
        <v>24</v>
      </c>
      <c r="B292" s="10" t="n">
        <v>523.26</v>
      </c>
      <c r="C292" s="10" t="s">
        <v>20</v>
      </c>
      <c r="D292" s="10" t="n">
        <v>0.5</v>
      </c>
      <c r="E292" s="10" t="n">
        <v>0.5</v>
      </c>
      <c r="F292" s="10" t="n">
        <v>0</v>
      </c>
      <c r="G292" s="10" t="n">
        <v>4</v>
      </c>
      <c r="H292" s="10" t="n">
        <v>48</v>
      </c>
      <c r="I292" s="10" t="s">
        <v>16</v>
      </c>
      <c r="J292" s="10" t="s">
        <v>39</v>
      </c>
      <c r="K292" s="10" t="s">
        <v>37</v>
      </c>
      <c r="L292" s="10" t="s">
        <v>42</v>
      </c>
    </row>
    <row r="293" customFormat="false" ht="15.75" hidden="false" customHeight="false" outlineLevel="0" collapsed="false">
      <c r="A293" s="10" t="n">
        <v>12</v>
      </c>
      <c r="B293" s="10" t="n">
        <v>549.84</v>
      </c>
      <c r="C293" s="10" t="s">
        <v>15</v>
      </c>
      <c r="D293" s="10" t="n">
        <v>2.5</v>
      </c>
      <c r="E293" s="10" t="n">
        <v>2.5</v>
      </c>
      <c r="F293" s="10" t="n">
        <v>0</v>
      </c>
      <c r="G293" s="10" t="n">
        <v>2</v>
      </c>
      <c r="H293" s="10" t="n">
        <v>26</v>
      </c>
      <c r="I293" s="10" t="s">
        <v>13</v>
      </c>
      <c r="J293" s="10" t="s">
        <v>38</v>
      </c>
      <c r="K293" s="10" t="s">
        <v>39</v>
      </c>
      <c r="L293" s="10" t="s">
        <v>40</v>
      </c>
    </row>
    <row r="294" customFormat="false" ht="15.75" hidden="false" customHeight="false" outlineLevel="0" collapsed="false">
      <c r="A294" s="10" t="n">
        <v>36</v>
      </c>
      <c r="B294" s="10" t="n">
        <v>4802.38</v>
      </c>
      <c r="C294" s="10" t="s">
        <v>20</v>
      </c>
      <c r="D294" s="10" t="n">
        <v>0.5</v>
      </c>
      <c r="E294" s="10" t="n">
        <v>0.5</v>
      </c>
      <c r="F294" s="10" t="n">
        <v>0</v>
      </c>
      <c r="G294" s="10" t="n">
        <v>1</v>
      </c>
      <c r="H294" s="10" t="n">
        <v>28</v>
      </c>
      <c r="I294" s="10" t="s">
        <v>16</v>
      </c>
      <c r="J294" s="10" t="s">
        <v>38</v>
      </c>
      <c r="K294" s="10" t="s">
        <v>43</v>
      </c>
      <c r="L294" s="10" t="s">
        <v>42</v>
      </c>
    </row>
    <row r="295" customFormat="false" ht="15.75" hidden="false" customHeight="false" outlineLevel="0" collapsed="false">
      <c r="A295" s="10" t="n">
        <v>24</v>
      </c>
      <c r="B295" s="10" t="n">
        <v>3280.11</v>
      </c>
      <c r="C295" s="10" t="s">
        <v>12</v>
      </c>
      <c r="D295" s="10" t="n">
        <v>8</v>
      </c>
      <c r="E295" s="10" t="n">
        <v>8</v>
      </c>
      <c r="F295" s="10" t="n">
        <v>0</v>
      </c>
      <c r="G295" s="10" t="n">
        <v>2</v>
      </c>
      <c r="H295" s="10" t="n">
        <v>44</v>
      </c>
      <c r="I295" s="10" t="s">
        <v>13</v>
      </c>
      <c r="J295" s="10" t="s">
        <v>39</v>
      </c>
      <c r="K295" s="10" t="s">
        <v>39</v>
      </c>
      <c r="L295" s="10" t="s">
        <v>37</v>
      </c>
    </row>
    <row r="296" customFormat="false" ht="15.75" hidden="false" customHeight="false" outlineLevel="0" collapsed="false">
      <c r="A296" s="10" t="n">
        <v>42</v>
      </c>
      <c r="B296" s="10" t="n">
        <v>2450.76</v>
      </c>
      <c r="C296" s="10" t="s">
        <v>12</v>
      </c>
      <c r="D296" s="10" t="n">
        <v>8</v>
      </c>
      <c r="E296" s="10" t="n">
        <v>8</v>
      </c>
      <c r="F296" s="10" t="n">
        <v>0</v>
      </c>
      <c r="G296" s="10" t="n">
        <v>4</v>
      </c>
      <c r="H296" s="10" t="n">
        <v>56</v>
      </c>
      <c r="I296" s="10" t="s">
        <v>13</v>
      </c>
      <c r="J296" s="10" t="s">
        <v>36</v>
      </c>
      <c r="K296" s="10" t="s">
        <v>37</v>
      </c>
      <c r="L296" s="10" t="s">
        <v>37</v>
      </c>
    </row>
    <row r="297" customFormat="false" ht="15.75" hidden="false" customHeight="false" outlineLevel="0" collapsed="false">
      <c r="A297" s="10" t="n">
        <v>48</v>
      </c>
      <c r="B297" s="10" t="n">
        <v>3898.42</v>
      </c>
      <c r="C297" s="10" t="s">
        <v>12</v>
      </c>
      <c r="D297" s="10" t="n">
        <v>8</v>
      </c>
      <c r="E297" s="10" t="n">
        <v>8</v>
      </c>
      <c r="F297" s="10" t="n">
        <v>0</v>
      </c>
      <c r="G297" s="10" t="n">
        <v>4</v>
      </c>
      <c r="H297" s="10" t="n">
        <v>46</v>
      </c>
      <c r="I297" s="10" t="s">
        <v>13</v>
      </c>
      <c r="J297" s="10" t="s">
        <v>39</v>
      </c>
      <c r="K297" s="10" t="s">
        <v>37</v>
      </c>
      <c r="L297" s="10" t="s">
        <v>37</v>
      </c>
    </row>
    <row r="298" customFormat="false" ht="15.75" hidden="false" customHeight="false" outlineLevel="0" collapsed="false">
      <c r="A298" s="10" t="n">
        <v>48</v>
      </c>
      <c r="B298" s="10" t="n">
        <v>5089.56</v>
      </c>
      <c r="C298" s="10" t="s">
        <v>20</v>
      </c>
      <c r="D298" s="10" t="n">
        <v>0.5</v>
      </c>
      <c r="E298" s="10" t="n">
        <v>0.5</v>
      </c>
      <c r="F298" s="10" t="n">
        <v>0</v>
      </c>
      <c r="G298" s="10" t="n">
        <v>1</v>
      </c>
      <c r="H298" s="10" t="n">
        <v>26</v>
      </c>
      <c r="I298" s="10" t="s">
        <v>16</v>
      </c>
      <c r="J298" s="10" t="s">
        <v>38</v>
      </c>
      <c r="K298" s="10" t="s">
        <v>43</v>
      </c>
      <c r="L298" s="10" t="s">
        <v>42</v>
      </c>
    </row>
    <row r="299" customFormat="false" ht="15.75" hidden="false" customHeight="false" outlineLevel="0" collapsed="false">
      <c r="A299" s="10" t="n">
        <v>12</v>
      </c>
      <c r="B299" s="10" t="n">
        <v>2388.93</v>
      </c>
      <c r="C299" s="10" t="s">
        <v>20</v>
      </c>
      <c r="D299" s="10" t="n">
        <v>0.5</v>
      </c>
      <c r="E299" s="10" t="n">
        <v>0.5</v>
      </c>
      <c r="F299" s="10" t="n">
        <v>0</v>
      </c>
      <c r="G299" s="10" t="n">
        <v>1</v>
      </c>
      <c r="H299" s="10" t="n">
        <v>20</v>
      </c>
      <c r="I299" s="10" t="s">
        <v>13</v>
      </c>
      <c r="J299" s="10" t="s">
        <v>38</v>
      </c>
      <c r="K299" s="10" t="s">
        <v>43</v>
      </c>
      <c r="L299" s="10" t="s">
        <v>42</v>
      </c>
    </row>
    <row r="300" customFormat="false" ht="15.75" hidden="false" customHeight="false" outlineLevel="0" collapsed="false">
      <c r="A300" s="10" t="n">
        <v>10</v>
      </c>
      <c r="B300" s="10" t="n">
        <v>657.66</v>
      </c>
      <c r="C300" s="10" t="s">
        <v>12</v>
      </c>
      <c r="D300" s="10" t="n">
        <v>8</v>
      </c>
      <c r="E300" s="10" t="n">
        <v>8</v>
      </c>
      <c r="F300" s="10" t="n">
        <v>0</v>
      </c>
      <c r="G300" s="10" t="n">
        <v>4</v>
      </c>
      <c r="H300" s="10" t="n">
        <v>45</v>
      </c>
      <c r="I300" s="10" t="s">
        <v>13</v>
      </c>
      <c r="J300" s="10" t="s">
        <v>39</v>
      </c>
      <c r="K300" s="10" t="s">
        <v>37</v>
      </c>
      <c r="L300" s="10" t="s">
        <v>37</v>
      </c>
    </row>
    <row r="301" customFormat="false" ht="15.75" hidden="false" customHeight="false" outlineLevel="0" collapsed="false">
      <c r="A301" s="10" t="n">
        <v>18</v>
      </c>
      <c r="B301" s="10" t="n">
        <v>1285.17</v>
      </c>
      <c r="C301" s="10" t="s">
        <v>15</v>
      </c>
      <c r="D301" s="10" t="n">
        <v>2.5</v>
      </c>
      <c r="E301" s="10" t="n">
        <v>2.5</v>
      </c>
      <c r="F301" s="10" t="n">
        <v>0</v>
      </c>
      <c r="G301" s="10" t="n">
        <v>3</v>
      </c>
      <c r="H301" s="10" t="n">
        <v>43</v>
      </c>
      <c r="I301" s="10" t="s">
        <v>13</v>
      </c>
      <c r="J301" s="10" t="s">
        <v>39</v>
      </c>
      <c r="K301" s="10" t="s">
        <v>39</v>
      </c>
      <c r="L301" s="10" t="s">
        <v>40</v>
      </c>
    </row>
    <row r="302" customFormat="false" ht="15.75" hidden="false" customHeight="false" outlineLevel="0" collapsed="false">
      <c r="A302" s="10" t="n">
        <v>21</v>
      </c>
      <c r="B302" s="10" t="n">
        <v>1402.7</v>
      </c>
      <c r="C302" s="10" t="s">
        <v>17</v>
      </c>
      <c r="D302" s="10" t="n">
        <v>5.5</v>
      </c>
      <c r="E302" s="10" t="n">
        <v>5.5</v>
      </c>
      <c r="F302" s="10" t="n">
        <v>0</v>
      </c>
      <c r="G302" s="10" t="n">
        <v>3</v>
      </c>
      <c r="H302" s="10" t="n">
        <v>32</v>
      </c>
      <c r="I302" s="10" t="s">
        <v>13</v>
      </c>
      <c r="J302" s="10" t="s">
        <v>39</v>
      </c>
      <c r="K302" s="10" t="s">
        <v>39</v>
      </c>
      <c r="L302" s="10" t="s">
        <v>41</v>
      </c>
    </row>
    <row r="303" customFormat="false" ht="15.75" hidden="false" customHeight="false" outlineLevel="0" collapsed="false">
      <c r="A303" s="10" t="n">
        <v>6</v>
      </c>
      <c r="B303" s="10" t="n">
        <v>343.39</v>
      </c>
      <c r="C303" s="10" t="s">
        <v>19</v>
      </c>
      <c r="D303" s="10" t="n">
        <v>0</v>
      </c>
      <c r="E303" s="10" t="n">
        <v>0</v>
      </c>
      <c r="F303" s="10" t="n">
        <v>0</v>
      </c>
      <c r="G303" s="10" t="n">
        <v>1</v>
      </c>
      <c r="H303" s="10" t="n">
        <v>54</v>
      </c>
      <c r="I303" s="10" t="s">
        <v>13</v>
      </c>
      <c r="J303" s="10" t="s">
        <v>36</v>
      </c>
      <c r="K303" s="10" t="s">
        <v>43</v>
      </c>
      <c r="L303" s="10" t="s">
        <v>19</v>
      </c>
    </row>
    <row r="304" customFormat="false" ht="15.75" hidden="false" customHeight="false" outlineLevel="0" collapsed="false">
      <c r="A304" s="10" t="n">
        <v>36</v>
      </c>
      <c r="B304" s="10" t="n">
        <v>1943.84</v>
      </c>
      <c r="C304" s="10" t="s">
        <v>15</v>
      </c>
      <c r="D304" s="10" t="n">
        <v>2.5</v>
      </c>
      <c r="E304" s="10" t="n">
        <v>2.5</v>
      </c>
      <c r="F304" s="10" t="n">
        <v>0</v>
      </c>
      <c r="G304" s="10" t="n">
        <v>4</v>
      </c>
      <c r="H304" s="10" t="n">
        <v>42</v>
      </c>
      <c r="I304" s="10" t="s">
        <v>16</v>
      </c>
      <c r="J304" s="10" t="s">
        <v>39</v>
      </c>
      <c r="K304" s="10" t="s">
        <v>37</v>
      </c>
      <c r="L304" s="10" t="s">
        <v>40</v>
      </c>
    </row>
    <row r="305" customFormat="false" ht="15.75" hidden="false" customHeight="false" outlineLevel="0" collapsed="false">
      <c r="A305" s="10" t="n">
        <v>24</v>
      </c>
      <c r="B305" s="10" t="n">
        <v>686.78</v>
      </c>
      <c r="C305" s="10" t="s">
        <v>17</v>
      </c>
      <c r="D305" s="10" t="n">
        <v>5.5</v>
      </c>
      <c r="E305" s="10" t="n">
        <v>5.5</v>
      </c>
      <c r="F305" s="10" t="n">
        <v>0</v>
      </c>
      <c r="G305" s="10" t="n">
        <v>4</v>
      </c>
      <c r="H305" s="10" t="n">
        <v>37</v>
      </c>
      <c r="I305" s="10" t="s">
        <v>16</v>
      </c>
      <c r="J305" s="10" t="s">
        <v>39</v>
      </c>
      <c r="K305" s="10" t="s">
        <v>37</v>
      </c>
      <c r="L305" s="10" t="s">
        <v>41</v>
      </c>
    </row>
    <row r="306" customFormat="false" ht="15.75" hidden="false" customHeight="false" outlineLevel="0" collapsed="false">
      <c r="A306" s="10" t="n">
        <v>10</v>
      </c>
      <c r="B306" s="10" t="n">
        <v>530.42</v>
      </c>
      <c r="C306" s="10" t="s">
        <v>17</v>
      </c>
      <c r="D306" s="10" t="n">
        <v>5.5</v>
      </c>
      <c r="E306" s="10" t="n">
        <v>5.5</v>
      </c>
      <c r="F306" s="10" t="n">
        <v>0</v>
      </c>
      <c r="G306" s="10" t="n">
        <v>4</v>
      </c>
      <c r="H306" s="10" t="n">
        <v>49</v>
      </c>
      <c r="I306" s="10" t="s">
        <v>13</v>
      </c>
      <c r="J306" s="10" t="s">
        <v>39</v>
      </c>
      <c r="K306" s="10" t="s">
        <v>37</v>
      </c>
      <c r="L306" s="10" t="s">
        <v>41</v>
      </c>
    </row>
    <row r="307" customFormat="false" ht="15.75" hidden="false" customHeight="false" outlineLevel="0" collapsed="false">
      <c r="A307" s="10" t="n">
        <v>48</v>
      </c>
      <c r="B307" s="10" t="n">
        <v>5174.9</v>
      </c>
      <c r="C307" s="10" t="s">
        <v>15</v>
      </c>
      <c r="D307" s="10" t="n">
        <v>2.5</v>
      </c>
      <c r="E307" s="10" t="n">
        <v>2.5</v>
      </c>
      <c r="F307" s="10" t="n">
        <v>0</v>
      </c>
      <c r="G307" s="10" t="n">
        <v>2</v>
      </c>
      <c r="H307" s="10" t="n">
        <v>44</v>
      </c>
      <c r="I307" s="10" t="s">
        <v>16</v>
      </c>
      <c r="J307" s="10" t="s">
        <v>39</v>
      </c>
      <c r="K307" s="10" t="s">
        <v>39</v>
      </c>
      <c r="L307" s="10" t="s">
        <v>40</v>
      </c>
    </row>
    <row r="308" customFormat="false" ht="15.75" hidden="false" customHeight="false" outlineLevel="0" collapsed="false">
      <c r="A308" s="10" t="n">
        <v>6</v>
      </c>
      <c r="B308" s="10" t="n">
        <v>788.47</v>
      </c>
      <c r="C308" s="10" t="s">
        <v>15</v>
      </c>
      <c r="D308" s="10" t="n">
        <v>2.5</v>
      </c>
      <c r="E308" s="10" t="n">
        <v>2.5</v>
      </c>
      <c r="F308" s="10" t="n">
        <v>0</v>
      </c>
      <c r="G308" s="10" t="n">
        <v>4</v>
      </c>
      <c r="H308" s="10" t="n">
        <v>33</v>
      </c>
      <c r="I308" s="10" t="s">
        <v>13</v>
      </c>
      <c r="J308" s="10" t="s">
        <v>39</v>
      </c>
      <c r="K308" s="10" t="s">
        <v>37</v>
      </c>
      <c r="L308" s="10" t="s">
        <v>40</v>
      </c>
    </row>
    <row r="309" customFormat="false" ht="15.75" hidden="false" customHeight="false" outlineLevel="0" collapsed="false">
      <c r="A309" s="10" t="n">
        <v>30</v>
      </c>
      <c r="B309" s="10" t="n">
        <v>2458.42</v>
      </c>
      <c r="C309" s="10" t="s">
        <v>17</v>
      </c>
      <c r="D309" s="10" t="n">
        <v>5.5</v>
      </c>
      <c r="E309" s="10" t="n">
        <v>5.5</v>
      </c>
      <c r="F309" s="10" t="n">
        <v>0</v>
      </c>
      <c r="G309" s="10" t="n">
        <v>2</v>
      </c>
      <c r="H309" s="10" t="n">
        <v>24</v>
      </c>
      <c r="I309" s="10" t="s">
        <v>13</v>
      </c>
      <c r="J309" s="10" t="s">
        <v>38</v>
      </c>
      <c r="K309" s="10" t="s">
        <v>39</v>
      </c>
      <c r="L309" s="10" t="s">
        <v>41</v>
      </c>
    </row>
    <row r="310" customFormat="false" ht="15.75" hidden="false" customHeight="false" outlineLevel="0" collapsed="false">
      <c r="A310" s="10" t="n">
        <v>12</v>
      </c>
      <c r="B310" s="10" t="n">
        <v>371.5</v>
      </c>
      <c r="C310" s="10" t="s">
        <v>20</v>
      </c>
      <c r="D310" s="10" t="n">
        <v>0.5</v>
      </c>
      <c r="E310" s="10" t="n">
        <v>0.5</v>
      </c>
      <c r="F310" s="10" t="n">
        <v>0</v>
      </c>
      <c r="G310" s="10" t="n">
        <v>4</v>
      </c>
      <c r="H310" s="10" t="n">
        <v>33</v>
      </c>
      <c r="I310" s="10" t="s">
        <v>16</v>
      </c>
      <c r="J310" s="10" t="s">
        <v>39</v>
      </c>
      <c r="K310" s="10" t="s">
        <v>37</v>
      </c>
      <c r="L310" s="10" t="s">
        <v>42</v>
      </c>
    </row>
    <row r="311" customFormat="false" ht="15.75" hidden="false" customHeight="false" outlineLevel="0" collapsed="false">
      <c r="A311" s="10" t="n">
        <v>8</v>
      </c>
      <c r="B311" s="10" t="n">
        <v>632.11</v>
      </c>
      <c r="C311" s="10" t="s">
        <v>15</v>
      </c>
      <c r="D311" s="10" t="n">
        <v>2.5</v>
      </c>
      <c r="E311" s="10" t="n">
        <v>2.5</v>
      </c>
      <c r="F311" s="10" t="n">
        <v>0</v>
      </c>
      <c r="G311" s="10" t="n">
        <v>3</v>
      </c>
      <c r="H311" s="10" t="n">
        <v>24</v>
      </c>
      <c r="I311" s="10" t="s">
        <v>16</v>
      </c>
      <c r="J311" s="10" t="s">
        <v>38</v>
      </c>
      <c r="K311" s="10" t="s">
        <v>39</v>
      </c>
      <c r="L311" s="10" t="s">
        <v>40</v>
      </c>
    </row>
    <row r="312" customFormat="false" ht="15.75" hidden="false" customHeight="false" outlineLevel="0" collapsed="false">
      <c r="A312" s="10" t="n">
        <v>9</v>
      </c>
      <c r="B312" s="10" t="n">
        <v>141.04</v>
      </c>
      <c r="C312" s="10" t="s">
        <v>15</v>
      </c>
      <c r="D312" s="10" t="n">
        <v>2.5</v>
      </c>
      <c r="E312" s="10" t="n">
        <v>2.5</v>
      </c>
      <c r="F312" s="10" t="n">
        <v>0</v>
      </c>
      <c r="G312" s="10" t="n">
        <v>4</v>
      </c>
      <c r="H312" s="10" t="n">
        <v>22</v>
      </c>
      <c r="I312" s="10" t="s">
        <v>13</v>
      </c>
      <c r="J312" s="10" t="s">
        <v>38</v>
      </c>
      <c r="K312" s="10" t="s">
        <v>37</v>
      </c>
      <c r="L312" s="10" t="s">
        <v>40</v>
      </c>
    </row>
    <row r="313" customFormat="false" ht="15.75" hidden="false" customHeight="false" outlineLevel="0" collapsed="false">
      <c r="A313" s="10" t="n">
        <v>48</v>
      </c>
      <c r="B313" s="10" t="n">
        <v>2749.69</v>
      </c>
      <c r="C313" s="10" t="s">
        <v>19</v>
      </c>
      <c r="D313" s="10" t="n">
        <v>0</v>
      </c>
      <c r="E313" s="10" t="n">
        <v>0</v>
      </c>
      <c r="F313" s="10" t="n">
        <v>0</v>
      </c>
      <c r="G313" s="10" t="n">
        <v>3</v>
      </c>
      <c r="H313" s="10" t="n">
        <v>40</v>
      </c>
      <c r="I313" s="10" t="s">
        <v>13</v>
      </c>
      <c r="J313" s="10" t="s">
        <v>39</v>
      </c>
      <c r="K313" s="10" t="s">
        <v>39</v>
      </c>
      <c r="L313" s="10" t="s">
        <v>19</v>
      </c>
    </row>
    <row r="314" customFormat="false" ht="15.75" hidden="false" customHeight="false" outlineLevel="0" collapsed="false">
      <c r="A314" s="10" t="n">
        <v>24</v>
      </c>
      <c r="B314" s="10" t="n">
        <v>2816.12</v>
      </c>
      <c r="C314" s="10" t="s">
        <v>15</v>
      </c>
      <c r="D314" s="10" t="n">
        <v>2.5</v>
      </c>
      <c r="E314" s="10" t="n">
        <v>2.5</v>
      </c>
      <c r="F314" s="10" t="n">
        <v>0</v>
      </c>
      <c r="G314" s="10" t="n">
        <v>4</v>
      </c>
      <c r="H314" s="10" t="n">
        <v>25</v>
      </c>
      <c r="I314" s="10" t="s">
        <v>13</v>
      </c>
      <c r="J314" s="10" t="s">
        <v>38</v>
      </c>
      <c r="K314" s="10" t="s">
        <v>37</v>
      </c>
      <c r="L314" s="10" t="s">
        <v>40</v>
      </c>
    </row>
    <row r="315" customFormat="false" ht="15.75" hidden="false" customHeight="false" outlineLevel="0" collapsed="false">
      <c r="A315" s="10" t="n">
        <v>24</v>
      </c>
      <c r="B315" s="10" t="n">
        <v>1915.74</v>
      </c>
      <c r="C315" s="10" t="s">
        <v>20</v>
      </c>
      <c r="D315" s="10" t="n">
        <v>0.5</v>
      </c>
      <c r="E315" s="10" t="n">
        <v>0.5</v>
      </c>
      <c r="F315" s="10" t="n">
        <v>0</v>
      </c>
      <c r="G315" s="10" t="n">
        <v>2</v>
      </c>
      <c r="H315" s="10" t="n">
        <v>26</v>
      </c>
      <c r="I315" s="10" t="s">
        <v>13</v>
      </c>
      <c r="J315" s="10" t="s">
        <v>38</v>
      </c>
      <c r="K315" s="10" t="s">
        <v>39</v>
      </c>
      <c r="L315" s="10" t="s">
        <v>42</v>
      </c>
    </row>
    <row r="316" customFormat="false" ht="15.75" hidden="false" customHeight="false" outlineLevel="0" collapsed="false">
      <c r="A316" s="10" t="n">
        <v>12</v>
      </c>
      <c r="B316" s="10" t="n">
        <v>350.04</v>
      </c>
      <c r="C316" s="10" t="s">
        <v>17</v>
      </c>
      <c r="D316" s="10" t="n">
        <v>5.5</v>
      </c>
      <c r="E316" s="10" t="n">
        <v>5.5</v>
      </c>
      <c r="F316" s="10" t="n">
        <v>0</v>
      </c>
      <c r="G316" s="10" t="n">
        <v>2</v>
      </c>
      <c r="H316" s="10" t="n">
        <v>25</v>
      </c>
      <c r="I316" s="10" t="s">
        <v>16</v>
      </c>
      <c r="J316" s="10" t="s">
        <v>38</v>
      </c>
      <c r="K316" s="10" t="s">
        <v>39</v>
      </c>
      <c r="L316" s="10" t="s">
        <v>41</v>
      </c>
    </row>
    <row r="317" customFormat="false" ht="15.75" hidden="false" customHeight="false" outlineLevel="0" collapsed="false">
      <c r="A317" s="10" t="n">
        <v>4</v>
      </c>
      <c r="B317" s="10" t="n">
        <v>763.43</v>
      </c>
      <c r="C317" s="10" t="s">
        <v>20</v>
      </c>
      <c r="D317" s="10" t="n">
        <v>0.5</v>
      </c>
      <c r="E317" s="10" t="n">
        <v>0.5</v>
      </c>
      <c r="F317" s="10" t="n">
        <v>0</v>
      </c>
      <c r="G317" s="10" t="n">
        <v>1</v>
      </c>
      <c r="H317" s="10" t="n">
        <v>29</v>
      </c>
      <c r="I317" s="10" t="s">
        <v>13</v>
      </c>
      <c r="J317" s="10" t="s">
        <v>38</v>
      </c>
      <c r="K317" s="10" t="s">
        <v>43</v>
      </c>
      <c r="L317" s="10" t="s">
        <v>42</v>
      </c>
    </row>
    <row r="318" customFormat="false" ht="15.75" hidden="false" customHeight="false" outlineLevel="0" collapsed="false">
      <c r="A318" s="10" t="n">
        <v>36</v>
      </c>
      <c r="B318" s="10" t="n">
        <v>1403.21</v>
      </c>
      <c r="C318" s="10" t="s">
        <v>12</v>
      </c>
      <c r="D318" s="10" t="n">
        <v>8</v>
      </c>
      <c r="E318" s="10" t="n">
        <v>8</v>
      </c>
      <c r="F318" s="10" t="n">
        <v>0</v>
      </c>
      <c r="G318" s="10" t="n">
        <v>4</v>
      </c>
      <c r="H318" s="10" t="n">
        <v>31</v>
      </c>
      <c r="I318" s="10" t="s">
        <v>16</v>
      </c>
      <c r="J318" s="10" t="s">
        <v>39</v>
      </c>
      <c r="K318" s="10" t="s">
        <v>37</v>
      </c>
      <c r="L318" s="10" t="s">
        <v>37</v>
      </c>
    </row>
    <row r="319" customFormat="false" ht="15.75" hidden="false" customHeight="false" outlineLevel="0" collapsed="false">
      <c r="A319" s="10" t="n">
        <v>12</v>
      </c>
      <c r="B319" s="10" t="n">
        <v>361.79</v>
      </c>
      <c r="C319" s="10" t="s">
        <v>15</v>
      </c>
      <c r="D319" s="10" t="n">
        <v>2.5</v>
      </c>
      <c r="E319" s="10" t="n">
        <v>2.5</v>
      </c>
      <c r="F319" s="10" t="n">
        <v>0</v>
      </c>
      <c r="G319" s="10" t="n">
        <v>2</v>
      </c>
      <c r="H319" s="10" t="n">
        <v>38</v>
      </c>
      <c r="I319" s="10" t="s">
        <v>13</v>
      </c>
      <c r="J319" s="10" t="s">
        <v>39</v>
      </c>
      <c r="K319" s="10" t="s">
        <v>39</v>
      </c>
      <c r="L319" s="10" t="s">
        <v>40</v>
      </c>
    </row>
    <row r="320" customFormat="false" ht="15.75" hidden="false" customHeight="false" outlineLevel="0" collapsed="false">
      <c r="A320" s="10" t="n">
        <v>24</v>
      </c>
      <c r="B320" s="10" t="n">
        <v>2223.36</v>
      </c>
      <c r="C320" s="10" t="s">
        <v>15</v>
      </c>
      <c r="D320" s="10" t="n">
        <v>2.5</v>
      </c>
      <c r="E320" s="10" t="n">
        <v>2.5</v>
      </c>
      <c r="F320" s="10" t="n">
        <v>0</v>
      </c>
      <c r="G320" s="10" t="n">
        <v>1</v>
      </c>
      <c r="H320" s="10" t="n">
        <v>48</v>
      </c>
      <c r="I320" s="10" t="s">
        <v>13</v>
      </c>
      <c r="J320" s="10" t="s">
        <v>39</v>
      </c>
      <c r="K320" s="10" t="s">
        <v>43</v>
      </c>
      <c r="L320" s="10" t="s">
        <v>40</v>
      </c>
    </row>
    <row r="321" customFormat="false" ht="15.75" hidden="false" customHeight="false" outlineLevel="0" collapsed="false">
      <c r="A321" s="10" t="n">
        <v>12</v>
      </c>
      <c r="B321" s="10" t="n">
        <v>358.21</v>
      </c>
      <c r="C321" s="10" t="s">
        <v>15</v>
      </c>
      <c r="D321" s="10" t="n">
        <v>2.5</v>
      </c>
      <c r="E321" s="10" t="n">
        <v>2.5</v>
      </c>
      <c r="F321" s="10" t="n">
        <v>0</v>
      </c>
      <c r="G321" s="10" t="n">
        <v>4</v>
      </c>
      <c r="H321" s="10" t="n">
        <v>32</v>
      </c>
      <c r="I321" s="10" t="s">
        <v>13</v>
      </c>
      <c r="J321" s="10" t="s">
        <v>39</v>
      </c>
      <c r="K321" s="10" t="s">
        <v>37</v>
      </c>
      <c r="L321" s="10" t="s">
        <v>40</v>
      </c>
    </row>
    <row r="322" customFormat="false" ht="15.75" hidden="false" customHeight="false" outlineLevel="0" collapsed="false">
      <c r="A322" s="10" t="n">
        <v>15</v>
      </c>
      <c r="B322" s="10" t="n">
        <v>1861.57</v>
      </c>
      <c r="C322" s="10" t="s">
        <v>12</v>
      </c>
      <c r="D322" s="10" t="n">
        <v>8</v>
      </c>
      <c r="E322" s="10" t="n">
        <v>8</v>
      </c>
      <c r="F322" s="10" t="n">
        <v>0</v>
      </c>
      <c r="G322" s="10" t="n">
        <v>1</v>
      </c>
      <c r="H322" s="10" t="n">
        <v>27</v>
      </c>
      <c r="I322" s="10" t="s">
        <v>13</v>
      </c>
      <c r="J322" s="10" t="s">
        <v>38</v>
      </c>
      <c r="K322" s="10" t="s">
        <v>43</v>
      </c>
      <c r="L322" s="10" t="s">
        <v>37</v>
      </c>
    </row>
    <row r="323" customFormat="false" ht="15.75" hidden="false" customHeight="false" outlineLevel="0" collapsed="false">
      <c r="A323" s="10" t="n">
        <v>30</v>
      </c>
      <c r="B323" s="10" t="n">
        <v>2171.24</v>
      </c>
      <c r="C323" s="10" t="s">
        <v>19</v>
      </c>
      <c r="D323" s="10" t="n">
        <v>0</v>
      </c>
      <c r="E323" s="10" t="n">
        <v>0</v>
      </c>
      <c r="F323" s="10" t="n">
        <v>0</v>
      </c>
      <c r="G323" s="10" t="n">
        <v>4</v>
      </c>
      <c r="H323" s="10" t="n">
        <v>28</v>
      </c>
      <c r="I323" s="10" t="s">
        <v>16</v>
      </c>
      <c r="J323" s="10" t="s">
        <v>38</v>
      </c>
      <c r="K323" s="10" t="s">
        <v>37</v>
      </c>
      <c r="L323" s="10" t="s">
        <v>19</v>
      </c>
    </row>
    <row r="324" customFormat="false" ht="15.75" hidden="false" customHeight="false" outlineLevel="0" collapsed="false">
      <c r="A324" s="10" t="n">
        <v>24</v>
      </c>
      <c r="B324" s="10" t="n">
        <v>990.32</v>
      </c>
      <c r="C324" s="10" t="s">
        <v>20</v>
      </c>
      <c r="D324" s="10" t="n">
        <v>0.5</v>
      </c>
      <c r="E324" s="10" t="n">
        <v>0.5</v>
      </c>
      <c r="F324" s="10" t="n">
        <v>0</v>
      </c>
      <c r="G324" s="10" t="n">
        <v>4</v>
      </c>
      <c r="H324" s="10" t="n">
        <v>32</v>
      </c>
      <c r="I324" s="10" t="s">
        <v>16</v>
      </c>
      <c r="J324" s="10" t="s">
        <v>39</v>
      </c>
      <c r="K324" s="10" t="s">
        <v>37</v>
      </c>
      <c r="L324" s="10" t="s">
        <v>42</v>
      </c>
    </row>
    <row r="325" customFormat="false" ht="15.75" hidden="false" customHeight="false" outlineLevel="0" collapsed="false">
      <c r="A325" s="10" t="n">
        <v>24</v>
      </c>
      <c r="B325" s="10" t="n">
        <v>1487.01</v>
      </c>
      <c r="C325" s="10" t="s">
        <v>17</v>
      </c>
      <c r="D325" s="10" t="n">
        <v>5.5</v>
      </c>
      <c r="E325" s="10" t="n">
        <v>5.5</v>
      </c>
      <c r="F325" s="10" t="n">
        <v>0</v>
      </c>
      <c r="G325" s="10" t="n">
        <v>2</v>
      </c>
      <c r="H325" s="10" t="n">
        <v>34</v>
      </c>
      <c r="I325" s="10" t="s">
        <v>13</v>
      </c>
      <c r="J325" s="10" t="s">
        <v>39</v>
      </c>
      <c r="K325" s="10" t="s">
        <v>39</v>
      </c>
      <c r="L325" s="10" t="s">
        <v>41</v>
      </c>
    </row>
    <row r="326" customFormat="false" ht="15.75" hidden="false" customHeight="false" outlineLevel="0" collapsed="false">
      <c r="A326" s="10" t="n">
        <v>18</v>
      </c>
      <c r="B326" s="10" t="n">
        <v>1358.75</v>
      </c>
      <c r="C326" s="10" t="s">
        <v>15</v>
      </c>
      <c r="D326" s="10" t="n">
        <v>2.5</v>
      </c>
      <c r="E326" s="10" t="n">
        <v>2.5</v>
      </c>
      <c r="F326" s="10" t="n">
        <v>0</v>
      </c>
      <c r="G326" s="10" t="n">
        <v>4</v>
      </c>
      <c r="H326" s="10" t="n">
        <v>28</v>
      </c>
      <c r="I326" s="10" t="s">
        <v>13</v>
      </c>
      <c r="J326" s="10" t="s">
        <v>38</v>
      </c>
      <c r="K326" s="10" t="s">
        <v>37</v>
      </c>
      <c r="L326" s="10" t="s">
        <v>40</v>
      </c>
    </row>
    <row r="327" customFormat="false" ht="15.75" hidden="false" customHeight="false" outlineLevel="0" collapsed="false">
      <c r="A327" s="10" t="n">
        <v>18</v>
      </c>
      <c r="B327" s="10" t="n">
        <v>525.31</v>
      </c>
      <c r="C327" s="10" t="s">
        <v>15</v>
      </c>
      <c r="D327" s="10" t="n">
        <v>2.5</v>
      </c>
      <c r="E327" s="10" t="n">
        <v>2.5</v>
      </c>
      <c r="F327" s="10" t="n">
        <v>0</v>
      </c>
      <c r="G327" s="10" t="n">
        <v>4</v>
      </c>
      <c r="H327" s="10" t="n">
        <v>36</v>
      </c>
      <c r="I327" s="10" t="s">
        <v>13</v>
      </c>
      <c r="J327" s="10" t="s">
        <v>39</v>
      </c>
      <c r="K327" s="10" t="s">
        <v>37</v>
      </c>
      <c r="L327" s="10" t="s">
        <v>40</v>
      </c>
    </row>
    <row r="328" customFormat="false" ht="15.75" hidden="false" customHeight="false" outlineLevel="0" collapsed="false">
      <c r="A328" s="10" t="n">
        <v>8</v>
      </c>
      <c r="B328" s="10" t="n">
        <v>1736.38</v>
      </c>
      <c r="C328" s="10" t="s">
        <v>17</v>
      </c>
      <c r="D328" s="10" t="n">
        <v>5.5</v>
      </c>
      <c r="E328" s="10" t="n">
        <v>5.5</v>
      </c>
      <c r="F328" s="10" t="n">
        <v>0</v>
      </c>
      <c r="G328" s="10" t="n">
        <v>1</v>
      </c>
      <c r="H328" s="10" t="n">
        <v>39</v>
      </c>
      <c r="I328" s="10" t="s">
        <v>13</v>
      </c>
      <c r="J328" s="10" t="s">
        <v>39</v>
      </c>
      <c r="K328" s="10" t="s">
        <v>43</v>
      </c>
      <c r="L328" s="10" t="s">
        <v>41</v>
      </c>
    </row>
    <row r="329" customFormat="false" ht="15.75" hidden="false" customHeight="false" outlineLevel="0" collapsed="false">
      <c r="A329" s="10" t="n">
        <v>12</v>
      </c>
      <c r="B329" s="10" t="n">
        <v>2964.31</v>
      </c>
      <c r="C329" s="10" t="s">
        <v>12</v>
      </c>
      <c r="D329" s="10" t="n">
        <v>8</v>
      </c>
      <c r="E329" s="10" t="n">
        <v>8</v>
      </c>
      <c r="F329" s="10" t="n">
        <v>0</v>
      </c>
      <c r="G329" s="10" t="n">
        <v>2</v>
      </c>
      <c r="H329" s="10" t="n">
        <v>49</v>
      </c>
      <c r="I329" s="10" t="s">
        <v>13</v>
      </c>
      <c r="J329" s="10" t="s">
        <v>39</v>
      </c>
      <c r="K329" s="10" t="s">
        <v>39</v>
      </c>
      <c r="L329" s="10" t="s">
        <v>37</v>
      </c>
    </row>
    <row r="330" customFormat="false" ht="15.75" hidden="false" customHeight="false" outlineLevel="0" collapsed="false">
      <c r="A330" s="10" t="n">
        <v>24</v>
      </c>
      <c r="B330" s="10" t="n">
        <v>779.28</v>
      </c>
      <c r="C330" s="10" t="s">
        <v>17</v>
      </c>
      <c r="D330" s="10" t="n">
        <v>5.5</v>
      </c>
      <c r="E330" s="10" t="n">
        <v>5.5</v>
      </c>
      <c r="F330" s="10" t="n">
        <v>0</v>
      </c>
      <c r="G330" s="10" t="n">
        <v>4</v>
      </c>
      <c r="H330" s="10" t="n">
        <v>34</v>
      </c>
      <c r="I330" s="10" t="s">
        <v>13</v>
      </c>
      <c r="J330" s="10" t="s">
        <v>39</v>
      </c>
      <c r="K330" s="10" t="s">
        <v>37</v>
      </c>
      <c r="L330" s="10" t="s">
        <v>41</v>
      </c>
    </row>
    <row r="331" customFormat="false" ht="15.75" hidden="false" customHeight="false" outlineLevel="0" collapsed="false">
      <c r="A331" s="10" t="n">
        <v>36</v>
      </c>
      <c r="B331" s="10" t="n">
        <v>2285.7</v>
      </c>
      <c r="C331" s="10" t="s">
        <v>12</v>
      </c>
      <c r="D331" s="10" t="n">
        <v>8</v>
      </c>
      <c r="E331" s="10" t="n">
        <v>8</v>
      </c>
      <c r="F331" s="10" t="n">
        <v>0</v>
      </c>
      <c r="G331" s="10" t="n">
        <v>4</v>
      </c>
      <c r="H331" s="10" t="n">
        <v>31</v>
      </c>
      <c r="I331" s="10" t="s">
        <v>13</v>
      </c>
      <c r="J331" s="10" t="s">
        <v>39</v>
      </c>
      <c r="K331" s="10" t="s">
        <v>37</v>
      </c>
      <c r="L331" s="10" t="s">
        <v>37</v>
      </c>
    </row>
    <row r="332" customFormat="false" ht="15.75" hidden="false" customHeight="false" outlineLevel="0" collapsed="false">
      <c r="A332" s="10" t="n">
        <v>6</v>
      </c>
      <c r="B332" s="10" t="n">
        <v>545.75</v>
      </c>
      <c r="C332" s="10" t="s">
        <v>12</v>
      </c>
      <c r="D332" s="10" t="n">
        <v>8</v>
      </c>
      <c r="E332" s="10" t="n">
        <v>8</v>
      </c>
      <c r="F332" s="10" t="n">
        <v>0</v>
      </c>
      <c r="G332" s="10" t="n">
        <v>4</v>
      </c>
      <c r="H332" s="10" t="n">
        <v>28</v>
      </c>
      <c r="I332" s="10" t="s">
        <v>13</v>
      </c>
      <c r="J332" s="10" t="s">
        <v>38</v>
      </c>
      <c r="K332" s="10" t="s">
        <v>37</v>
      </c>
      <c r="L332" s="10" t="s">
        <v>37</v>
      </c>
    </row>
    <row r="333" customFormat="false" ht="15.75" hidden="false" customHeight="false" outlineLevel="0" collapsed="false">
      <c r="A333" s="10" t="n">
        <v>24</v>
      </c>
      <c r="B333" s="10" t="n">
        <v>3380.27</v>
      </c>
      <c r="C333" s="10" t="s">
        <v>19</v>
      </c>
      <c r="D333" s="10" t="n">
        <v>0</v>
      </c>
      <c r="E333" s="10" t="n">
        <v>0</v>
      </c>
      <c r="F333" s="10" t="n">
        <v>0</v>
      </c>
      <c r="G333" s="10" t="n">
        <v>2</v>
      </c>
      <c r="H333" s="10" t="n">
        <v>75</v>
      </c>
      <c r="I333" s="10" t="s">
        <v>13</v>
      </c>
      <c r="J333" s="10" t="s">
        <v>36</v>
      </c>
      <c r="K333" s="10" t="s">
        <v>39</v>
      </c>
      <c r="L333" s="10" t="s">
        <v>19</v>
      </c>
    </row>
    <row r="334" customFormat="false" ht="15.75" hidden="false" customHeight="false" outlineLevel="0" collapsed="false">
      <c r="A334" s="10" t="n">
        <v>18</v>
      </c>
      <c r="B334" s="10" t="n">
        <v>952.5</v>
      </c>
      <c r="C334" s="10" t="s">
        <v>15</v>
      </c>
      <c r="D334" s="10" t="n">
        <v>2.5</v>
      </c>
      <c r="E334" s="10" t="n">
        <v>2.5</v>
      </c>
      <c r="F334" s="10" t="n">
        <v>0</v>
      </c>
      <c r="G334" s="10" t="n">
        <v>4</v>
      </c>
      <c r="H334" s="10" t="n">
        <v>30</v>
      </c>
      <c r="I334" s="10" t="s">
        <v>16</v>
      </c>
      <c r="J334" s="10" t="s">
        <v>39</v>
      </c>
      <c r="K334" s="10" t="s">
        <v>37</v>
      </c>
      <c r="L334" s="10" t="s">
        <v>40</v>
      </c>
    </row>
    <row r="335" customFormat="false" ht="15.75" hidden="false" customHeight="false" outlineLevel="0" collapsed="false">
      <c r="A335" s="10" t="n">
        <v>60</v>
      </c>
      <c r="B335" s="10" t="n">
        <v>3785.49</v>
      </c>
      <c r="C335" s="10" t="s">
        <v>20</v>
      </c>
      <c r="D335" s="10" t="n">
        <v>0.5</v>
      </c>
      <c r="E335" s="10" t="n">
        <v>0.5</v>
      </c>
      <c r="F335" s="10" t="n">
        <v>0</v>
      </c>
      <c r="G335" s="10" t="n">
        <v>4</v>
      </c>
      <c r="H335" s="10" t="n">
        <v>24</v>
      </c>
      <c r="I335" s="10" t="s">
        <v>16</v>
      </c>
      <c r="J335" s="10" t="s">
        <v>38</v>
      </c>
      <c r="K335" s="10" t="s">
        <v>37</v>
      </c>
      <c r="L335" s="10" t="s">
        <v>42</v>
      </c>
    </row>
    <row r="336" customFormat="false" ht="15.75" hidden="false" customHeight="false" outlineLevel="0" collapsed="false">
      <c r="A336" s="10" t="n">
        <v>48</v>
      </c>
      <c r="B336" s="10" t="n">
        <v>5922.49</v>
      </c>
      <c r="C336" s="10" t="s">
        <v>15</v>
      </c>
      <c r="D336" s="10" t="n">
        <v>2.5</v>
      </c>
      <c r="E336" s="10" t="n">
        <v>2.5</v>
      </c>
      <c r="F336" s="10" t="n">
        <v>0</v>
      </c>
      <c r="G336" s="10" t="n">
        <v>2</v>
      </c>
      <c r="H336" s="10" t="n">
        <v>24</v>
      </c>
      <c r="I336" s="10" t="s">
        <v>16</v>
      </c>
      <c r="J336" s="10" t="s">
        <v>38</v>
      </c>
      <c r="K336" s="10" t="s">
        <v>39</v>
      </c>
      <c r="L336" s="10" t="s">
        <v>40</v>
      </c>
    </row>
    <row r="337" customFormat="false" ht="15.75" hidden="false" customHeight="false" outlineLevel="0" collapsed="false">
      <c r="A337" s="10" t="n">
        <v>24</v>
      </c>
      <c r="B337" s="10" t="n">
        <v>2100.21</v>
      </c>
      <c r="C337" s="10" t="s">
        <v>12</v>
      </c>
      <c r="D337" s="10" t="n">
        <v>8</v>
      </c>
      <c r="E337" s="10" t="n">
        <v>5</v>
      </c>
      <c r="F337" s="10" t="n">
        <v>1</v>
      </c>
      <c r="G337" s="10" t="n">
        <v>3</v>
      </c>
      <c r="H337" s="10" t="n">
        <v>23</v>
      </c>
      <c r="I337" s="10" t="s">
        <v>16</v>
      </c>
      <c r="J337" s="10" t="s">
        <v>38</v>
      </c>
      <c r="K337" s="10" t="s">
        <v>39</v>
      </c>
      <c r="L337" s="10" t="s">
        <v>41</v>
      </c>
    </row>
    <row r="338" customFormat="false" ht="15.75" hidden="false" customHeight="false" outlineLevel="0" collapsed="false">
      <c r="A338" s="10" t="n">
        <v>6</v>
      </c>
      <c r="B338" s="10" t="n">
        <v>1729.22</v>
      </c>
      <c r="C338" s="10" t="s">
        <v>15</v>
      </c>
      <c r="D338" s="10" t="n">
        <v>2.5</v>
      </c>
      <c r="E338" s="10" t="n">
        <v>2.5</v>
      </c>
      <c r="F338" s="10" t="n">
        <v>0</v>
      </c>
      <c r="G338" s="10" t="n">
        <v>1</v>
      </c>
      <c r="H338" s="10" t="n">
        <v>44</v>
      </c>
      <c r="I338" s="10" t="s">
        <v>16</v>
      </c>
      <c r="J338" s="10" t="s">
        <v>39</v>
      </c>
      <c r="K338" s="10" t="s">
        <v>43</v>
      </c>
      <c r="L338" s="10" t="s">
        <v>40</v>
      </c>
    </row>
    <row r="339" customFormat="false" ht="15.75" hidden="false" customHeight="false" outlineLevel="0" collapsed="false">
      <c r="A339" s="10" t="n">
        <v>13</v>
      </c>
      <c r="B339" s="10" t="n">
        <v>1073.61</v>
      </c>
      <c r="C339" s="10" t="s">
        <v>20</v>
      </c>
      <c r="D339" s="10" t="n">
        <v>0.5</v>
      </c>
      <c r="E339" s="10" t="n">
        <v>0.5</v>
      </c>
      <c r="F339" s="10" t="n">
        <v>0</v>
      </c>
      <c r="G339" s="10" t="n">
        <v>2</v>
      </c>
      <c r="H339" s="10" t="n">
        <v>23</v>
      </c>
      <c r="I339" s="10" t="s">
        <v>13</v>
      </c>
      <c r="J339" s="10" t="s">
        <v>38</v>
      </c>
      <c r="K339" s="10" t="s">
        <v>39</v>
      </c>
      <c r="L339" s="10" t="s">
        <v>42</v>
      </c>
    </row>
    <row r="340" customFormat="false" ht="15.75" hidden="false" customHeight="false" outlineLevel="0" collapsed="false">
      <c r="A340" s="10" t="n">
        <v>15</v>
      </c>
      <c r="B340" s="10" t="n">
        <v>651.53</v>
      </c>
      <c r="C340" s="10" t="s">
        <v>15</v>
      </c>
      <c r="D340" s="10" t="n">
        <v>2.5</v>
      </c>
      <c r="E340" s="10" t="n">
        <v>2.5</v>
      </c>
      <c r="F340" s="10" t="n">
        <v>0</v>
      </c>
      <c r="G340" s="10" t="n">
        <v>4</v>
      </c>
      <c r="H340" s="10" t="n">
        <v>24</v>
      </c>
      <c r="I340" s="10" t="s">
        <v>16</v>
      </c>
      <c r="J340" s="10" t="s">
        <v>38</v>
      </c>
      <c r="K340" s="10" t="s">
        <v>37</v>
      </c>
      <c r="L340" s="10" t="s">
        <v>40</v>
      </c>
    </row>
    <row r="341" customFormat="false" ht="15.75" hidden="false" customHeight="false" outlineLevel="0" collapsed="false">
      <c r="A341" s="10" t="n">
        <v>24</v>
      </c>
      <c r="B341" s="10" t="n">
        <v>2130.36</v>
      </c>
      <c r="C341" s="10" t="s">
        <v>15</v>
      </c>
      <c r="D341" s="10" t="n">
        <v>2.5</v>
      </c>
      <c r="E341" s="10" t="n">
        <v>2.5</v>
      </c>
      <c r="F341" s="10" t="n">
        <v>0</v>
      </c>
      <c r="G341" s="10" t="n">
        <v>4</v>
      </c>
      <c r="H341" s="10" t="n">
        <v>28</v>
      </c>
      <c r="I341" s="10" t="s">
        <v>13</v>
      </c>
      <c r="J341" s="10" t="s">
        <v>38</v>
      </c>
      <c r="K341" s="10" t="s">
        <v>37</v>
      </c>
      <c r="L341" s="10" t="s">
        <v>40</v>
      </c>
    </row>
    <row r="342" customFormat="false" ht="15.75" hidden="false" customHeight="false" outlineLevel="0" collapsed="false">
      <c r="A342" s="10" t="n">
        <v>10</v>
      </c>
      <c r="B342" s="10" t="n">
        <v>777.23</v>
      </c>
      <c r="C342" s="10" t="s">
        <v>15</v>
      </c>
      <c r="D342" s="10" t="n">
        <v>2.5</v>
      </c>
      <c r="E342" s="10" t="n">
        <v>2.5</v>
      </c>
      <c r="F342" s="10" t="n">
        <v>0</v>
      </c>
      <c r="G342" s="10" t="n">
        <v>4</v>
      </c>
      <c r="H342" s="10" t="n">
        <v>31</v>
      </c>
      <c r="I342" s="10" t="s">
        <v>13</v>
      </c>
      <c r="J342" s="10" t="s">
        <v>39</v>
      </c>
      <c r="K342" s="10" t="s">
        <v>37</v>
      </c>
      <c r="L342" s="10" t="s">
        <v>40</v>
      </c>
    </row>
    <row r="343" customFormat="false" ht="15.75" hidden="false" customHeight="false" outlineLevel="0" collapsed="false">
      <c r="A343" s="10" t="n">
        <v>24</v>
      </c>
      <c r="B343" s="10" t="n">
        <v>2934.67</v>
      </c>
      <c r="C343" s="10" t="s">
        <v>20</v>
      </c>
      <c r="D343" s="10" t="n">
        <v>0.5</v>
      </c>
      <c r="E343" s="10" t="n">
        <v>0.5</v>
      </c>
      <c r="F343" s="10" t="n">
        <v>0</v>
      </c>
      <c r="G343" s="10" t="n">
        <v>2</v>
      </c>
      <c r="H343" s="10" t="n">
        <v>24</v>
      </c>
      <c r="I343" s="10" t="s">
        <v>13</v>
      </c>
      <c r="J343" s="10" t="s">
        <v>38</v>
      </c>
      <c r="K343" s="10" t="s">
        <v>39</v>
      </c>
      <c r="L343" s="10" t="s">
        <v>42</v>
      </c>
    </row>
    <row r="344" customFormat="false" ht="15.75" hidden="false" customHeight="false" outlineLevel="0" collapsed="false">
      <c r="A344" s="10" t="n">
        <v>21</v>
      </c>
      <c r="B344" s="10" t="n">
        <v>1839.09</v>
      </c>
      <c r="C344" s="10" t="s">
        <v>17</v>
      </c>
      <c r="D344" s="10" t="n">
        <v>5.5</v>
      </c>
      <c r="E344" s="10" t="n">
        <v>5.5</v>
      </c>
      <c r="F344" s="10" t="n">
        <v>0</v>
      </c>
      <c r="G344" s="10" t="n">
        <v>1</v>
      </c>
      <c r="H344" s="10" t="n">
        <v>26</v>
      </c>
      <c r="I344" s="10" t="s">
        <v>13</v>
      </c>
      <c r="J344" s="10" t="s">
        <v>38</v>
      </c>
      <c r="K344" s="10" t="s">
        <v>43</v>
      </c>
      <c r="L344" s="10" t="s">
        <v>41</v>
      </c>
    </row>
    <row r="345" customFormat="false" ht="15.75" hidden="false" customHeight="false" outlineLevel="0" collapsed="false">
      <c r="A345" s="10" t="n">
        <v>18</v>
      </c>
      <c r="B345" s="10" t="n">
        <v>1641.84</v>
      </c>
      <c r="C345" s="10" t="s">
        <v>20</v>
      </c>
      <c r="D345" s="10" t="n">
        <v>0.5</v>
      </c>
      <c r="E345" s="10" t="n">
        <v>0.5</v>
      </c>
      <c r="F345" s="10" t="n">
        <v>0</v>
      </c>
      <c r="G345" s="10" t="n">
        <v>1</v>
      </c>
      <c r="H345" s="10" t="n">
        <v>25</v>
      </c>
      <c r="I345" s="10" t="s">
        <v>13</v>
      </c>
      <c r="J345" s="10" t="s">
        <v>38</v>
      </c>
      <c r="K345" s="10" t="s">
        <v>43</v>
      </c>
      <c r="L345" s="10" t="s">
        <v>42</v>
      </c>
    </row>
    <row r="346" customFormat="false" ht="15.75" hidden="false" customHeight="false" outlineLevel="0" collapsed="false">
      <c r="A346" s="10" t="n">
        <v>18</v>
      </c>
      <c r="B346" s="10" t="n">
        <v>2268.33</v>
      </c>
      <c r="C346" s="10" t="s">
        <v>12</v>
      </c>
      <c r="D346" s="10" t="n">
        <v>8</v>
      </c>
      <c r="E346" s="10" t="n">
        <v>8</v>
      </c>
      <c r="F346" s="10" t="n">
        <v>0</v>
      </c>
      <c r="G346" s="10" t="n">
        <v>1</v>
      </c>
      <c r="H346" s="10" t="n">
        <v>33</v>
      </c>
      <c r="I346" s="10" t="s">
        <v>13</v>
      </c>
      <c r="J346" s="10" t="s">
        <v>39</v>
      </c>
      <c r="K346" s="10" t="s">
        <v>43</v>
      </c>
      <c r="L346" s="10" t="s">
        <v>37</v>
      </c>
    </row>
    <row r="347" customFormat="false" ht="15.75" hidden="false" customHeight="false" outlineLevel="0" collapsed="false">
      <c r="A347" s="10" t="n">
        <v>10</v>
      </c>
      <c r="B347" s="10" t="n">
        <v>2017.94</v>
      </c>
      <c r="C347" s="10" t="s">
        <v>20</v>
      </c>
      <c r="D347" s="10" t="n">
        <v>0.5</v>
      </c>
      <c r="E347" s="10" t="n">
        <v>0.5</v>
      </c>
      <c r="F347" s="10" t="n">
        <v>0</v>
      </c>
      <c r="G347" s="10" t="n">
        <v>1</v>
      </c>
      <c r="H347" s="10" t="n">
        <v>37</v>
      </c>
      <c r="I347" s="10" t="s">
        <v>13</v>
      </c>
      <c r="J347" s="10" t="s">
        <v>39</v>
      </c>
      <c r="K347" s="10" t="s">
        <v>43</v>
      </c>
      <c r="L347" s="10" t="s">
        <v>42</v>
      </c>
    </row>
    <row r="348" customFormat="false" ht="15.75" hidden="false" customHeight="false" outlineLevel="0" collapsed="false">
      <c r="A348" s="10" t="n">
        <v>15</v>
      </c>
      <c r="B348" s="10" t="n">
        <v>745.55</v>
      </c>
      <c r="C348" s="10" t="s">
        <v>15</v>
      </c>
      <c r="D348" s="10" t="n">
        <v>2.5</v>
      </c>
      <c r="E348" s="10" t="n">
        <v>2.5</v>
      </c>
      <c r="F348" s="10" t="n">
        <v>0</v>
      </c>
      <c r="G348" s="10" t="n">
        <v>4</v>
      </c>
      <c r="H348" s="10" t="n">
        <v>43</v>
      </c>
      <c r="I348" s="10" t="s">
        <v>13</v>
      </c>
      <c r="J348" s="10" t="s">
        <v>39</v>
      </c>
      <c r="K348" s="10" t="s">
        <v>37</v>
      </c>
      <c r="L348" s="10" t="s">
        <v>40</v>
      </c>
    </row>
    <row r="349" customFormat="false" ht="15.75" hidden="false" customHeight="false" outlineLevel="0" collapsed="false">
      <c r="A349" s="10" t="n">
        <v>13</v>
      </c>
      <c r="B349" s="10" t="n">
        <v>450.7</v>
      </c>
      <c r="C349" s="10" t="s">
        <v>20</v>
      </c>
      <c r="D349" s="10" t="n">
        <v>0.5</v>
      </c>
      <c r="E349" s="10" t="n">
        <v>0.5</v>
      </c>
      <c r="F349" s="10" t="n">
        <v>0</v>
      </c>
      <c r="G349" s="10" t="n">
        <v>4</v>
      </c>
      <c r="H349" s="10" t="n">
        <v>23</v>
      </c>
      <c r="I349" s="10" t="s">
        <v>13</v>
      </c>
      <c r="J349" s="10" t="s">
        <v>38</v>
      </c>
      <c r="K349" s="10" t="s">
        <v>37</v>
      </c>
      <c r="L349" s="10" t="s">
        <v>42</v>
      </c>
    </row>
    <row r="350" customFormat="false" ht="15.75" hidden="false" customHeight="false" outlineLevel="0" collapsed="false">
      <c r="A350" s="10" t="n">
        <v>24</v>
      </c>
      <c r="B350" s="10" t="n">
        <v>1920.34</v>
      </c>
      <c r="C350" s="10" t="s">
        <v>19</v>
      </c>
      <c r="D350" s="10" t="n">
        <v>0</v>
      </c>
      <c r="E350" s="10" t="n">
        <v>0</v>
      </c>
      <c r="F350" s="10" t="n">
        <v>0</v>
      </c>
      <c r="G350" s="10" t="n">
        <v>1</v>
      </c>
      <c r="H350" s="10" t="n">
        <v>23</v>
      </c>
      <c r="I350" s="10" t="s">
        <v>13</v>
      </c>
      <c r="J350" s="10" t="s">
        <v>38</v>
      </c>
      <c r="K350" s="10" t="s">
        <v>43</v>
      </c>
      <c r="L350" s="10" t="s">
        <v>19</v>
      </c>
    </row>
    <row r="351" customFormat="false" ht="15.75" hidden="false" customHeight="false" outlineLevel="0" collapsed="false">
      <c r="A351" s="10" t="n">
        <v>6</v>
      </c>
      <c r="B351" s="10" t="n">
        <v>890.67</v>
      </c>
      <c r="C351" s="10" t="s">
        <v>15</v>
      </c>
      <c r="D351" s="10" t="n">
        <v>2.5</v>
      </c>
      <c r="E351" s="10" t="n">
        <v>2.5</v>
      </c>
      <c r="F351" s="10" t="n">
        <v>0</v>
      </c>
      <c r="G351" s="10" t="n">
        <v>1</v>
      </c>
      <c r="H351" s="10" t="n">
        <v>34</v>
      </c>
      <c r="I351" s="10" t="s">
        <v>13</v>
      </c>
      <c r="J351" s="10" t="s">
        <v>39</v>
      </c>
      <c r="K351" s="10" t="s">
        <v>43</v>
      </c>
      <c r="L351" s="10" t="s">
        <v>40</v>
      </c>
    </row>
    <row r="352" customFormat="false" ht="15.75" hidden="false" customHeight="false" outlineLevel="0" collapsed="false">
      <c r="A352" s="10" t="n">
        <v>9</v>
      </c>
      <c r="B352" s="10" t="n">
        <v>580.5</v>
      </c>
      <c r="C352" s="10" t="s">
        <v>12</v>
      </c>
      <c r="D352" s="10" t="n">
        <v>8</v>
      </c>
      <c r="E352" s="10" t="n">
        <v>8</v>
      </c>
      <c r="F352" s="10" t="n">
        <v>0</v>
      </c>
      <c r="G352" s="10" t="n">
        <v>4</v>
      </c>
      <c r="H352" s="10" t="n">
        <v>32</v>
      </c>
      <c r="I352" s="10" t="s">
        <v>16</v>
      </c>
      <c r="J352" s="10" t="s">
        <v>39</v>
      </c>
      <c r="K352" s="10" t="s">
        <v>37</v>
      </c>
      <c r="L352" s="10" t="s">
        <v>37</v>
      </c>
    </row>
    <row r="353" customFormat="false" ht="15.75" hidden="false" customHeight="false" outlineLevel="0" collapsed="false">
      <c r="A353" s="10" t="n">
        <v>9</v>
      </c>
      <c r="B353" s="10" t="n">
        <v>631.6</v>
      </c>
      <c r="C353" s="10" t="s">
        <v>20</v>
      </c>
      <c r="D353" s="10" t="n">
        <v>0.5</v>
      </c>
      <c r="E353" s="10" t="n">
        <v>0.5</v>
      </c>
      <c r="F353" s="10" t="n">
        <v>0</v>
      </c>
      <c r="G353" s="10" t="n">
        <v>1</v>
      </c>
      <c r="H353" s="10" t="n">
        <v>23</v>
      </c>
      <c r="I353" s="10" t="s">
        <v>13</v>
      </c>
      <c r="J353" s="10" t="s">
        <v>38</v>
      </c>
      <c r="K353" s="10" t="s">
        <v>43</v>
      </c>
      <c r="L353" s="10" t="s">
        <v>42</v>
      </c>
    </row>
    <row r="354" customFormat="false" ht="15.75" hidden="false" customHeight="false" outlineLevel="0" collapsed="false">
      <c r="A354" s="10" t="n">
        <v>9</v>
      </c>
      <c r="B354" s="10" t="n">
        <v>490.05</v>
      </c>
      <c r="C354" s="10" t="s">
        <v>15</v>
      </c>
      <c r="D354" s="10" t="n">
        <v>2.5</v>
      </c>
      <c r="E354" s="10" t="n">
        <v>2.5</v>
      </c>
      <c r="F354" s="10" t="n">
        <v>0</v>
      </c>
      <c r="G354" s="10" t="n">
        <v>1</v>
      </c>
      <c r="H354" s="10" t="n">
        <v>29</v>
      </c>
      <c r="I354" s="10" t="s">
        <v>16</v>
      </c>
      <c r="J354" s="10" t="s">
        <v>38</v>
      </c>
      <c r="K354" s="10" t="s">
        <v>43</v>
      </c>
      <c r="L354" s="10" t="s">
        <v>40</v>
      </c>
    </row>
    <row r="355" customFormat="false" ht="15.75" hidden="false" customHeight="false" outlineLevel="0" collapsed="false">
      <c r="A355" s="10" t="n">
        <v>18</v>
      </c>
      <c r="B355" s="10" t="n">
        <v>1650.02</v>
      </c>
      <c r="C355" s="10" t="s">
        <v>19</v>
      </c>
      <c r="D355" s="10" t="n">
        <v>0</v>
      </c>
      <c r="E355" s="10" t="n">
        <v>0</v>
      </c>
      <c r="F355" s="10" t="n">
        <v>0</v>
      </c>
      <c r="G355" s="10" t="n">
        <v>2</v>
      </c>
      <c r="H355" s="10" t="n">
        <v>38</v>
      </c>
      <c r="I355" s="10" t="s">
        <v>13</v>
      </c>
      <c r="J355" s="10" t="s">
        <v>39</v>
      </c>
      <c r="K355" s="10" t="s">
        <v>39</v>
      </c>
      <c r="L355" s="10" t="s">
        <v>19</v>
      </c>
    </row>
    <row r="356" customFormat="false" ht="15.75" hidden="false" customHeight="false" outlineLevel="0" collapsed="false">
      <c r="A356" s="10" t="n">
        <v>12</v>
      </c>
      <c r="B356" s="10" t="n">
        <v>3167.69</v>
      </c>
      <c r="C356" s="10" t="s">
        <v>15</v>
      </c>
      <c r="D356" s="10" t="n">
        <v>2.5</v>
      </c>
      <c r="E356" s="10" t="n">
        <v>2.5</v>
      </c>
      <c r="F356" s="10" t="n">
        <v>0</v>
      </c>
      <c r="G356" s="10" t="n">
        <v>4</v>
      </c>
      <c r="H356" s="10" t="n">
        <v>28</v>
      </c>
      <c r="I356" s="10" t="s">
        <v>16</v>
      </c>
      <c r="J356" s="10" t="s">
        <v>38</v>
      </c>
      <c r="K356" s="10" t="s">
        <v>37</v>
      </c>
      <c r="L356" s="10" t="s">
        <v>40</v>
      </c>
    </row>
    <row r="357" customFormat="false" ht="15.75" hidden="false" customHeight="false" outlineLevel="0" collapsed="false">
      <c r="A357" s="10" t="n">
        <v>10</v>
      </c>
      <c r="B357" s="10" t="n">
        <v>371.5</v>
      </c>
      <c r="C357" s="10" t="s">
        <v>12</v>
      </c>
      <c r="D357" s="10" t="n">
        <v>8</v>
      </c>
      <c r="E357" s="10" t="n">
        <v>8</v>
      </c>
      <c r="F357" s="10" t="n">
        <v>0</v>
      </c>
      <c r="G357" s="10" t="n">
        <v>4</v>
      </c>
      <c r="H357" s="10" t="n">
        <v>46</v>
      </c>
      <c r="I357" s="10" t="s">
        <v>13</v>
      </c>
      <c r="J357" s="10" t="s">
        <v>39</v>
      </c>
      <c r="K357" s="10" t="s">
        <v>37</v>
      </c>
      <c r="L357" s="10" t="s">
        <v>37</v>
      </c>
    </row>
    <row r="358" customFormat="false" ht="15.75" hidden="false" customHeight="false" outlineLevel="0" collapsed="false">
      <c r="A358" s="10" t="n">
        <v>24</v>
      </c>
      <c r="B358" s="10" t="n">
        <v>636.71</v>
      </c>
      <c r="C358" s="10" t="s">
        <v>20</v>
      </c>
      <c r="D358" s="10" t="n">
        <v>0.5</v>
      </c>
      <c r="E358" s="10" t="n">
        <v>0.5</v>
      </c>
      <c r="F358" s="10" t="n">
        <v>0</v>
      </c>
      <c r="G358" s="10" t="n">
        <v>4</v>
      </c>
      <c r="H358" s="10" t="n">
        <v>23</v>
      </c>
      <c r="I358" s="10" t="s">
        <v>16</v>
      </c>
      <c r="J358" s="10" t="s">
        <v>38</v>
      </c>
      <c r="K358" s="10" t="s">
        <v>37</v>
      </c>
      <c r="L358" s="10" t="s">
        <v>42</v>
      </c>
    </row>
    <row r="359" customFormat="false" ht="15.75" hidden="false" customHeight="false" outlineLevel="0" collapsed="false">
      <c r="A359" s="10" t="n">
        <v>12</v>
      </c>
      <c r="B359" s="10" t="n">
        <v>1191.14</v>
      </c>
      <c r="C359" s="10" t="s">
        <v>12</v>
      </c>
      <c r="D359" s="10" t="n">
        <v>8</v>
      </c>
      <c r="E359" s="10" t="n">
        <v>8</v>
      </c>
      <c r="F359" s="10" t="n">
        <v>0</v>
      </c>
      <c r="G359" s="10" t="n">
        <v>1</v>
      </c>
      <c r="H359" s="10" t="n">
        <v>49</v>
      </c>
      <c r="I359" s="10" t="s">
        <v>13</v>
      </c>
      <c r="J359" s="10" t="s">
        <v>39</v>
      </c>
      <c r="K359" s="10" t="s">
        <v>43</v>
      </c>
      <c r="L359" s="10" t="s">
        <v>37</v>
      </c>
    </row>
    <row r="360" customFormat="false" ht="15.75" hidden="false" customHeight="false" outlineLevel="0" collapsed="false">
      <c r="A360" s="10" t="n">
        <v>36</v>
      </c>
      <c r="B360" s="10" t="n">
        <v>2280.59</v>
      </c>
      <c r="C360" s="10" t="s">
        <v>15</v>
      </c>
      <c r="D360" s="10" t="n">
        <v>2.5</v>
      </c>
      <c r="E360" s="10" t="n">
        <v>2.5</v>
      </c>
      <c r="F360" s="10" t="n">
        <v>0</v>
      </c>
      <c r="G360" s="10" t="n">
        <v>4</v>
      </c>
      <c r="H360" s="10" t="n">
        <v>26</v>
      </c>
      <c r="I360" s="10" t="s">
        <v>16</v>
      </c>
      <c r="J360" s="10" t="s">
        <v>38</v>
      </c>
      <c r="K360" s="10" t="s">
        <v>37</v>
      </c>
      <c r="L360" s="10" t="s">
        <v>40</v>
      </c>
    </row>
    <row r="361" customFormat="false" ht="15.75" hidden="false" customHeight="false" outlineLevel="0" collapsed="false">
      <c r="A361" s="10" t="n">
        <v>12</v>
      </c>
      <c r="B361" s="10" t="n">
        <v>396.54</v>
      </c>
      <c r="C361" s="10" t="s">
        <v>15</v>
      </c>
      <c r="D361" s="10" t="n">
        <v>2.5</v>
      </c>
      <c r="E361" s="10" t="n">
        <v>2.5</v>
      </c>
      <c r="F361" s="10" t="n">
        <v>0</v>
      </c>
      <c r="G361" s="10" t="n">
        <v>4</v>
      </c>
      <c r="H361" s="10" t="n">
        <v>28</v>
      </c>
      <c r="I361" s="10" t="s">
        <v>13</v>
      </c>
      <c r="J361" s="10" t="s">
        <v>38</v>
      </c>
      <c r="K361" s="10" t="s">
        <v>37</v>
      </c>
      <c r="L361" s="10" t="s">
        <v>40</v>
      </c>
    </row>
    <row r="362" customFormat="false" ht="15.75" hidden="false" customHeight="false" outlineLevel="0" collapsed="false">
      <c r="A362" s="10" t="n">
        <v>30</v>
      </c>
      <c r="B362" s="10" t="n">
        <v>1229.47</v>
      </c>
      <c r="C362" s="10" t="s">
        <v>17</v>
      </c>
      <c r="D362" s="10" t="n">
        <v>5.5</v>
      </c>
      <c r="E362" s="10" t="n">
        <v>5</v>
      </c>
      <c r="F362" s="10" t="n">
        <v>1</v>
      </c>
      <c r="G362" s="10" t="n">
        <v>4</v>
      </c>
      <c r="H362" s="10" t="n">
        <v>23</v>
      </c>
      <c r="I362" s="10" t="s">
        <v>16</v>
      </c>
      <c r="J362" s="10" t="s">
        <v>38</v>
      </c>
      <c r="K362" s="10" t="s">
        <v>37</v>
      </c>
      <c r="L362" s="10" t="s">
        <v>41</v>
      </c>
    </row>
    <row r="363" customFormat="false" ht="15.75" hidden="false" customHeight="false" outlineLevel="0" collapsed="false">
      <c r="A363" s="10" t="n">
        <v>18</v>
      </c>
      <c r="B363" s="10" t="n">
        <v>633.13</v>
      </c>
      <c r="C363" s="10" t="s">
        <v>15</v>
      </c>
      <c r="D363" s="10" t="n">
        <v>2.5</v>
      </c>
      <c r="E363" s="10" t="n">
        <v>2.5</v>
      </c>
      <c r="F363" s="10" t="n">
        <v>0</v>
      </c>
      <c r="G363" s="10" t="n">
        <v>4</v>
      </c>
      <c r="H363" s="10" t="n">
        <v>61</v>
      </c>
      <c r="I363" s="10" t="s">
        <v>13</v>
      </c>
      <c r="J363" s="10" t="s">
        <v>36</v>
      </c>
      <c r="K363" s="10" t="s">
        <v>37</v>
      </c>
      <c r="L363" s="10" t="s">
        <v>40</v>
      </c>
    </row>
    <row r="364" customFormat="false" ht="15.75" hidden="false" customHeight="false" outlineLevel="0" collapsed="false">
      <c r="A364" s="10" t="n">
        <v>12</v>
      </c>
      <c r="B364" s="10" t="n">
        <v>1736.89</v>
      </c>
      <c r="C364" s="10" t="s">
        <v>12</v>
      </c>
      <c r="D364" s="10" t="n">
        <v>8</v>
      </c>
      <c r="E364" s="10" t="n">
        <v>8</v>
      </c>
      <c r="F364" s="10" t="n">
        <v>0</v>
      </c>
      <c r="G364" s="10" t="n">
        <v>2</v>
      </c>
      <c r="H364" s="10" t="n">
        <v>37</v>
      </c>
      <c r="I364" s="10" t="s">
        <v>13</v>
      </c>
      <c r="J364" s="10" t="s">
        <v>39</v>
      </c>
      <c r="K364" s="10" t="s">
        <v>39</v>
      </c>
      <c r="L364" s="10" t="s">
        <v>37</v>
      </c>
    </row>
    <row r="365" customFormat="false" ht="15.75" hidden="false" customHeight="false" outlineLevel="0" collapsed="false">
      <c r="A365" s="10" t="n">
        <v>12</v>
      </c>
      <c r="B365" s="10" t="n">
        <v>1148.22</v>
      </c>
      <c r="C365" s="10" t="s">
        <v>15</v>
      </c>
      <c r="D365" s="10" t="n">
        <v>2.5</v>
      </c>
      <c r="E365" s="10" t="n">
        <v>2.5</v>
      </c>
      <c r="F365" s="10" t="n">
        <v>0</v>
      </c>
      <c r="G365" s="10" t="n">
        <v>2</v>
      </c>
      <c r="H365" s="10" t="n">
        <v>36</v>
      </c>
      <c r="I365" s="10" t="s">
        <v>13</v>
      </c>
      <c r="J365" s="10" t="s">
        <v>39</v>
      </c>
      <c r="K365" s="10" t="s">
        <v>39</v>
      </c>
      <c r="L365" s="10" t="s">
        <v>40</v>
      </c>
    </row>
    <row r="366" customFormat="false" ht="15.75" hidden="false" customHeight="false" outlineLevel="0" collapsed="false">
      <c r="A366" s="10" t="n">
        <v>6</v>
      </c>
      <c r="B366" s="10" t="n">
        <v>902.43</v>
      </c>
      <c r="C366" s="10" t="s">
        <v>15</v>
      </c>
      <c r="D366" s="10" t="n">
        <v>2.5</v>
      </c>
      <c r="E366" s="10" t="n">
        <v>2.5</v>
      </c>
      <c r="F366" s="10" t="n">
        <v>0</v>
      </c>
      <c r="G366" s="10" t="n">
        <v>1</v>
      </c>
      <c r="H366" s="10" t="n">
        <v>21</v>
      </c>
      <c r="I366" s="10" t="s">
        <v>13</v>
      </c>
      <c r="J366" s="10" t="s">
        <v>38</v>
      </c>
      <c r="K366" s="10" t="s">
        <v>43</v>
      </c>
      <c r="L366" s="10" t="s">
        <v>40</v>
      </c>
    </row>
    <row r="367" customFormat="false" ht="15.75" hidden="false" customHeight="false" outlineLevel="0" collapsed="false">
      <c r="A367" s="10" t="n">
        <v>18</v>
      </c>
      <c r="B367" s="10" t="n">
        <v>1263.7</v>
      </c>
      <c r="C367" s="10" t="s">
        <v>19</v>
      </c>
      <c r="D367" s="10" t="n">
        <v>0</v>
      </c>
      <c r="E367" s="10" t="n">
        <v>0</v>
      </c>
      <c r="F367" s="10" t="n">
        <v>0</v>
      </c>
      <c r="G367" s="10" t="n">
        <v>4</v>
      </c>
      <c r="H367" s="10" t="n">
        <v>25</v>
      </c>
      <c r="I367" s="10" t="s">
        <v>16</v>
      </c>
      <c r="J367" s="10" t="s">
        <v>38</v>
      </c>
      <c r="K367" s="10" t="s">
        <v>37</v>
      </c>
      <c r="L367" s="10" t="s">
        <v>19</v>
      </c>
    </row>
    <row r="368" customFormat="false" ht="15.75" hidden="false" customHeight="false" outlineLevel="0" collapsed="false">
      <c r="A368" s="10" t="n">
        <v>12</v>
      </c>
      <c r="B368" s="10" t="n">
        <v>787.96</v>
      </c>
      <c r="C368" s="10" t="s">
        <v>17</v>
      </c>
      <c r="D368" s="10" t="n">
        <v>5.5</v>
      </c>
      <c r="E368" s="10" t="n">
        <v>5.5</v>
      </c>
      <c r="F368" s="10" t="n">
        <v>0</v>
      </c>
      <c r="G368" s="10" t="n">
        <v>2</v>
      </c>
      <c r="H368" s="10" t="n">
        <v>36</v>
      </c>
      <c r="I368" s="10" t="s">
        <v>13</v>
      </c>
      <c r="J368" s="10" t="s">
        <v>39</v>
      </c>
      <c r="K368" s="10" t="s">
        <v>39</v>
      </c>
      <c r="L368" s="10" t="s">
        <v>41</v>
      </c>
    </row>
    <row r="369" customFormat="false" ht="15.75" hidden="false" customHeight="false" outlineLevel="0" collapsed="false">
      <c r="A369" s="10" t="n">
        <v>18</v>
      </c>
      <c r="B369" s="10" t="n">
        <v>1967.35</v>
      </c>
      <c r="C369" s="10" t="s">
        <v>17</v>
      </c>
      <c r="D369" s="10" t="n">
        <v>5.5</v>
      </c>
      <c r="E369" s="10" t="n">
        <v>5.5</v>
      </c>
      <c r="F369" s="10" t="n">
        <v>0</v>
      </c>
      <c r="G369" s="10" t="n">
        <v>3</v>
      </c>
      <c r="H369" s="10" t="n">
        <v>27</v>
      </c>
      <c r="I369" s="10" t="s">
        <v>13</v>
      </c>
      <c r="J369" s="10" t="s">
        <v>38</v>
      </c>
      <c r="K369" s="10" t="s">
        <v>39</v>
      </c>
      <c r="L369" s="10" t="s">
        <v>41</v>
      </c>
    </row>
    <row r="370" customFormat="false" ht="15.75" hidden="false" customHeight="false" outlineLevel="0" collapsed="false">
      <c r="A370" s="10" t="n">
        <v>18</v>
      </c>
      <c r="B370" s="10" t="n">
        <v>1865.15</v>
      </c>
      <c r="C370" s="10" t="s">
        <v>20</v>
      </c>
      <c r="D370" s="10" t="n">
        <v>0.5</v>
      </c>
      <c r="E370" s="10" t="n">
        <v>0.5</v>
      </c>
      <c r="F370" s="10" t="n">
        <v>0</v>
      </c>
      <c r="G370" s="10" t="n">
        <v>1</v>
      </c>
      <c r="H370" s="10" t="n">
        <v>22</v>
      </c>
      <c r="I370" s="10" t="s">
        <v>13</v>
      </c>
      <c r="J370" s="10" t="s">
        <v>38</v>
      </c>
      <c r="K370" s="10" t="s">
        <v>43</v>
      </c>
      <c r="L370" s="10" t="s">
        <v>42</v>
      </c>
    </row>
    <row r="371" customFormat="false" ht="15.75" hidden="false" customHeight="false" outlineLevel="0" collapsed="false">
      <c r="A371" s="10" t="n">
        <v>36</v>
      </c>
      <c r="B371" s="10" t="n">
        <v>1760.91</v>
      </c>
      <c r="C371" s="10" t="s">
        <v>12</v>
      </c>
      <c r="D371" s="10" t="n">
        <v>8</v>
      </c>
      <c r="E371" s="10" t="n">
        <v>8</v>
      </c>
      <c r="F371" s="10" t="n">
        <v>0</v>
      </c>
      <c r="G371" s="10" t="n">
        <v>4</v>
      </c>
      <c r="H371" s="10" t="n">
        <v>42</v>
      </c>
      <c r="I371" s="10" t="s">
        <v>16</v>
      </c>
      <c r="J371" s="10" t="s">
        <v>39</v>
      </c>
      <c r="K371" s="10" t="s">
        <v>37</v>
      </c>
      <c r="L371" s="10" t="s">
        <v>37</v>
      </c>
    </row>
    <row r="372" customFormat="false" ht="15.75" hidden="false" customHeight="false" outlineLevel="0" collapsed="false">
      <c r="A372" s="10" t="n">
        <v>18</v>
      </c>
      <c r="B372" s="10" t="n">
        <v>1533.51</v>
      </c>
      <c r="C372" s="10" t="s">
        <v>17</v>
      </c>
      <c r="D372" s="10" t="n">
        <v>5.5</v>
      </c>
      <c r="E372" s="10" t="n">
        <v>5.5</v>
      </c>
      <c r="F372" s="10" t="n">
        <v>0</v>
      </c>
      <c r="G372" s="10" t="n">
        <v>2</v>
      </c>
      <c r="H372" s="10" t="n">
        <v>40</v>
      </c>
      <c r="I372" s="10" t="s">
        <v>13</v>
      </c>
      <c r="J372" s="10" t="s">
        <v>39</v>
      </c>
      <c r="K372" s="10" t="s">
        <v>39</v>
      </c>
      <c r="L372" s="10" t="s">
        <v>41</v>
      </c>
    </row>
    <row r="373" customFormat="false" ht="15.75" hidden="false" customHeight="false" outlineLevel="0" collapsed="false">
      <c r="A373" s="10" t="n">
        <v>36</v>
      </c>
      <c r="B373" s="10" t="n">
        <v>1573.37</v>
      </c>
      <c r="C373" s="10" t="s">
        <v>15</v>
      </c>
      <c r="D373" s="10" t="n">
        <v>2.5</v>
      </c>
      <c r="E373" s="10" t="n">
        <v>2.5</v>
      </c>
      <c r="F373" s="10" t="n">
        <v>0</v>
      </c>
      <c r="G373" s="10" t="n">
        <v>4</v>
      </c>
      <c r="H373" s="10" t="n">
        <v>36</v>
      </c>
      <c r="I373" s="10" t="s">
        <v>13</v>
      </c>
      <c r="J373" s="10" t="s">
        <v>39</v>
      </c>
      <c r="K373" s="10" t="s">
        <v>37</v>
      </c>
      <c r="L373" s="10" t="s">
        <v>40</v>
      </c>
    </row>
    <row r="374" customFormat="false" ht="15.75" hidden="false" customHeight="false" outlineLevel="0" collapsed="false">
      <c r="A374" s="10" t="n">
        <v>18</v>
      </c>
      <c r="B374" s="10" t="n">
        <v>3101.77</v>
      </c>
      <c r="C374" s="10" t="s">
        <v>12</v>
      </c>
      <c r="D374" s="10" t="n">
        <v>8</v>
      </c>
      <c r="E374" s="10" t="n">
        <v>8</v>
      </c>
      <c r="F374" s="10" t="n">
        <v>0</v>
      </c>
      <c r="G374" s="10" t="n">
        <v>3</v>
      </c>
      <c r="H374" s="10" t="n">
        <v>33</v>
      </c>
      <c r="I374" s="10" t="s">
        <v>13</v>
      </c>
      <c r="J374" s="10" t="s">
        <v>39</v>
      </c>
      <c r="K374" s="10" t="s">
        <v>39</v>
      </c>
      <c r="L374" s="10" t="s">
        <v>37</v>
      </c>
    </row>
    <row r="375" customFormat="false" ht="15.75" hidden="false" customHeight="false" outlineLevel="0" collapsed="false">
      <c r="A375" s="10" t="n">
        <v>10</v>
      </c>
      <c r="B375" s="10" t="n">
        <v>1096.61</v>
      </c>
      <c r="C375" s="10" t="s">
        <v>20</v>
      </c>
      <c r="D375" s="10" t="n">
        <v>0.5</v>
      </c>
      <c r="E375" s="10" t="n">
        <v>0.5</v>
      </c>
      <c r="F375" s="10" t="n">
        <v>0</v>
      </c>
      <c r="G375" s="10" t="n">
        <v>1</v>
      </c>
      <c r="H375" s="10" t="n">
        <v>23</v>
      </c>
      <c r="I375" s="10" t="s">
        <v>13</v>
      </c>
      <c r="J375" s="10" t="s">
        <v>38</v>
      </c>
      <c r="K375" s="10" t="s">
        <v>43</v>
      </c>
      <c r="L375" s="10" t="s">
        <v>42</v>
      </c>
    </row>
    <row r="376" customFormat="false" ht="15.75" hidden="false" customHeight="false" outlineLevel="0" collapsed="false">
      <c r="A376" s="10" t="n">
        <v>60</v>
      </c>
      <c r="B376" s="10" t="n">
        <v>7029.32</v>
      </c>
      <c r="C376" s="10" t="s">
        <v>12</v>
      </c>
      <c r="D376" s="10" t="n">
        <v>8</v>
      </c>
      <c r="E376" s="10" t="n">
        <v>8</v>
      </c>
      <c r="F376" s="10" t="n">
        <v>0</v>
      </c>
      <c r="G376" s="10" t="n">
        <v>2</v>
      </c>
      <c r="H376" s="10" t="n">
        <v>63</v>
      </c>
      <c r="I376" s="10" t="s">
        <v>13</v>
      </c>
      <c r="J376" s="10" t="s">
        <v>36</v>
      </c>
      <c r="K376" s="10" t="s">
        <v>39</v>
      </c>
      <c r="L376" s="10" t="s">
        <v>37</v>
      </c>
    </row>
    <row r="377" customFormat="false" ht="15.75" hidden="false" customHeight="false" outlineLevel="0" collapsed="false">
      <c r="A377" s="10" t="n">
        <v>60</v>
      </c>
      <c r="B377" s="10" t="n">
        <v>7553.6</v>
      </c>
      <c r="C377" s="10" t="s">
        <v>12</v>
      </c>
      <c r="D377" s="10" t="n">
        <v>8</v>
      </c>
      <c r="E377" s="10" t="n">
        <v>8</v>
      </c>
      <c r="F377" s="10" t="n">
        <v>0</v>
      </c>
      <c r="G377" s="10" t="n">
        <v>3</v>
      </c>
      <c r="H377" s="10" t="n">
        <v>60</v>
      </c>
      <c r="I377" s="10" t="s">
        <v>16</v>
      </c>
      <c r="J377" s="10" t="s">
        <v>36</v>
      </c>
      <c r="K377" s="10" t="s">
        <v>39</v>
      </c>
      <c r="L377" s="10" t="s">
        <v>37</v>
      </c>
    </row>
    <row r="378" customFormat="false" ht="15.75" hidden="false" customHeight="false" outlineLevel="0" collapsed="false">
      <c r="A378" s="10" t="n">
        <v>48</v>
      </c>
      <c r="B378" s="10" t="n">
        <v>3927.04</v>
      </c>
      <c r="C378" s="10" t="s">
        <v>17</v>
      </c>
      <c r="D378" s="10" t="n">
        <v>5.5</v>
      </c>
      <c r="E378" s="10" t="n">
        <v>5.5</v>
      </c>
      <c r="F378" s="10" t="n">
        <v>0</v>
      </c>
      <c r="G378" s="10" t="n">
        <v>2</v>
      </c>
      <c r="H378" s="10" t="n">
        <v>37</v>
      </c>
      <c r="I378" s="10" t="s">
        <v>16</v>
      </c>
      <c r="J378" s="10" t="s">
        <v>39</v>
      </c>
      <c r="K378" s="10" t="s">
        <v>39</v>
      </c>
      <c r="L378" s="10" t="s">
        <v>41</v>
      </c>
    </row>
    <row r="379" customFormat="false" ht="15.75" hidden="false" customHeight="false" outlineLevel="0" collapsed="false">
      <c r="A379" s="10" t="n">
        <v>18</v>
      </c>
      <c r="B379" s="10" t="n">
        <v>1185.52</v>
      </c>
      <c r="C379" s="10" t="s">
        <v>19</v>
      </c>
      <c r="D379" s="10" t="n">
        <v>0</v>
      </c>
      <c r="E379" s="10" t="n">
        <v>0</v>
      </c>
      <c r="F379" s="10" t="n">
        <v>0</v>
      </c>
      <c r="G379" s="10" t="n">
        <v>2</v>
      </c>
      <c r="H379" s="10" t="n">
        <v>34</v>
      </c>
      <c r="I379" s="10" t="s">
        <v>13</v>
      </c>
      <c r="J379" s="10" t="s">
        <v>39</v>
      </c>
      <c r="K379" s="10" t="s">
        <v>39</v>
      </c>
      <c r="L379" s="10" t="s">
        <v>19</v>
      </c>
    </row>
    <row r="380" customFormat="false" ht="15.75" hidden="false" customHeight="false" outlineLevel="0" collapsed="false">
      <c r="A380" s="10" t="n">
        <v>7</v>
      </c>
      <c r="B380" s="10" t="n">
        <v>432.31</v>
      </c>
      <c r="C380" s="10" t="s">
        <v>12</v>
      </c>
      <c r="D380" s="10" t="n">
        <v>8</v>
      </c>
      <c r="E380" s="10" t="n">
        <v>8</v>
      </c>
      <c r="F380" s="10" t="n">
        <v>0</v>
      </c>
      <c r="G380" s="10" t="n">
        <v>3</v>
      </c>
      <c r="H380" s="10" t="n">
        <v>36</v>
      </c>
      <c r="I380" s="10" t="s">
        <v>13</v>
      </c>
      <c r="J380" s="10" t="s">
        <v>39</v>
      </c>
      <c r="K380" s="10" t="s">
        <v>39</v>
      </c>
      <c r="L380" s="10" t="s">
        <v>37</v>
      </c>
    </row>
    <row r="381" customFormat="false" ht="15.75" hidden="false" customHeight="false" outlineLevel="0" collapsed="false">
      <c r="A381" s="10" t="n">
        <v>36</v>
      </c>
      <c r="B381" s="10" t="n">
        <v>7316.5</v>
      </c>
      <c r="C381" s="10" t="s">
        <v>12</v>
      </c>
      <c r="D381" s="10" t="n">
        <v>8</v>
      </c>
      <c r="E381" s="10" t="n">
        <v>8</v>
      </c>
      <c r="F381" s="10" t="n">
        <v>0</v>
      </c>
      <c r="G381" s="10" t="n">
        <v>4</v>
      </c>
      <c r="H381" s="10" t="n">
        <v>57</v>
      </c>
      <c r="I381" s="10" t="s">
        <v>16</v>
      </c>
      <c r="J381" s="10" t="s">
        <v>36</v>
      </c>
      <c r="K381" s="10" t="s">
        <v>37</v>
      </c>
      <c r="L381" s="10" t="s">
        <v>37</v>
      </c>
    </row>
    <row r="382" customFormat="false" ht="15.75" hidden="false" customHeight="false" outlineLevel="0" collapsed="false">
      <c r="A382" s="10" t="n">
        <v>6</v>
      </c>
      <c r="B382" s="10" t="n">
        <v>184.98</v>
      </c>
      <c r="C382" s="10" t="s">
        <v>15</v>
      </c>
      <c r="D382" s="10" t="n">
        <v>2.5</v>
      </c>
      <c r="E382" s="10" t="n">
        <v>2.5</v>
      </c>
      <c r="F382" s="10" t="n">
        <v>0</v>
      </c>
      <c r="G382" s="10" t="n">
        <v>4</v>
      </c>
      <c r="H382" s="10" t="n">
        <v>52</v>
      </c>
      <c r="I382" s="10" t="s">
        <v>13</v>
      </c>
      <c r="J382" s="10" t="s">
        <v>36</v>
      </c>
      <c r="K382" s="10" t="s">
        <v>37</v>
      </c>
      <c r="L382" s="10" t="s">
        <v>40</v>
      </c>
    </row>
    <row r="383" customFormat="false" ht="15.75" hidden="false" customHeight="false" outlineLevel="0" collapsed="false">
      <c r="A383" s="10" t="n">
        <v>20</v>
      </c>
      <c r="B383" s="10" t="n">
        <v>1130.33</v>
      </c>
      <c r="C383" s="10" t="s">
        <v>17</v>
      </c>
      <c r="D383" s="10" t="n">
        <v>5.5</v>
      </c>
      <c r="E383" s="10" t="n">
        <v>5.5</v>
      </c>
      <c r="F383" s="10" t="n">
        <v>0</v>
      </c>
      <c r="G383" s="10" t="n">
        <v>4</v>
      </c>
      <c r="H383" s="10" t="n">
        <v>39</v>
      </c>
      <c r="I383" s="10" t="s">
        <v>13</v>
      </c>
      <c r="J383" s="10" t="s">
        <v>39</v>
      </c>
      <c r="K383" s="10" t="s">
        <v>37</v>
      </c>
      <c r="L383" s="10" t="s">
        <v>41</v>
      </c>
    </row>
    <row r="384" customFormat="false" ht="15.75" hidden="false" customHeight="false" outlineLevel="0" collapsed="false">
      <c r="A384" s="10" t="n">
        <v>18</v>
      </c>
      <c r="B384" s="10" t="n">
        <v>6630.74</v>
      </c>
      <c r="C384" s="10" t="s">
        <v>19</v>
      </c>
      <c r="D384" s="10" t="n">
        <v>0</v>
      </c>
      <c r="E384" s="10" t="n">
        <v>0</v>
      </c>
      <c r="F384" s="10" t="n">
        <v>0</v>
      </c>
      <c r="G384" s="10" t="n">
        <v>3</v>
      </c>
      <c r="H384" s="10" t="n">
        <v>38</v>
      </c>
      <c r="I384" s="10" t="s">
        <v>16</v>
      </c>
      <c r="J384" s="10" t="s">
        <v>39</v>
      </c>
      <c r="K384" s="10" t="s">
        <v>39</v>
      </c>
      <c r="L384" s="10" t="s">
        <v>19</v>
      </c>
    </row>
    <row r="385" customFormat="false" ht="15.75" hidden="false" customHeight="false" outlineLevel="0" collapsed="false">
      <c r="A385" s="10" t="n">
        <v>22</v>
      </c>
      <c r="B385" s="10" t="n">
        <v>655.61</v>
      </c>
      <c r="C385" s="10" t="s">
        <v>17</v>
      </c>
      <c r="D385" s="10" t="n">
        <v>5.5</v>
      </c>
      <c r="E385" s="10" t="n">
        <v>5.5</v>
      </c>
      <c r="F385" s="10" t="n">
        <v>0</v>
      </c>
      <c r="G385" s="10" t="n">
        <v>4</v>
      </c>
      <c r="H385" s="10" t="n">
        <v>25</v>
      </c>
      <c r="I385" s="10" t="s">
        <v>13</v>
      </c>
      <c r="J385" s="10" t="s">
        <v>38</v>
      </c>
      <c r="K385" s="10" t="s">
        <v>37</v>
      </c>
      <c r="L385" s="10" t="s">
        <v>41</v>
      </c>
    </row>
    <row r="386" customFormat="false" ht="15.75" hidden="false" customHeight="false" outlineLevel="0" collapsed="false">
      <c r="A386" s="10" t="n">
        <v>12</v>
      </c>
      <c r="B386" s="10" t="n">
        <v>679.63</v>
      </c>
      <c r="C386" s="10" t="s">
        <v>20</v>
      </c>
      <c r="D386" s="10" t="n">
        <v>0.5</v>
      </c>
      <c r="E386" s="10" t="n">
        <v>0.5</v>
      </c>
      <c r="F386" s="10" t="n">
        <v>0</v>
      </c>
      <c r="G386" s="10" t="n">
        <v>4</v>
      </c>
      <c r="H386" s="10" t="n">
        <v>26</v>
      </c>
      <c r="I386" s="10" t="s">
        <v>13</v>
      </c>
      <c r="J386" s="10" t="s">
        <v>38</v>
      </c>
      <c r="K386" s="10" t="s">
        <v>37</v>
      </c>
      <c r="L386" s="10" t="s">
        <v>42</v>
      </c>
    </row>
    <row r="387" customFormat="false" ht="15.75" hidden="false" customHeight="false" outlineLevel="0" collapsed="false">
      <c r="A387" s="10" t="n">
        <v>30</v>
      </c>
      <c r="B387" s="10" t="n">
        <v>2182.99</v>
      </c>
      <c r="C387" s="10" t="s">
        <v>15</v>
      </c>
      <c r="D387" s="10" t="n">
        <v>2.5</v>
      </c>
      <c r="E387" s="10" t="n">
        <v>2.5</v>
      </c>
      <c r="F387" s="10" t="n">
        <v>0</v>
      </c>
      <c r="G387" s="10" t="n">
        <v>2</v>
      </c>
      <c r="H387" s="10" t="n">
        <v>26</v>
      </c>
      <c r="I387" s="10" t="s">
        <v>13</v>
      </c>
      <c r="J387" s="10" t="s">
        <v>38</v>
      </c>
      <c r="K387" s="10" t="s">
        <v>39</v>
      </c>
      <c r="L387" s="10" t="s">
        <v>40</v>
      </c>
    </row>
    <row r="388" customFormat="false" ht="15.75" hidden="false" customHeight="false" outlineLevel="0" collapsed="false">
      <c r="A388" s="10" t="n">
        <v>18</v>
      </c>
      <c r="B388" s="10" t="n">
        <v>1143.62</v>
      </c>
      <c r="C388" s="10" t="s">
        <v>15</v>
      </c>
      <c r="D388" s="10" t="n">
        <v>2.5</v>
      </c>
      <c r="E388" s="10" t="n">
        <v>2.5</v>
      </c>
      <c r="F388" s="10" t="n">
        <v>0</v>
      </c>
      <c r="G388" s="10" t="n">
        <v>2</v>
      </c>
      <c r="H388" s="10" t="n">
        <v>25</v>
      </c>
      <c r="I388" s="10" t="s">
        <v>13</v>
      </c>
      <c r="J388" s="10" t="s">
        <v>38</v>
      </c>
      <c r="K388" s="10" t="s">
        <v>39</v>
      </c>
      <c r="L388" s="10" t="s">
        <v>40</v>
      </c>
    </row>
    <row r="389" customFormat="false" ht="15.75" hidden="false" customHeight="false" outlineLevel="0" collapsed="false">
      <c r="A389" s="10" t="n">
        <v>18</v>
      </c>
      <c r="B389" s="10" t="n">
        <v>575.39</v>
      </c>
      <c r="C389" s="10" t="s">
        <v>20</v>
      </c>
      <c r="D389" s="10" t="n">
        <v>0.5</v>
      </c>
      <c r="E389" s="10" t="n">
        <v>0.5</v>
      </c>
      <c r="F389" s="10" t="n">
        <v>0</v>
      </c>
      <c r="G389" s="10" t="n">
        <v>4</v>
      </c>
      <c r="H389" s="10" t="n">
        <v>21</v>
      </c>
      <c r="I389" s="10" t="s">
        <v>13</v>
      </c>
      <c r="J389" s="10" t="s">
        <v>38</v>
      </c>
      <c r="K389" s="10" t="s">
        <v>37</v>
      </c>
      <c r="L389" s="10" t="s">
        <v>42</v>
      </c>
    </row>
    <row r="390" customFormat="false" ht="15.75" hidden="false" customHeight="false" outlineLevel="0" collapsed="false">
      <c r="A390" s="10" t="n">
        <v>18</v>
      </c>
      <c r="B390" s="10" t="n">
        <v>3768.11</v>
      </c>
      <c r="C390" s="10" t="s">
        <v>19</v>
      </c>
      <c r="D390" s="10" t="n">
        <v>0</v>
      </c>
      <c r="E390" s="10" t="n">
        <v>0</v>
      </c>
      <c r="F390" s="10" t="n">
        <v>0</v>
      </c>
      <c r="G390" s="10" t="n">
        <v>4</v>
      </c>
      <c r="H390" s="10" t="n">
        <v>40</v>
      </c>
      <c r="I390" s="10" t="s">
        <v>13</v>
      </c>
      <c r="J390" s="10" t="s">
        <v>39</v>
      </c>
      <c r="K390" s="10" t="s">
        <v>37</v>
      </c>
      <c r="L390" s="10" t="s">
        <v>19</v>
      </c>
    </row>
    <row r="391" customFormat="false" ht="15.75" hidden="false" customHeight="false" outlineLevel="0" collapsed="false">
      <c r="A391" s="10" t="n">
        <v>15</v>
      </c>
      <c r="B391" s="10" t="n">
        <v>1188.59</v>
      </c>
      <c r="C391" s="10" t="s">
        <v>15</v>
      </c>
      <c r="D391" s="10" t="n">
        <v>2.5</v>
      </c>
      <c r="E391" s="10" t="n">
        <v>2.5</v>
      </c>
      <c r="F391" s="10" t="n">
        <v>0</v>
      </c>
      <c r="G391" s="10" t="n">
        <v>2</v>
      </c>
      <c r="H391" s="10" t="n">
        <v>27</v>
      </c>
      <c r="I391" s="10" t="s">
        <v>13</v>
      </c>
      <c r="J391" s="10" t="s">
        <v>38</v>
      </c>
      <c r="K391" s="10" t="s">
        <v>39</v>
      </c>
      <c r="L391" s="10" t="s">
        <v>40</v>
      </c>
    </row>
    <row r="392" customFormat="false" ht="15.75" hidden="false" customHeight="false" outlineLevel="0" collapsed="false">
      <c r="A392" s="10" t="n">
        <v>9</v>
      </c>
      <c r="B392" s="10" t="n">
        <v>740.44</v>
      </c>
      <c r="C392" s="10" t="s">
        <v>17</v>
      </c>
      <c r="D392" s="10" t="n">
        <v>5.5</v>
      </c>
      <c r="E392" s="10" t="n">
        <v>5.5</v>
      </c>
      <c r="F392" s="10" t="n">
        <v>0</v>
      </c>
      <c r="G392" s="10" t="n">
        <v>3</v>
      </c>
      <c r="H392" s="10" t="n">
        <v>27</v>
      </c>
      <c r="I392" s="10" t="s">
        <v>13</v>
      </c>
      <c r="J392" s="10" t="s">
        <v>38</v>
      </c>
      <c r="K392" s="10" t="s">
        <v>39</v>
      </c>
      <c r="L392" s="10" t="s">
        <v>41</v>
      </c>
    </row>
    <row r="393" customFormat="false" ht="15.75" hidden="false" customHeight="false" outlineLevel="0" collapsed="false">
      <c r="A393" s="10" t="n">
        <v>18</v>
      </c>
      <c r="B393" s="10" t="n">
        <v>930.02</v>
      </c>
      <c r="C393" s="10" t="s">
        <v>15</v>
      </c>
      <c r="D393" s="10" t="n">
        <v>2.5</v>
      </c>
      <c r="E393" s="10" t="n">
        <v>2.5</v>
      </c>
      <c r="F393" s="10" t="n">
        <v>0</v>
      </c>
      <c r="G393" s="10" t="n">
        <v>2</v>
      </c>
      <c r="H393" s="10" t="n">
        <v>30</v>
      </c>
      <c r="I393" s="10" t="s">
        <v>13</v>
      </c>
      <c r="J393" s="10" t="s">
        <v>39</v>
      </c>
      <c r="K393" s="10" t="s">
        <v>39</v>
      </c>
      <c r="L393" s="10" t="s">
        <v>40</v>
      </c>
    </row>
    <row r="394" customFormat="false" ht="15.75" hidden="false" customHeight="false" outlineLevel="0" collapsed="false">
      <c r="A394" s="10" t="n">
        <v>12</v>
      </c>
      <c r="B394" s="10" t="n">
        <v>502.31</v>
      </c>
      <c r="C394" s="10" t="s">
        <v>20</v>
      </c>
      <c r="D394" s="10" t="n">
        <v>0.5</v>
      </c>
      <c r="E394" s="10" t="n">
        <v>0.5</v>
      </c>
      <c r="F394" s="10" t="n">
        <v>0</v>
      </c>
      <c r="G394" s="10" t="n">
        <v>1</v>
      </c>
      <c r="H394" s="10" t="n">
        <v>19</v>
      </c>
      <c r="I394" s="10" t="s">
        <v>13</v>
      </c>
      <c r="J394" s="10" t="s">
        <v>38</v>
      </c>
      <c r="K394" s="10" t="s">
        <v>43</v>
      </c>
      <c r="L394" s="10" t="s">
        <v>42</v>
      </c>
    </row>
    <row r="395" customFormat="false" ht="15.75" hidden="false" customHeight="false" outlineLevel="0" collapsed="false">
      <c r="A395" s="10" t="n">
        <v>36</v>
      </c>
      <c r="B395" s="10" t="n">
        <v>1660.24</v>
      </c>
      <c r="C395" s="10" t="s">
        <v>17</v>
      </c>
      <c r="D395" s="10" t="n">
        <v>5.5</v>
      </c>
      <c r="E395" s="10" t="n">
        <v>5.5</v>
      </c>
      <c r="F395" s="10" t="n">
        <v>0</v>
      </c>
      <c r="G395" s="10" t="n">
        <v>2</v>
      </c>
      <c r="H395" s="10" t="n">
        <v>39</v>
      </c>
      <c r="I395" s="10" t="s">
        <v>13</v>
      </c>
      <c r="J395" s="10" t="s">
        <v>39</v>
      </c>
      <c r="K395" s="10" t="s">
        <v>39</v>
      </c>
      <c r="L395" s="10" t="s">
        <v>41</v>
      </c>
    </row>
    <row r="396" customFormat="false" ht="15.75" hidden="false" customHeight="false" outlineLevel="0" collapsed="false">
      <c r="A396" s="10" t="n">
        <v>6</v>
      </c>
      <c r="B396" s="10" t="n">
        <v>1000.03</v>
      </c>
      <c r="C396" s="10" t="s">
        <v>17</v>
      </c>
      <c r="D396" s="10" t="n">
        <v>5.5</v>
      </c>
      <c r="E396" s="10" t="n">
        <v>5.5</v>
      </c>
      <c r="F396" s="10" t="n">
        <v>0</v>
      </c>
      <c r="G396" s="10" t="n">
        <v>1</v>
      </c>
      <c r="H396" s="10" t="n">
        <v>31</v>
      </c>
      <c r="I396" s="10" t="s">
        <v>13</v>
      </c>
      <c r="J396" s="10" t="s">
        <v>39</v>
      </c>
      <c r="K396" s="10" t="s">
        <v>43</v>
      </c>
      <c r="L396" s="10" t="s">
        <v>41</v>
      </c>
    </row>
    <row r="397" customFormat="false" ht="15.75" hidden="false" customHeight="false" outlineLevel="0" collapsed="false">
      <c r="A397" s="10" t="n">
        <v>9</v>
      </c>
      <c r="B397" s="10" t="n">
        <v>1229.47</v>
      </c>
      <c r="C397" s="10" t="s">
        <v>19</v>
      </c>
      <c r="D397" s="10" t="n">
        <v>0</v>
      </c>
      <c r="E397" s="10" t="n">
        <v>0</v>
      </c>
      <c r="F397" s="10" t="n">
        <v>0</v>
      </c>
      <c r="G397" s="10" t="n">
        <v>2</v>
      </c>
      <c r="H397" s="10" t="n">
        <v>31</v>
      </c>
      <c r="I397" s="10" t="s">
        <v>13</v>
      </c>
      <c r="J397" s="10" t="s">
        <v>39</v>
      </c>
      <c r="K397" s="10" t="s">
        <v>39</v>
      </c>
      <c r="L397" s="10" t="s">
        <v>19</v>
      </c>
    </row>
    <row r="398" customFormat="false" ht="15.75" hidden="false" customHeight="false" outlineLevel="0" collapsed="false">
      <c r="A398" s="10" t="n">
        <v>39</v>
      </c>
      <c r="B398" s="10" t="n">
        <v>6009.36</v>
      </c>
      <c r="C398" s="10" t="s">
        <v>17</v>
      </c>
      <c r="D398" s="10" t="n">
        <v>5.5</v>
      </c>
      <c r="E398" s="10" t="n">
        <v>5.5</v>
      </c>
      <c r="F398" s="10" t="n">
        <v>0</v>
      </c>
      <c r="G398" s="10" t="n">
        <v>2</v>
      </c>
      <c r="H398" s="10" t="n">
        <v>32</v>
      </c>
      <c r="I398" s="10" t="s">
        <v>13</v>
      </c>
      <c r="J398" s="10" t="s">
        <v>39</v>
      </c>
      <c r="K398" s="10" t="s">
        <v>39</v>
      </c>
      <c r="L398" s="10" t="s">
        <v>41</v>
      </c>
    </row>
    <row r="399" customFormat="false" ht="15.75" hidden="false" customHeight="false" outlineLevel="0" collapsed="false">
      <c r="A399" s="10" t="n">
        <v>12</v>
      </c>
      <c r="B399" s="10" t="n">
        <v>1317.36</v>
      </c>
      <c r="C399" s="10" t="s">
        <v>19</v>
      </c>
      <c r="D399" s="10" t="n">
        <v>0</v>
      </c>
      <c r="E399" s="10" t="n">
        <v>0</v>
      </c>
      <c r="F399" s="10" t="n">
        <v>0</v>
      </c>
      <c r="G399" s="10" t="n">
        <v>3</v>
      </c>
      <c r="H399" s="10" t="n">
        <v>55</v>
      </c>
      <c r="I399" s="10" t="s">
        <v>13</v>
      </c>
      <c r="J399" s="10" t="s">
        <v>36</v>
      </c>
      <c r="K399" s="10" t="s">
        <v>39</v>
      </c>
      <c r="L399" s="10" t="s">
        <v>19</v>
      </c>
    </row>
    <row r="400" customFormat="false" ht="15.75" hidden="false" customHeight="false" outlineLevel="0" collapsed="false">
      <c r="A400" s="10" t="n">
        <v>36</v>
      </c>
      <c r="B400" s="10" t="n">
        <v>1199.83</v>
      </c>
      <c r="C400" s="10" t="s">
        <v>15</v>
      </c>
      <c r="D400" s="10" t="n">
        <v>2.5</v>
      </c>
      <c r="E400" s="10" t="n">
        <v>2.5</v>
      </c>
      <c r="F400" s="10" t="n">
        <v>0</v>
      </c>
      <c r="G400" s="10" t="n">
        <v>3</v>
      </c>
      <c r="H400" s="10" t="n">
        <v>46</v>
      </c>
      <c r="I400" s="10" t="s">
        <v>13</v>
      </c>
      <c r="J400" s="10" t="s">
        <v>39</v>
      </c>
      <c r="K400" s="10" t="s">
        <v>39</v>
      </c>
      <c r="L400" s="10" t="s">
        <v>40</v>
      </c>
    </row>
    <row r="401" customFormat="false" ht="15.75" hidden="false" customHeight="false" outlineLevel="0" collapsed="false">
      <c r="A401" s="10" t="n">
        <v>12</v>
      </c>
      <c r="B401" s="10" t="n">
        <v>624.95</v>
      </c>
      <c r="C401" s="10" t="s">
        <v>12</v>
      </c>
      <c r="D401" s="10" t="n">
        <v>8</v>
      </c>
      <c r="E401" s="10" t="n">
        <v>8</v>
      </c>
      <c r="F401" s="10" t="n">
        <v>0</v>
      </c>
      <c r="G401" s="10" t="n">
        <v>1</v>
      </c>
      <c r="H401" s="10" t="n">
        <v>46</v>
      </c>
      <c r="I401" s="10" t="s">
        <v>16</v>
      </c>
      <c r="J401" s="10" t="s">
        <v>39</v>
      </c>
      <c r="K401" s="10" t="s">
        <v>43</v>
      </c>
      <c r="L401" s="10" t="s">
        <v>37</v>
      </c>
    </row>
    <row r="402" customFormat="false" ht="15.75" hidden="false" customHeight="false" outlineLevel="0" collapsed="false">
      <c r="A402" s="10" t="n">
        <v>24</v>
      </c>
      <c r="B402" s="10" t="n">
        <v>774.68</v>
      </c>
      <c r="C402" s="10" t="s">
        <v>15</v>
      </c>
      <c r="D402" s="10" t="n">
        <v>2.5</v>
      </c>
      <c r="E402" s="10" t="n">
        <v>2.5</v>
      </c>
      <c r="F402" s="10" t="n">
        <v>0</v>
      </c>
      <c r="G402" s="10" t="n">
        <v>4</v>
      </c>
      <c r="H402" s="10" t="n">
        <v>43</v>
      </c>
      <c r="I402" s="10" t="s">
        <v>13</v>
      </c>
      <c r="J402" s="10" t="s">
        <v>39</v>
      </c>
      <c r="K402" s="10" t="s">
        <v>37</v>
      </c>
      <c r="L402" s="10" t="s">
        <v>40</v>
      </c>
    </row>
    <row r="403" customFormat="false" ht="15.75" hidden="false" customHeight="false" outlineLevel="0" collapsed="false">
      <c r="A403" s="10" t="n">
        <v>18</v>
      </c>
      <c r="B403" s="10" t="n">
        <v>752.7</v>
      </c>
      <c r="C403" s="10" t="s">
        <v>20</v>
      </c>
      <c r="D403" s="10" t="n">
        <v>0.5</v>
      </c>
      <c r="E403" s="10" t="n">
        <v>0.5</v>
      </c>
      <c r="F403" s="10" t="n">
        <v>0</v>
      </c>
      <c r="G403" s="10" t="n">
        <v>3</v>
      </c>
      <c r="H403" s="10" t="n">
        <v>39</v>
      </c>
      <c r="I403" s="10" t="s">
        <v>13</v>
      </c>
      <c r="J403" s="10" t="s">
        <v>39</v>
      </c>
      <c r="K403" s="10" t="s">
        <v>39</v>
      </c>
      <c r="L403" s="10" t="s">
        <v>42</v>
      </c>
    </row>
    <row r="404" customFormat="false" ht="15.75" hidden="false" customHeight="false" outlineLevel="0" collapsed="false">
      <c r="A404" s="10" t="n">
        <v>18</v>
      </c>
      <c r="B404" s="10" t="n">
        <v>964.26</v>
      </c>
      <c r="C404" s="10" t="s">
        <v>15</v>
      </c>
      <c r="D404" s="10" t="n">
        <v>2.5</v>
      </c>
      <c r="E404" s="10" t="n">
        <v>2.5</v>
      </c>
      <c r="F404" s="10" t="n">
        <v>0</v>
      </c>
      <c r="G404" s="10" t="n">
        <v>4</v>
      </c>
      <c r="H404" s="10" t="n">
        <v>28</v>
      </c>
      <c r="I404" s="10" t="s">
        <v>13</v>
      </c>
      <c r="J404" s="10" t="s">
        <v>38</v>
      </c>
      <c r="K404" s="10" t="s">
        <v>37</v>
      </c>
      <c r="L404" s="10" t="s">
        <v>40</v>
      </c>
    </row>
    <row r="405" customFormat="false" ht="15.75" hidden="false" customHeight="false" outlineLevel="0" collapsed="false">
      <c r="A405" s="10" t="n">
        <v>24</v>
      </c>
      <c r="B405" s="10" t="n">
        <v>4419.13</v>
      </c>
      <c r="C405" s="10" t="s">
        <v>20</v>
      </c>
      <c r="D405" s="10" t="n">
        <v>0.5</v>
      </c>
      <c r="E405" s="10" t="n">
        <v>0.5</v>
      </c>
      <c r="F405" s="10" t="n">
        <v>0</v>
      </c>
      <c r="G405" s="10" t="n">
        <v>2</v>
      </c>
      <c r="H405" s="10" t="n">
        <v>27</v>
      </c>
      <c r="I405" s="10" t="s">
        <v>16</v>
      </c>
      <c r="J405" s="10" t="s">
        <v>38</v>
      </c>
      <c r="K405" s="10" t="s">
        <v>39</v>
      </c>
      <c r="L405" s="10" t="s">
        <v>42</v>
      </c>
    </row>
    <row r="406" customFormat="false" ht="15.75" hidden="false" customHeight="false" outlineLevel="0" collapsed="false">
      <c r="A406" s="10" t="n">
        <v>14</v>
      </c>
      <c r="B406" s="10" t="n">
        <v>409.82</v>
      </c>
      <c r="C406" s="10" t="s">
        <v>15</v>
      </c>
      <c r="D406" s="10" t="n">
        <v>2.5</v>
      </c>
      <c r="E406" s="10" t="n">
        <v>2.5</v>
      </c>
      <c r="F406" s="10" t="n">
        <v>0</v>
      </c>
      <c r="G406" s="10" t="n">
        <v>4</v>
      </c>
      <c r="H406" s="10" t="n">
        <v>27</v>
      </c>
      <c r="I406" s="10" t="s">
        <v>13</v>
      </c>
      <c r="J406" s="10" t="s">
        <v>38</v>
      </c>
      <c r="K406" s="10" t="s">
        <v>37</v>
      </c>
      <c r="L406" s="10" t="s">
        <v>40</v>
      </c>
    </row>
    <row r="407" customFormat="false" ht="15.75" hidden="false" customHeight="false" outlineLevel="0" collapsed="false">
      <c r="A407" s="10" t="n">
        <v>18</v>
      </c>
      <c r="B407" s="10" t="n">
        <v>1481.39</v>
      </c>
      <c r="C407" s="10" t="s">
        <v>12</v>
      </c>
      <c r="D407" s="10" t="n">
        <v>8</v>
      </c>
      <c r="E407" s="10" t="n">
        <v>8</v>
      </c>
      <c r="F407" s="10" t="n">
        <v>0</v>
      </c>
      <c r="G407" s="10" t="n">
        <v>4</v>
      </c>
      <c r="H407" s="10" t="n">
        <v>43</v>
      </c>
      <c r="I407" s="10" t="s">
        <v>13</v>
      </c>
      <c r="J407" s="10" t="s">
        <v>39</v>
      </c>
      <c r="K407" s="10" t="s">
        <v>37</v>
      </c>
      <c r="L407" s="10" t="s">
        <v>37</v>
      </c>
    </row>
    <row r="408" customFormat="false" ht="15.75" hidden="false" customHeight="false" outlineLevel="0" collapsed="false">
      <c r="A408" s="10" t="n">
        <v>24</v>
      </c>
      <c r="B408" s="10" t="n">
        <v>1041.93</v>
      </c>
      <c r="C408" s="10" t="s">
        <v>20</v>
      </c>
      <c r="D408" s="10" t="n">
        <v>0.5</v>
      </c>
      <c r="E408" s="10" t="n">
        <v>0.5</v>
      </c>
      <c r="F408" s="10" t="n">
        <v>0</v>
      </c>
      <c r="G408" s="10" t="n">
        <v>1</v>
      </c>
      <c r="H408" s="10" t="n">
        <v>22</v>
      </c>
      <c r="I408" s="10" t="s">
        <v>16</v>
      </c>
      <c r="J408" s="10" t="s">
        <v>38</v>
      </c>
      <c r="K408" s="10" t="s">
        <v>43</v>
      </c>
      <c r="L408" s="10" t="s">
        <v>42</v>
      </c>
    </row>
    <row r="409" customFormat="false" ht="15.75" hidden="false" customHeight="false" outlineLevel="0" collapsed="false">
      <c r="A409" s="10" t="n">
        <v>24</v>
      </c>
      <c r="B409" s="10" t="n">
        <v>1122.67</v>
      </c>
      <c r="C409" s="10" t="s">
        <v>17</v>
      </c>
      <c r="D409" s="10" t="n">
        <v>5.5</v>
      </c>
      <c r="E409" s="10" t="n">
        <v>5.5</v>
      </c>
      <c r="F409" s="10" t="n">
        <v>0</v>
      </c>
      <c r="G409" s="10" t="n">
        <v>4</v>
      </c>
      <c r="H409" s="10" t="n">
        <v>43</v>
      </c>
      <c r="I409" s="10" t="s">
        <v>13</v>
      </c>
      <c r="J409" s="10" t="s">
        <v>39</v>
      </c>
      <c r="K409" s="10" t="s">
        <v>37</v>
      </c>
      <c r="L409" s="10" t="s">
        <v>41</v>
      </c>
    </row>
    <row r="410" customFormat="false" ht="15.75" hidden="false" customHeight="false" outlineLevel="0" collapsed="false">
      <c r="A410" s="10" t="n">
        <v>15</v>
      </c>
      <c r="B410" s="10" t="n">
        <v>538.08</v>
      </c>
      <c r="C410" s="10" t="s">
        <v>20</v>
      </c>
      <c r="D410" s="10" t="n">
        <v>0.5</v>
      </c>
      <c r="E410" s="10" t="n">
        <v>0.5</v>
      </c>
      <c r="F410" s="10" t="n">
        <v>0</v>
      </c>
      <c r="G410" s="10" t="n">
        <v>4</v>
      </c>
      <c r="H410" s="10" t="n">
        <v>27</v>
      </c>
      <c r="I410" s="10" t="s">
        <v>13</v>
      </c>
      <c r="J410" s="10" t="s">
        <v>38</v>
      </c>
      <c r="K410" s="10" t="s">
        <v>37</v>
      </c>
      <c r="L410" s="10" t="s">
        <v>42</v>
      </c>
    </row>
    <row r="411" customFormat="false" ht="15.75" hidden="false" customHeight="false" outlineLevel="0" collapsed="false">
      <c r="A411" s="10" t="n">
        <v>24</v>
      </c>
      <c r="B411" s="10" t="n">
        <v>1653.09</v>
      </c>
      <c r="C411" s="10" t="s">
        <v>12</v>
      </c>
      <c r="D411" s="10" t="n">
        <v>8</v>
      </c>
      <c r="E411" s="10" t="n">
        <v>8</v>
      </c>
      <c r="F411" s="10" t="n">
        <v>0</v>
      </c>
      <c r="G411" s="10" t="n">
        <v>3</v>
      </c>
      <c r="H411" s="10" t="n">
        <v>26</v>
      </c>
      <c r="I411" s="10" t="s">
        <v>13</v>
      </c>
      <c r="J411" s="10" t="s">
        <v>38</v>
      </c>
      <c r="K411" s="10" t="s">
        <v>39</v>
      </c>
      <c r="L411" s="10" t="s">
        <v>37</v>
      </c>
    </row>
    <row r="412" customFormat="false" ht="15.75" hidden="false" customHeight="false" outlineLevel="0" collapsed="false">
      <c r="A412" s="10" t="n">
        <v>12</v>
      </c>
      <c r="B412" s="10" t="n">
        <v>479.83</v>
      </c>
      <c r="C412" s="10" t="s">
        <v>17</v>
      </c>
      <c r="D412" s="10" t="n">
        <v>5.5</v>
      </c>
      <c r="E412" s="10" t="n">
        <v>5.5</v>
      </c>
      <c r="F412" s="10" t="n">
        <v>0</v>
      </c>
      <c r="G412" s="10" t="n">
        <v>4</v>
      </c>
      <c r="H412" s="10" t="n">
        <v>28</v>
      </c>
      <c r="I412" s="10" t="s">
        <v>16</v>
      </c>
      <c r="J412" s="10" t="s">
        <v>38</v>
      </c>
      <c r="K412" s="10" t="s">
        <v>37</v>
      </c>
      <c r="L412" s="10" t="s">
        <v>41</v>
      </c>
    </row>
    <row r="413" customFormat="false" ht="15.75" hidden="false" customHeight="false" outlineLevel="0" collapsed="false">
      <c r="A413" s="10" t="n">
        <v>24</v>
      </c>
      <c r="B413" s="10" t="n">
        <v>1005.14</v>
      </c>
      <c r="C413" s="10" t="s">
        <v>12</v>
      </c>
      <c r="D413" s="10" t="n">
        <v>8</v>
      </c>
      <c r="E413" s="10" t="n">
        <v>2</v>
      </c>
      <c r="F413" s="10" t="n">
        <v>1</v>
      </c>
      <c r="G413" s="10" t="n">
        <v>4</v>
      </c>
      <c r="H413" s="10" t="n">
        <v>20</v>
      </c>
      <c r="I413" s="10" t="s">
        <v>13</v>
      </c>
      <c r="J413" s="10" t="s">
        <v>38</v>
      </c>
      <c r="K413" s="10" t="s">
        <v>37</v>
      </c>
      <c r="L413" s="10" t="s">
        <v>42</v>
      </c>
    </row>
    <row r="414" customFormat="false" ht="15.75" hidden="false" customHeight="false" outlineLevel="0" collapsed="false">
      <c r="A414" s="10" t="n">
        <v>33</v>
      </c>
      <c r="B414" s="10" t="n">
        <v>3706.28</v>
      </c>
      <c r="C414" s="10" t="s">
        <v>17</v>
      </c>
      <c r="D414" s="10" t="n">
        <v>5.5</v>
      </c>
      <c r="E414" s="10" t="n">
        <v>5.5</v>
      </c>
      <c r="F414" s="10" t="n">
        <v>0</v>
      </c>
      <c r="G414" s="10" t="n">
        <v>3</v>
      </c>
      <c r="H414" s="10" t="n">
        <v>35</v>
      </c>
      <c r="I414" s="10" t="s">
        <v>13</v>
      </c>
      <c r="J414" s="10" t="s">
        <v>39</v>
      </c>
      <c r="K414" s="10" t="s">
        <v>39</v>
      </c>
      <c r="L414" s="10" t="s">
        <v>41</v>
      </c>
    </row>
    <row r="415" customFormat="false" ht="15.75" hidden="false" customHeight="false" outlineLevel="0" collapsed="false">
      <c r="A415" s="10" t="n">
        <v>12</v>
      </c>
      <c r="B415" s="10" t="n">
        <v>1171.21</v>
      </c>
      <c r="C415" s="10" t="s">
        <v>19</v>
      </c>
      <c r="D415" s="10" t="n">
        <v>0</v>
      </c>
      <c r="E415" s="10" t="n">
        <v>0</v>
      </c>
      <c r="F415" s="10" t="n">
        <v>0</v>
      </c>
      <c r="G415" s="10" t="n">
        <v>4</v>
      </c>
      <c r="H415" s="10" t="n">
        <v>42</v>
      </c>
      <c r="I415" s="10" t="s">
        <v>16</v>
      </c>
      <c r="J415" s="10" t="s">
        <v>39</v>
      </c>
      <c r="K415" s="10" t="s">
        <v>37</v>
      </c>
      <c r="L415" s="10" t="s">
        <v>19</v>
      </c>
    </row>
    <row r="416" customFormat="false" ht="15.75" hidden="false" customHeight="false" outlineLevel="0" collapsed="false">
      <c r="A416" s="10" t="n">
        <v>10</v>
      </c>
      <c r="B416" s="10" t="n">
        <v>816.07</v>
      </c>
      <c r="C416" s="10" t="s">
        <v>15</v>
      </c>
      <c r="D416" s="10" t="n">
        <v>2.5</v>
      </c>
      <c r="E416" s="10" t="n">
        <v>2.5</v>
      </c>
      <c r="F416" s="10" t="n">
        <v>0</v>
      </c>
      <c r="G416" s="10" t="n">
        <v>3</v>
      </c>
      <c r="H416" s="10" t="n">
        <v>40</v>
      </c>
      <c r="I416" s="10" t="s">
        <v>13</v>
      </c>
      <c r="J416" s="10" t="s">
        <v>39</v>
      </c>
      <c r="K416" s="10" t="s">
        <v>39</v>
      </c>
      <c r="L416" s="10" t="s">
        <v>40</v>
      </c>
    </row>
    <row r="417" customFormat="false" ht="15.75" hidden="false" customHeight="false" outlineLevel="0" collapsed="false">
      <c r="A417" s="10" t="n">
        <v>24</v>
      </c>
      <c r="B417" s="10" t="n">
        <v>705.69</v>
      </c>
      <c r="C417" s="10" t="s">
        <v>15</v>
      </c>
      <c r="D417" s="10" t="n">
        <v>2.5</v>
      </c>
      <c r="E417" s="10" t="n">
        <v>2.5</v>
      </c>
      <c r="F417" s="10" t="n">
        <v>0</v>
      </c>
      <c r="G417" s="10" t="n">
        <v>4</v>
      </c>
      <c r="H417" s="10" t="n">
        <v>35</v>
      </c>
      <c r="I417" s="10" t="s">
        <v>16</v>
      </c>
      <c r="J417" s="10" t="s">
        <v>39</v>
      </c>
      <c r="K417" s="10" t="s">
        <v>37</v>
      </c>
      <c r="L417" s="10" t="s">
        <v>40</v>
      </c>
    </row>
    <row r="418" customFormat="false" ht="15.75" hidden="false" customHeight="false" outlineLevel="0" collapsed="false">
      <c r="A418" s="10" t="n">
        <v>36</v>
      </c>
      <c r="B418" s="10" t="n">
        <v>2985.26</v>
      </c>
      <c r="C418" s="10" t="s">
        <v>12</v>
      </c>
      <c r="D418" s="10" t="n">
        <v>8</v>
      </c>
      <c r="E418" s="10" t="n">
        <v>8</v>
      </c>
      <c r="F418" s="10" t="n">
        <v>0</v>
      </c>
      <c r="G418" s="10" t="n">
        <v>2</v>
      </c>
      <c r="H418" s="10" t="n">
        <v>35</v>
      </c>
      <c r="I418" s="10" t="s">
        <v>13</v>
      </c>
      <c r="J418" s="10" t="s">
        <v>39</v>
      </c>
      <c r="K418" s="10" t="s">
        <v>39</v>
      </c>
      <c r="L418" s="10" t="s">
        <v>37</v>
      </c>
    </row>
    <row r="419" customFormat="false" ht="15.75" hidden="false" customHeight="false" outlineLevel="0" collapsed="false">
      <c r="A419" s="10" t="n">
        <v>12</v>
      </c>
      <c r="B419" s="10" t="n">
        <v>1317.87</v>
      </c>
      <c r="C419" s="10" t="s">
        <v>20</v>
      </c>
      <c r="D419" s="10" t="n">
        <v>0.5</v>
      </c>
      <c r="E419" s="10" t="n">
        <v>0.5</v>
      </c>
      <c r="F419" s="10" t="n">
        <v>0</v>
      </c>
      <c r="G419" s="10" t="n">
        <v>4</v>
      </c>
      <c r="H419" s="10" t="n">
        <v>33</v>
      </c>
      <c r="I419" s="10" t="s">
        <v>16</v>
      </c>
      <c r="J419" s="10" t="s">
        <v>39</v>
      </c>
      <c r="K419" s="10" t="s">
        <v>37</v>
      </c>
      <c r="L419" s="10" t="s">
        <v>42</v>
      </c>
    </row>
    <row r="420" customFormat="false" ht="15.75" hidden="false" customHeight="false" outlineLevel="0" collapsed="false">
      <c r="A420" s="10" t="n">
        <v>18</v>
      </c>
      <c r="B420" s="10" t="n">
        <v>4328.68</v>
      </c>
      <c r="C420" s="10" t="s">
        <v>15</v>
      </c>
      <c r="D420" s="10" t="n">
        <v>2.5</v>
      </c>
      <c r="E420" s="10" t="n">
        <v>2.5</v>
      </c>
      <c r="F420" s="10" t="n">
        <v>0</v>
      </c>
      <c r="G420" s="10" t="n">
        <v>1</v>
      </c>
      <c r="H420" s="10" t="n">
        <v>23</v>
      </c>
      <c r="I420" s="10" t="s">
        <v>13</v>
      </c>
      <c r="J420" s="10" t="s">
        <v>38</v>
      </c>
      <c r="K420" s="10" t="s">
        <v>43</v>
      </c>
      <c r="L420" s="10" t="s">
        <v>40</v>
      </c>
    </row>
    <row r="421" customFormat="false" ht="15.75" hidden="false" customHeight="false" outlineLevel="0" collapsed="false">
      <c r="A421" s="10" t="n">
        <v>21</v>
      </c>
      <c r="B421" s="10" t="n">
        <v>1421.6</v>
      </c>
      <c r="C421" s="10" t="s">
        <v>17</v>
      </c>
      <c r="D421" s="10" t="n">
        <v>5.5</v>
      </c>
      <c r="E421" s="10" t="n">
        <v>5.5</v>
      </c>
      <c r="F421" s="10" t="n">
        <v>0</v>
      </c>
      <c r="G421" s="10" t="n">
        <v>1</v>
      </c>
      <c r="H421" s="10" t="n">
        <v>31</v>
      </c>
      <c r="I421" s="10" t="s">
        <v>13</v>
      </c>
      <c r="J421" s="10" t="s">
        <v>39</v>
      </c>
      <c r="K421" s="10" t="s">
        <v>43</v>
      </c>
      <c r="L421" s="10" t="s">
        <v>41</v>
      </c>
    </row>
    <row r="422" customFormat="false" ht="15.75" hidden="false" customHeight="false" outlineLevel="0" collapsed="false">
      <c r="A422" s="10" t="n">
        <v>18</v>
      </c>
      <c r="B422" s="10" t="n">
        <v>532.46</v>
      </c>
      <c r="C422" s="10" t="s">
        <v>15</v>
      </c>
      <c r="D422" s="10" t="n">
        <v>2.5</v>
      </c>
      <c r="E422" s="10" t="n">
        <v>2.5</v>
      </c>
      <c r="F422" s="10" t="n">
        <v>0</v>
      </c>
      <c r="G422" s="10" t="n">
        <v>4</v>
      </c>
      <c r="H422" s="10" t="n">
        <v>33</v>
      </c>
      <c r="I422" s="10" t="s">
        <v>16</v>
      </c>
      <c r="J422" s="10" t="s">
        <v>39</v>
      </c>
      <c r="K422" s="10" t="s">
        <v>37</v>
      </c>
      <c r="L422" s="10" t="s">
        <v>40</v>
      </c>
    </row>
    <row r="423" customFormat="false" ht="15.75" hidden="false" customHeight="false" outlineLevel="0" collapsed="false">
      <c r="A423" s="10" t="n">
        <v>15</v>
      </c>
      <c r="B423" s="10" t="n">
        <v>1628.05</v>
      </c>
      <c r="C423" s="10" t="s">
        <v>17</v>
      </c>
      <c r="D423" s="10" t="n">
        <v>5.5</v>
      </c>
      <c r="E423" s="10" t="n">
        <v>2</v>
      </c>
      <c r="F423" s="10" t="n">
        <v>1</v>
      </c>
      <c r="G423" s="10" t="n">
        <v>2</v>
      </c>
      <c r="H423" s="10" t="n">
        <v>20</v>
      </c>
      <c r="I423" s="10" t="s">
        <v>13</v>
      </c>
      <c r="J423" s="10" t="s">
        <v>38</v>
      </c>
      <c r="K423" s="10" t="s">
        <v>39</v>
      </c>
      <c r="L423" s="10" t="s">
        <v>42</v>
      </c>
    </row>
    <row r="424" customFormat="false" ht="15.75" hidden="false" customHeight="false" outlineLevel="0" collapsed="false">
      <c r="A424" s="10" t="n">
        <v>12</v>
      </c>
      <c r="B424" s="10" t="n">
        <v>1036.31</v>
      </c>
      <c r="C424" s="10" t="s">
        <v>15</v>
      </c>
      <c r="D424" s="10" t="n">
        <v>2.5</v>
      </c>
      <c r="E424" s="10" t="n">
        <v>2.5</v>
      </c>
      <c r="F424" s="10" t="n">
        <v>0</v>
      </c>
      <c r="G424" s="10" t="n">
        <v>4</v>
      </c>
      <c r="H424" s="10" t="n">
        <v>30</v>
      </c>
      <c r="I424" s="10" t="s">
        <v>13</v>
      </c>
      <c r="J424" s="10" t="s">
        <v>39</v>
      </c>
      <c r="K424" s="10" t="s">
        <v>37</v>
      </c>
      <c r="L424" s="10" t="s">
        <v>40</v>
      </c>
    </row>
    <row r="425" customFormat="false" ht="15.75" hidden="false" customHeight="false" outlineLevel="0" collapsed="false">
      <c r="A425" s="10" t="n">
        <v>12</v>
      </c>
      <c r="B425" s="10" t="n">
        <v>489.54</v>
      </c>
      <c r="C425" s="10" t="s">
        <v>17</v>
      </c>
      <c r="D425" s="10" t="n">
        <v>5.5</v>
      </c>
      <c r="E425" s="10" t="n">
        <v>5.5</v>
      </c>
      <c r="F425" s="10" t="n">
        <v>0</v>
      </c>
      <c r="G425" s="10" t="n">
        <v>2</v>
      </c>
      <c r="H425" s="10" t="n">
        <v>47</v>
      </c>
      <c r="I425" s="10" t="s">
        <v>13</v>
      </c>
      <c r="J425" s="10" t="s">
        <v>39</v>
      </c>
      <c r="K425" s="10" t="s">
        <v>39</v>
      </c>
      <c r="L425" s="10" t="s">
        <v>41</v>
      </c>
    </row>
    <row r="426" customFormat="false" ht="15.75" hidden="false" customHeight="false" outlineLevel="0" collapsed="false">
      <c r="A426" s="10" t="n">
        <v>21</v>
      </c>
      <c r="B426" s="10" t="n">
        <v>813</v>
      </c>
      <c r="C426" s="10" t="s">
        <v>17</v>
      </c>
      <c r="D426" s="10" t="n">
        <v>5.5</v>
      </c>
      <c r="E426" s="10" t="n">
        <v>5.5</v>
      </c>
      <c r="F426" s="10" t="n">
        <v>0</v>
      </c>
      <c r="G426" s="10" t="n">
        <v>4</v>
      </c>
      <c r="H426" s="10" t="n">
        <v>34</v>
      </c>
      <c r="I426" s="10" t="s">
        <v>13</v>
      </c>
      <c r="J426" s="10" t="s">
        <v>39</v>
      </c>
      <c r="K426" s="10" t="s">
        <v>37</v>
      </c>
      <c r="L426" s="10" t="s">
        <v>41</v>
      </c>
    </row>
    <row r="427" customFormat="false" ht="15.75" hidden="false" customHeight="false" outlineLevel="0" collapsed="false">
      <c r="A427" s="10" t="n">
        <v>12</v>
      </c>
      <c r="B427" s="10" t="n">
        <v>1411.38</v>
      </c>
      <c r="C427" s="10" t="s">
        <v>12</v>
      </c>
      <c r="D427" s="10" t="n">
        <v>8</v>
      </c>
      <c r="E427" s="10" t="n">
        <v>7</v>
      </c>
      <c r="F427" s="10" t="n">
        <v>1</v>
      </c>
      <c r="G427" s="10" t="n">
        <v>1</v>
      </c>
      <c r="H427" s="10" t="n">
        <v>25</v>
      </c>
      <c r="I427" s="10" t="s">
        <v>16</v>
      </c>
      <c r="J427" s="10" t="s">
        <v>38</v>
      </c>
      <c r="K427" s="10" t="s">
        <v>43</v>
      </c>
      <c r="L427" s="10" t="s">
        <v>37</v>
      </c>
    </row>
    <row r="428" customFormat="false" ht="15.75" hidden="false" customHeight="false" outlineLevel="0" collapsed="false">
      <c r="A428" s="10" t="n">
        <v>18</v>
      </c>
      <c r="B428" s="10" t="n">
        <v>1420.07</v>
      </c>
      <c r="C428" s="10" t="s">
        <v>15</v>
      </c>
      <c r="D428" s="10" t="n">
        <v>2.5</v>
      </c>
      <c r="E428" s="10" t="n">
        <v>2.5</v>
      </c>
      <c r="F428" s="10" t="n">
        <v>0</v>
      </c>
      <c r="G428" s="10" t="n">
        <v>1</v>
      </c>
      <c r="H428" s="10" t="n">
        <v>21</v>
      </c>
      <c r="I428" s="10" t="s">
        <v>13</v>
      </c>
      <c r="J428" s="10" t="s">
        <v>38</v>
      </c>
      <c r="K428" s="10" t="s">
        <v>43</v>
      </c>
      <c r="L428" s="10" t="s">
        <v>40</v>
      </c>
    </row>
    <row r="429" customFormat="false" ht="15.75" hidden="false" customHeight="false" outlineLevel="0" collapsed="false">
      <c r="A429" s="10" t="n">
        <v>28</v>
      </c>
      <c r="B429" s="10" t="n">
        <v>1401.67</v>
      </c>
      <c r="C429" s="10" t="s">
        <v>12</v>
      </c>
      <c r="D429" s="10" t="n">
        <v>8</v>
      </c>
      <c r="E429" s="10" t="n">
        <v>8</v>
      </c>
      <c r="F429" s="10" t="n">
        <v>0</v>
      </c>
      <c r="G429" s="10" t="n">
        <v>4</v>
      </c>
      <c r="H429" s="10" t="n">
        <v>29</v>
      </c>
      <c r="I429" s="10" t="s">
        <v>13</v>
      </c>
      <c r="J429" s="10" t="s">
        <v>38</v>
      </c>
      <c r="K429" s="10" t="s">
        <v>37</v>
      </c>
      <c r="L429" s="10" t="s">
        <v>37</v>
      </c>
    </row>
    <row r="430" customFormat="false" ht="15.75" hidden="false" customHeight="false" outlineLevel="0" collapsed="false">
      <c r="A430" s="10" t="n">
        <v>18</v>
      </c>
      <c r="B430" s="10" t="n">
        <v>587.14</v>
      </c>
      <c r="C430" s="10" t="s">
        <v>15</v>
      </c>
      <c r="D430" s="10" t="n">
        <v>2.5</v>
      </c>
      <c r="E430" s="10" t="n">
        <v>2.5</v>
      </c>
      <c r="F430" s="10" t="n">
        <v>0</v>
      </c>
      <c r="G430" s="10" t="n">
        <v>4</v>
      </c>
      <c r="H430" s="10" t="n">
        <v>46</v>
      </c>
      <c r="I430" s="10" t="s">
        <v>13</v>
      </c>
      <c r="J430" s="10" t="s">
        <v>39</v>
      </c>
      <c r="K430" s="10" t="s">
        <v>37</v>
      </c>
      <c r="L430" s="10" t="s">
        <v>40</v>
      </c>
    </row>
    <row r="431" customFormat="false" ht="15.75" hidden="false" customHeight="false" outlineLevel="0" collapsed="false">
      <c r="A431" s="10" t="n">
        <v>9</v>
      </c>
      <c r="B431" s="10" t="n">
        <v>670.94</v>
      </c>
      <c r="C431" s="10" t="s">
        <v>12</v>
      </c>
      <c r="D431" s="10" t="n">
        <v>8</v>
      </c>
      <c r="E431" s="10" t="n">
        <v>2</v>
      </c>
      <c r="F431" s="10" t="n">
        <v>1</v>
      </c>
      <c r="G431" s="10" t="n">
        <v>1</v>
      </c>
      <c r="H431" s="10" t="n">
        <v>20</v>
      </c>
      <c r="I431" s="10" t="s">
        <v>13</v>
      </c>
      <c r="J431" s="10" t="s">
        <v>38</v>
      </c>
      <c r="K431" s="10" t="s">
        <v>43</v>
      </c>
      <c r="L431" s="10" t="s">
        <v>42</v>
      </c>
    </row>
    <row r="432" customFormat="false" ht="15.75" hidden="false" customHeight="false" outlineLevel="0" collapsed="false">
      <c r="A432" s="10" t="n">
        <v>18</v>
      </c>
      <c r="B432" s="10" t="n">
        <v>608.09</v>
      </c>
      <c r="C432" s="10" t="s">
        <v>19</v>
      </c>
      <c r="D432" s="10" t="n">
        <v>0</v>
      </c>
      <c r="E432" s="10" t="n">
        <v>0</v>
      </c>
      <c r="F432" s="10" t="n">
        <v>0</v>
      </c>
      <c r="G432" s="10" t="n">
        <v>2</v>
      </c>
      <c r="H432" s="10" t="n">
        <v>55</v>
      </c>
      <c r="I432" s="10" t="s">
        <v>16</v>
      </c>
      <c r="J432" s="10" t="s">
        <v>36</v>
      </c>
      <c r="K432" s="10" t="s">
        <v>39</v>
      </c>
      <c r="L432" s="10" t="s">
        <v>19</v>
      </c>
    </row>
    <row r="433" customFormat="false" ht="15.75" hidden="false" customHeight="false" outlineLevel="0" collapsed="false">
      <c r="A433" s="10" t="n">
        <v>5</v>
      </c>
      <c r="B433" s="10" t="n">
        <v>1761.93</v>
      </c>
      <c r="C433" s="10" t="s">
        <v>17</v>
      </c>
      <c r="D433" s="10" t="n">
        <v>5.5</v>
      </c>
      <c r="E433" s="10" t="n">
        <v>5.5</v>
      </c>
      <c r="F433" s="10" t="n">
        <v>0</v>
      </c>
      <c r="G433" s="10" t="n">
        <v>1</v>
      </c>
      <c r="H433" s="10" t="n">
        <v>74</v>
      </c>
      <c r="I433" s="10" t="s">
        <v>13</v>
      </c>
      <c r="J433" s="10" t="s">
        <v>36</v>
      </c>
      <c r="K433" s="10" t="s">
        <v>43</v>
      </c>
      <c r="L433" s="10" t="s">
        <v>41</v>
      </c>
    </row>
    <row r="434" customFormat="false" ht="15.75" hidden="false" customHeight="false" outlineLevel="0" collapsed="false">
      <c r="A434" s="10" t="n">
        <v>24</v>
      </c>
      <c r="B434" s="10" t="n">
        <v>5788.61</v>
      </c>
      <c r="C434" s="10" t="s">
        <v>15</v>
      </c>
      <c r="D434" s="10" t="n">
        <v>2.5</v>
      </c>
      <c r="E434" s="10" t="n">
        <v>2.5</v>
      </c>
      <c r="F434" s="10" t="n">
        <v>0</v>
      </c>
      <c r="G434" s="10" t="n">
        <v>2</v>
      </c>
      <c r="H434" s="10" t="n">
        <v>29</v>
      </c>
      <c r="I434" s="10" t="s">
        <v>16</v>
      </c>
      <c r="J434" s="10" t="s">
        <v>38</v>
      </c>
      <c r="K434" s="10" t="s">
        <v>39</v>
      </c>
      <c r="L434" s="10" t="s">
        <v>40</v>
      </c>
    </row>
    <row r="435" customFormat="false" ht="15.75" hidden="false" customHeight="false" outlineLevel="0" collapsed="false">
      <c r="A435" s="10" t="n">
        <v>6</v>
      </c>
      <c r="B435" s="10" t="n">
        <v>956.59</v>
      </c>
      <c r="C435" s="10" t="s">
        <v>19</v>
      </c>
      <c r="D435" s="10" t="n">
        <v>0</v>
      </c>
      <c r="E435" s="10" t="n">
        <v>0</v>
      </c>
      <c r="F435" s="10" t="n">
        <v>0</v>
      </c>
      <c r="G435" s="10" t="n">
        <v>4</v>
      </c>
      <c r="H435" s="10" t="n">
        <v>36</v>
      </c>
      <c r="I435" s="10" t="s">
        <v>13</v>
      </c>
      <c r="J435" s="10" t="s">
        <v>39</v>
      </c>
      <c r="K435" s="10" t="s">
        <v>37</v>
      </c>
      <c r="L435" s="10" t="s">
        <v>19</v>
      </c>
    </row>
    <row r="436" customFormat="false" ht="15.75" hidden="false" customHeight="false" outlineLevel="0" collapsed="false">
      <c r="A436" s="10" t="n">
        <v>24</v>
      </c>
      <c r="B436" s="10" t="n">
        <v>1051.64</v>
      </c>
      <c r="C436" s="10" t="s">
        <v>15</v>
      </c>
      <c r="D436" s="10" t="n">
        <v>2.5</v>
      </c>
      <c r="E436" s="10" t="n">
        <v>2.5</v>
      </c>
      <c r="F436" s="10" t="n">
        <v>0</v>
      </c>
      <c r="G436" s="10" t="n">
        <v>4</v>
      </c>
      <c r="H436" s="10" t="n">
        <v>33</v>
      </c>
      <c r="I436" s="10" t="s">
        <v>13</v>
      </c>
      <c r="J436" s="10" t="s">
        <v>39</v>
      </c>
      <c r="K436" s="10" t="s">
        <v>37</v>
      </c>
      <c r="L436" s="10" t="s">
        <v>40</v>
      </c>
    </row>
    <row r="437" customFormat="false" ht="15.75" hidden="false" customHeight="false" outlineLevel="0" collapsed="false">
      <c r="A437" s="10" t="n">
        <v>9</v>
      </c>
      <c r="B437" s="10" t="n">
        <v>1091.5</v>
      </c>
      <c r="C437" s="10" t="s">
        <v>15</v>
      </c>
      <c r="D437" s="10" t="n">
        <v>2.5</v>
      </c>
      <c r="E437" s="10" t="n">
        <v>2.5</v>
      </c>
      <c r="F437" s="10" t="n">
        <v>0</v>
      </c>
      <c r="G437" s="10" t="n">
        <v>3</v>
      </c>
      <c r="H437" s="10" t="n">
        <v>25</v>
      </c>
      <c r="I437" s="10" t="s">
        <v>13</v>
      </c>
      <c r="J437" s="10" t="s">
        <v>38</v>
      </c>
      <c r="K437" s="10" t="s">
        <v>39</v>
      </c>
      <c r="L437" s="10" t="s">
        <v>40</v>
      </c>
    </row>
    <row r="438" customFormat="false" ht="15.75" hidden="false" customHeight="false" outlineLevel="0" collapsed="false">
      <c r="A438" s="10" t="n">
        <v>12</v>
      </c>
      <c r="B438" s="10" t="n">
        <v>758.32</v>
      </c>
      <c r="C438" s="10" t="s">
        <v>15</v>
      </c>
      <c r="D438" s="10" t="n">
        <v>2.5</v>
      </c>
      <c r="E438" s="10" t="n">
        <v>2.5</v>
      </c>
      <c r="F438" s="10" t="n">
        <v>0</v>
      </c>
      <c r="G438" s="10" t="n">
        <v>2</v>
      </c>
      <c r="H438" s="10" t="n">
        <v>25</v>
      </c>
      <c r="I438" s="10" t="s">
        <v>16</v>
      </c>
      <c r="J438" s="10" t="s">
        <v>38</v>
      </c>
      <c r="K438" s="10" t="s">
        <v>39</v>
      </c>
      <c r="L438" s="10" t="s">
        <v>40</v>
      </c>
    </row>
    <row r="439" customFormat="false" ht="15.75" hidden="false" customHeight="false" outlineLevel="0" collapsed="false">
      <c r="A439" s="10" t="n">
        <v>6</v>
      </c>
      <c r="B439" s="10" t="n">
        <v>337.26</v>
      </c>
      <c r="C439" s="10" t="s">
        <v>17</v>
      </c>
      <c r="D439" s="10" t="n">
        <v>5.5</v>
      </c>
      <c r="E439" s="10" t="n">
        <v>5</v>
      </c>
      <c r="F439" s="10" t="n">
        <v>1</v>
      </c>
      <c r="G439" s="10" t="n">
        <v>2</v>
      </c>
      <c r="H439" s="10" t="n">
        <v>23</v>
      </c>
      <c r="I439" s="10" t="s">
        <v>13</v>
      </c>
      <c r="J439" s="10" t="s">
        <v>38</v>
      </c>
      <c r="K439" s="10" t="s">
        <v>39</v>
      </c>
      <c r="L439" s="10" t="s">
        <v>41</v>
      </c>
    </row>
    <row r="440" customFormat="false" ht="15.75" hidden="false" customHeight="false" outlineLevel="0" collapsed="false">
      <c r="A440" s="10" t="n">
        <v>24</v>
      </c>
      <c r="B440" s="10" t="n">
        <v>657.66</v>
      </c>
      <c r="C440" s="10" t="s">
        <v>12</v>
      </c>
      <c r="D440" s="10" t="n">
        <v>8</v>
      </c>
      <c r="E440" s="10" t="n">
        <v>8</v>
      </c>
      <c r="F440" s="10" t="n">
        <v>0</v>
      </c>
      <c r="G440" s="10" t="n">
        <v>4</v>
      </c>
      <c r="H440" s="10" t="n">
        <v>37</v>
      </c>
      <c r="I440" s="10" t="s">
        <v>13</v>
      </c>
      <c r="J440" s="10" t="s">
        <v>39</v>
      </c>
      <c r="K440" s="10" t="s">
        <v>37</v>
      </c>
      <c r="L440" s="10" t="s">
        <v>37</v>
      </c>
    </row>
    <row r="441" customFormat="false" ht="15.75" hidden="false" customHeight="false" outlineLevel="0" collapsed="false">
      <c r="A441" s="10" t="n">
        <v>42</v>
      </c>
      <c r="B441" s="10" t="n">
        <v>1734.33</v>
      </c>
      <c r="C441" s="10" t="s">
        <v>19</v>
      </c>
      <c r="D441" s="10" t="n">
        <v>0</v>
      </c>
      <c r="E441" s="10" t="n">
        <v>0</v>
      </c>
      <c r="F441" s="10" t="n">
        <v>0</v>
      </c>
      <c r="G441" s="10" t="n">
        <v>4</v>
      </c>
      <c r="H441" s="10" t="n">
        <v>65</v>
      </c>
      <c r="I441" s="10" t="s">
        <v>13</v>
      </c>
      <c r="J441" s="10" t="s">
        <v>36</v>
      </c>
      <c r="K441" s="10" t="s">
        <v>37</v>
      </c>
      <c r="L441" s="10" t="s">
        <v>19</v>
      </c>
    </row>
    <row r="442" customFormat="false" ht="15.75" hidden="false" customHeight="false" outlineLevel="0" collapsed="false">
      <c r="A442" s="10" t="n">
        <v>12</v>
      </c>
      <c r="B442" s="10" t="n">
        <v>311.2</v>
      </c>
      <c r="C442" s="10" t="s">
        <v>20</v>
      </c>
      <c r="D442" s="10" t="n">
        <v>0.5</v>
      </c>
      <c r="E442" s="10" t="n">
        <v>0.5</v>
      </c>
      <c r="F442" s="10" t="n">
        <v>0</v>
      </c>
      <c r="G442" s="10" t="n">
        <v>4</v>
      </c>
      <c r="H442" s="10" t="n">
        <v>26</v>
      </c>
      <c r="I442" s="10" t="s">
        <v>16</v>
      </c>
      <c r="J442" s="10" t="s">
        <v>38</v>
      </c>
      <c r="K442" s="10" t="s">
        <v>37</v>
      </c>
      <c r="L442" s="10" t="s">
        <v>42</v>
      </c>
    </row>
    <row r="443" customFormat="false" ht="15.75" hidden="false" customHeight="false" outlineLevel="0" collapsed="false">
      <c r="A443" s="10" t="n">
        <v>12</v>
      </c>
      <c r="B443" s="10" t="n">
        <v>962.72</v>
      </c>
      <c r="C443" s="10" t="s">
        <v>12</v>
      </c>
      <c r="D443" s="10" t="n">
        <v>8</v>
      </c>
      <c r="E443" s="10" t="n">
        <v>8</v>
      </c>
      <c r="F443" s="10" t="n">
        <v>0</v>
      </c>
      <c r="G443" s="10" t="n">
        <v>4</v>
      </c>
      <c r="H443" s="10" t="n">
        <v>39</v>
      </c>
      <c r="I443" s="10" t="s">
        <v>13</v>
      </c>
      <c r="J443" s="10" t="s">
        <v>39</v>
      </c>
      <c r="K443" s="10" t="s">
        <v>37</v>
      </c>
      <c r="L443" s="10" t="s">
        <v>37</v>
      </c>
    </row>
    <row r="444" customFormat="false" ht="15.75" hidden="false" customHeight="false" outlineLevel="0" collapsed="false">
      <c r="A444" s="10" t="n">
        <v>12</v>
      </c>
      <c r="B444" s="10" t="n">
        <v>827.82</v>
      </c>
      <c r="C444" s="10" t="s">
        <v>15</v>
      </c>
      <c r="D444" s="10" t="n">
        <v>2.5</v>
      </c>
      <c r="E444" s="10" t="n">
        <v>2.5</v>
      </c>
      <c r="F444" s="10" t="n">
        <v>0</v>
      </c>
      <c r="G444" s="10" t="n">
        <v>2</v>
      </c>
      <c r="H444" s="10" t="n">
        <v>30</v>
      </c>
      <c r="I444" s="10" t="s">
        <v>13</v>
      </c>
      <c r="J444" s="10" t="s">
        <v>39</v>
      </c>
      <c r="K444" s="10" t="s">
        <v>39</v>
      </c>
      <c r="L444" s="10" t="s">
        <v>40</v>
      </c>
    </row>
    <row r="445" customFormat="false" ht="15.75" hidden="false" customHeight="false" outlineLevel="0" collapsed="false">
      <c r="A445" s="10" t="n">
        <v>20</v>
      </c>
      <c r="B445" s="10" t="n">
        <v>1343.42</v>
      </c>
      <c r="C445" s="10" t="s">
        <v>15</v>
      </c>
      <c r="D445" s="10" t="n">
        <v>2.5</v>
      </c>
      <c r="E445" s="10" t="n">
        <v>2.5</v>
      </c>
      <c r="F445" s="10" t="n">
        <v>0</v>
      </c>
      <c r="G445" s="10" t="n">
        <v>2</v>
      </c>
      <c r="H445" s="10" t="n">
        <v>29</v>
      </c>
      <c r="I445" s="10" t="s">
        <v>13</v>
      </c>
      <c r="J445" s="10" t="s">
        <v>38</v>
      </c>
      <c r="K445" s="10" t="s">
        <v>39</v>
      </c>
      <c r="L445" s="10" t="s">
        <v>40</v>
      </c>
    </row>
    <row r="446" customFormat="false" ht="15.75" hidden="false" customHeight="false" outlineLevel="0" collapsed="false">
      <c r="A446" s="10" t="n">
        <v>12</v>
      </c>
      <c r="B446" s="10" t="n">
        <v>367.41</v>
      </c>
      <c r="C446" s="10" t="s">
        <v>12</v>
      </c>
      <c r="D446" s="10" t="n">
        <v>8</v>
      </c>
      <c r="E446" s="10" t="n">
        <v>8</v>
      </c>
      <c r="F446" s="10" t="n">
        <v>0</v>
      </c>
      <c r="G446" s="10" t="n">
        <v>4</v>
      </c>
      <c r="H446" s="10" t="n">
        <v>41</v>
      </c>
      <c r="I446" s="10" t="s">
        <v>16</v>
      </c>
      <c r="J446" s="10" t="s">
        <v>39</v>
      </c>
      <c r="K446" s="10" t="s">
        <v>37</v>
      </c>
      <c r="L446" s="10" t="s">
        <v>37</v>
      </c>
    </row>
    <row r="447" customFormat="false" ht="15.75" hidden="false" customHeight="false" outlineLevel="0" collapsed="false">
      <c r="A447" s="10" t="n">
        <v>48</v>
      </c>
      <c r="B447" s="10" t="n">
        <v>2604.06</v>
      </c>
      <c r="C447" s="10" t="s">
        <v>15</v>
      </c>
      <c r="D447" s="10" t="n">
        <v>2.5</v>
      </c>
      <c r="E447" s="10" t="n">
        <v>2.5</v>
      </c>
      <c r="F447" s="10" t="n">
        <v>0</v>
      </c>
      <c r="G447" s="10" t="n">
        <v>2</v>
      </c>
      <c r="H447" s="10" t="n">
        <v>30</v>
      </c>
      <c r="I447" s="10" t="s">
        <v>16</v>
      </c>
      <c r="J447" s="10" t="s">
        <v>39</v>
      </c>
      <c r="K447" s="10" t="s">
        <v>39</v>
      </c>
      <c r="L447" s="10" t="s">
        <v>40</v>
      </c>
    </row>
    <row r="448" customFormat="false" ht="15.75" hidden="false" customHeight="false" outlineLevel="0" collapsed="false">
      <c r="A448" s="10" t="n">
        <v>9</v>
      </c>
      <c r="B448" s="10" t="n">
        <v>635.68</v>
      </c>
      <c r="C448" s="10" t="s">
        <v>12</v>
      </c>
      <c r="D448" s="10" t="n">
        <v>8</v>
      </c>
      <c r="E448" s="10" t="n">
        <v>8</v>
      </c>
      <c r="F448" s="10" t="n">
        <v>0</v>
      </c>
      <c r="G448" s="10" t="n">
        <v>4</v>
      </c>
      <c r="H448" s="10" t="n">
        <v>41</v>
      </c>
      <c r="I448" s="10" t="s">
        <v>13</v>
      </c>
      <c r="J448" s="10" t="s">
        <v>39</v>
      </c>
      <c r="K448" s="10" t="s">
        <v>37</v>
      </c>
      <c r="L448" s="10" t="s">
        <v>37</v>
      </c>
    </row>
    <row r="449" customFormat="false" ht="15.75" hidden="false" customHeight="false" outlineLevel="0" collapsed="false">
      <c r="A449" s="10" t="n">
        <v>36</v>
      </c>
      <c r="B449" s="10" t="n">
        <v>941.26</v>
      </c>
      <c r="C449" s="10" t="s">
        <v>20</v>
      </c>
      <c r="D449" s="10" t="n">
        <v>0.5</v>
      </c>
      <c r="E449" s="10" t="n">
        <v>0.5</v>
      </c>
      <c r="F449" s="10" t="n">
        <v>0</v>
      </c>
      <c r="G449" s="10" t="n">
        <v>4</v>
      </c>
      <c r="H449" s="10" t="n">
        <v>34</v>
      </c>
      <c r="I449" s="10" t="s">
        <v>16</v>
      </c>
      <c r="J449" s="10" t="s">
        <v>39</v>
      </c>
      <c r="K449" s="10" t="s">
        <v>37</v>
      </c>
      <c r="L449" s="10" t="s">
        <v>42</v>
      </c>
    </row>
    <row r="450" customFormat="false" ht="15.75" hidden="false" customHeight="false" outlineLevel="0" collapsed="false">
      <c r="A450" s="10" t="n">
        <v>7</v>
      </c>
      <c r="B450" s="10" t="n">
        <v>1316.34</v>
      </c>
      <c r="C450" s="10" t="s">
        <v>15</v>
      </c>
      <c r="D450" s="10" t="n">
        <v>2.5</v>
      </c>
      <c r="E450" s="10" t="n">
        <v>2.5</v>
      </c>
      <c r="F450" s="10" t="n">
        <v>0</v>
      </c>
      <c r="G450" s="10" t="n">
        <v>2</v>
      </c>
      <c r="H450" s="10" t="n">
        <v>35</v>
      </c>
      <c r="I450" s="10" t="s">
        <v>13</v>
      </c>
      <c r="J450" s="10" t="s">
        <v>39</v>
      </c>
      <c r="K450" s="10" t="s">
        <v>39</v>
      </c>
      <c r="L450" s="10" t="s">
        <v>40</v>
      </c>
    </row>
    <row r="451" customFormat="false" ht="15.75" hidden="false" customHeight="false" outlineLevel="0" collapsed="false">
      <c r="A451" s="10" t="n">
        <v>12</v>
      </c>
      <c r="B451" s="10" t="n">
        <v>727.66</v>
      </c>
      <c r="C451" s="10" t="s">
        <v>12</v>
      </c>
      <c r="D451" s="10" t="n">
        <v>8</v>
      </c>
      <c r="E451" s="10" t="n">
        <v>8</v>
      </c>
      <c r="F451" s="10" t="n">
        <v>0</v>
      </c>
      <c r="G451" s="10" t="n">
        <v>3</v>
      </c>
      <c r="H451" s="10" t="n">
        <v>55</v>
      </c>
      <c r="I451" s="10" t="s">
        <v>13</v>
      </c>
      <c r="J451" s="10" t="s">
        <v>36</v>
      </c>
      <c r="K451" s="10" t="s">
        <v>39</v>
      </c>
      <c r="L451" s="10" t="s">
        <v>37</v>
      </c>
    </row>
    <row r="452" customFormat="false" ht="15.75" hidden="false" customHeight="false" outlineLevel="0" collapsed="false">
      <c r="A452" s="10" t="n">
        <v>15</v>
      </c>
      <c r="B452" s="10" t="n">
        <v>772.63</v>
      </c>
      <c r="C452" s="10" t="s">
        <v>15</v>
      </c>
      <c r="D452" s="10" t="n">
        <v>2.5</v>
      </c>
      <c r="E452" s="10" t="n">
        <v>2.5</v>
      </c>
      <c r="F452" s="10" t="n">
        <v>0</v>
      </c>
      <c r="G452" s="10" t="n">
        <v>3</v>
      </c>
      <c r="H452" s="10" t="n">
        <v>61</v>
      </c>
      <c r="I452" s="10" t="s">
        <v>16</v>
      </c>
      <c r="J452" s="10" t="s">
        <v>36</v>
      </c>
      <c r="K452" s="10" t="s">
        <v>39</v>
      </c>
      <c r="L452" s="10" t="s">
        <v>40</v>
      </c>
    </row>
    <row r="453" customFormat="false" ht="15.75" hidden="false" customHeight="false" outlineLevel="0" collapsed="false">
      <c r="A453" s="10" t="n">
        <v>36</v>
      </c>
      <c r="B453" s="10" t="n">
        <v>5648.59</v>
      </c>
      <c r="C453" s="10" t="s">
        <v>15</v>
      </c>
      <c r="D453" s="10" t="n">
        <v>2.5</v>
      </c>
      <c r="E453" s="10" t="n">
        <v>2.5</v>
      </c>
      <c r="F453" s="10" t="n">
        <v>0</v>
      </c>
      <c r="G453" s="10" t="n">
        <v>4</v>
      </c>
      <c r="H453" s="10" t="n">
        <v>30</v>
      </c>
      <c r="I453" s="10" t="s">
        <v>13</v>
      </c>
      <c r="J453" s="10" t="s">
        <v>39</v>
      </c>
      <c r="K453" s="10" t="s">
        <v>37</v>
      </c>
      <c r="L453" s="10" t="s">
        <v>40</v>
      </c>
    </row>
    <row r="454" customFormat="false" ht="15.75" hidden="false" customHeight="false" outlineLevel="0" collapsed="false">
      <c r="A454" s="10" t="n">
        <v>6</v>
      </c>
      <c r="B454" s="10" t="n">
        <v>264.7</v>
      </c>
      <c r="C454" s="10" t="s">
        <v>15</v>
      </c>
      <c r="D454" s="10" t="n">
        <v>2.5</v>
      </c>
      <c r="E454" s="10" t="n">
        <v>2.5</v>
      </c>
      <c r="F454" s="10" t="n">
        <v>0</v>
      </c>
      <c r="G454" s="10" t="n">
        <v>3</v>
      </c>
      <c r="H454" s="10" t="n">
        <v>29</v>
      </c>
      <c r="I454" s="10" t="s">
        <v>13</v>
      </c>
      <c r="J454" s="10" t="s">
        <v>38</v>
      </c>
      <c r="K454" s="10" t="s">
        <v>39</v>
      </c>
      <c r="L454" s="10" t="s">
        <v>40</v>
      </c>
    </row>
    <row r="455" customFormat="false" ht="15.75" hidden="false" customHeight="false" outlineLevel="0" collapsed="false">
      <c r="A455" s="10" t="n">
        <v>12</v>
      </c>
      <c r="B455" s="10" t="n">
        <v>1409.85</v>
      </c>
      <c r="C455" s="10" t="s">
        <v>12</v>
      </c>
      <c r="D455" s="10" t="n">
        <v>8</v>
      </c>
      <c r="E455" s="10" t="n">
        <v>8</v>
      </c>
      <c r="F455" s="10" t="n">
        <v>0</v>
      </c>
      <c r="G455" s="10" t="n">
        <v>2</v>
      </c>
      <c r="H455" s="10" t="n">
        <v>34</v>
      </c>
      <c r="I455" s="10" t="s">
        <v>13</v>
      </c>
      <c r="J455" s="10" t="s">
        <v>39</v>
      </c>
      <c r="K455" s="10" t="s">
        <v>39</v>
      </c>
      <c r="L455" s="10" t="s">
        <v>37</v>
      </c>
    </row>
    <row r="456" customFormat="false" ht="15.75" hidden="false" customHeight="false" outlineLevel="0" collapsed="false">
      <c r="A456" s="10" t="n">
        <v>24</v>
      </c>
      <c r="B456" s="10" t="n">
        <v>1364.37</v>
      </c>
      <c r="C456" s="10" t="s">
        <v>12</v>
      </c>
      <c r="D456" s="10" t="n">
        <v>8</v>
      </c>
      <c r="E456" s="10" t="n">
        <v>8</v>
      </c>
      <c r="F456" s="10" t="n">
        <v>0</v>
      </c>
      <c r="G456" s="10" t="n">
        <v>4</v>
      </c>
      <c r="H456" s="10" t="n">
        <v>35</v>
      </c>
      <c r="I456" s="10" t="s">
        <v>13</v>
      </c>
      <c r="J456" s="10" t="s">
        <v>39</v>
      </c>
      <c r="K456" s="10" t="s">
        <v>37</v>
      </c>
      <c r="L456" s="10" t="s">
        <v>37</v>
      </c>
    </row>
    <row r="457" customFormat="false" ht="15.75" hidden="false" customHeight="false" outlineLevel="0" collapsed="false">
      <c r="A457" s="10" t="n">
        <v>24</v>
      </c>
      <c r="B457" s="10" t="n">
        <v>2461.49</v>
      </c>
      <c r="C457" s="10" t="s">
        <v>17</v>
      </c>
      <c r="D457" s="10" t="n">
        <v>5.5</v>
      </c>
      <c r="E457" s="10" t="n">
        <v>5.5</v>
      </c>
      <c r="F457" s="10" t="n">
        <v>0</v>
      </c>
      <c r="G457" s="10" t="n">
        <v>2</v>
      </c>
      <c r="H457" s="10" t="n">
        <v>31</v>
      </c>
      <c r="I457" s="10" t="s">
        <v>16</v>
      </c>
      <c r="J457" s="10" t="s">
        <v>39</v>
      </c>
      <c r="K457" s="10" t="s">
        <v>39</v>
      </c>
      <c r="L457" s="10" t="s">
        <v>41</v>
      </c>
    </row>
    <row r="458" customFormat="false" ht="15.75" hidden="false" customHeight="false" outlineLevel="0" collapsed="false">
      <c r="A458" s="10" t="n">
        <v>24</v>
      </c>
      <c r="B458" s="10" t="n">
        <v>1368.97</v>
      </c>
      <c r="C458" s="10" t="s">
        <v>20</v>
      </c>
      <c r="D458" s="10" t="n">
        <v>0.5</v>
      </c>
      <c r="E458" s="10" t="n">
        <v>0.5</v>
      </c>
      <c r="F458" s="10" t="n">
        <v>0</v>
      </c>
      <c r="G458" s="10" t="n">
        <v>4</v>
      </c>
      <c r="H458" s="10" t="n">
        <v>29</v>
      </c>
      <c r="I458" s="10" t="s">
        <v>13</v>
      </c>
      <c r="J458" s="10" t="s">
        <v>38</v>
      </c>
      <c r="K458" s="10" t="s">
        <v>37</v>
      </c>
      <c r="L458" s="10" t="s">
        <v>42</v>
      </c>
    </row>
    <row r="459" customFormat="false" ht="15.75" hidden="false" customHeight="false" outlineLevel="0" collapsed="false">
      <c r="A459" s="10" t="n">
        <v>11</v>
      </c>
      <c r="B459" s="10" t="n">
        <v>1995.46</v>
      </c>
      <c r="C459" s="10" t="s">
        <v>15</v>
      </c>
      <c r="D459" s="10" t="n">
        <v>2.5</v>
      </c>
      <c r="E459" s="10" t="n">
        <v>2.5</v>
      </c>
      <c r="F459" s="10" t="n">
        <v>0</v>
      </c>
      <c r="G459" s="10" t="n">
        <v>2</v>
      </c>
      <c r="H459" s="10" t="n">
        <v>36</v>
      </c>
      <c r="I459" s="10" t="s">
        <v>13</v>
      </c>
      <c r="J459" s="10" t="s">
        <v>39</v>
      </c>
      <c r="K459" s="10" t="s">
        <v>39</v>
      </c>
      <c r="L459" s="10" t="s">
        <v>40</v>
      </c>
    </row>
    <row r="460" customFormat="false" ht="15.75" hidden="false" customHeight="false" outlineLevel="0" collapsed="false">
      <c r="A460" s="10" t="n">
        <v>12</v>
      </c>
      <c r="B460" s="10" t="n">
        <v>1730.25</v>
      </c>
      <c r="C460" s="10" t="s">
        <v>12</v>
      </c>
      <c r="D460" s="10" t="n">
        <v>8</v>
      </c>
      <c r="E460" s="10" t="n">
        <v>8</v>
      </c>
      <c r="F460" s="10" t="n">
        <v>0</v>
      </c>
      <c r="G460" s="10" t="n">
        <v>3</v>
      </c>
      <c r="H460" s="10" t="n">
        <v>35</v>
      </c>
      <c r="I460" s="10" t="s">
        <v>16</v>
      </c>
      <c r="J460" s="10" t="s">
        <v>39</v>
      </c>
      <c r="K460" s="10" t="s">
        <v>39</v>
      </c>
      <c r="L460" s="10" t="s">
        <v>37</v>
      </c>
    </row>
    <row r="461" customFormat="false" ht="15.75" hidden="false" customHeight="false" outlineLevel="0" collapsed="false">
      <c r="A461" s="10" t="n">
        <v>6</v>
      </c>
      <c r="B461" s="10" t="n">
        <v>175.27</v>
      </c>
      <c r="C461" s="10" t="s">
        <v>20</v>
      </c>
      <c r="D461" s="10" t="n">
        <v>0.5</v>
      </c>
      <c r="E461" s="10" t="n">
        <v>0.5</v>
      </c>
      <c r="F461" s="10" t="n">
        <v>0</v>
      </c>
      <c r="G461" s="10" t="n">
        <v>4</v>
      </c>
      <c r="H461" s="10" t="n">
        <v>27</v>
      </c>
      <c r="I461" s="10" t="s">
        <v>13</v>
      </c>
      <c r="J461" s="10" t="s">
        <v>38</v>
      </c>
      <c r="K461" s="10" t="s">
        <v>37</v>
      </c>
      <c r="L461" s="10" t="s">
        <v>42</v>
      </c>
    </row>
    <row r="462" customFormat="false" ht="15.75" hidden="false" customHeight="false" outlineLevel="0" collapsed="false">
      <c r="A462" s="10" t="n">
        <v>18</v>
      </c>
      <c r="B462" s="10" t="n">
        <v>2347.53</v>
      </c>
      <c r="C462" s="10" t="s">
        <v>20</v>
      </c>
      <c r="D462" s="10" t="n">
        <v>0.5</v>
      </c>
      <c r="E462" s="10" t="n">
        <v>0.5</v>
      </c>
      <c r="F462" s="10" t="n">
        <v>0</v>
      </c>
      <c r="G462" s="10" t="n">
        <v>3</v>
      </c>
      <c r="H462" s="10" t="n">
        <v>32</v>
      </c>
      <c r="I462" s="10" t="s">
        <v>13</v>
      </c>
      <c r="J462" s="10" t="s">
        <v>39</v>
      </c>
      <c r="K462" s="10" t="s">
        <v>39</v>
      </c>
      <c r="L462" s="10" t="s">
        <v>42</v>
      </c>
    </row>
    <row r="463" customFormat="false" ht="15.75" hidden="false" customHeight="false" outlineLevel="0" collapsed="false">
      <c r="A463" s="10" t="n">
        <v>36</v>
      </c>
      <c r="B463" s="10" t="n">
        <v>1849.82</v>
      </c>
      <c r="C463" s="10" t="s">
        <v>15</v>
      </c>
      <c r="D463" s="10" t="n">
        <v>2.5</v>
      </c>
      <c r="E463" s="10" t="n">
        <v>2.5</v>
      </c>
      <c r="F463" s="10" t="n">
        <v>0</v>
      </c>
      <c r="G463" s="10" t="n">
        <v>1</v>
      </c>
      <c r="H463" s="10" t="n">
        <v>37</v>
      </c>
      <c r="I463" s="10" t="s">
        <v>13</v>
      </c>
      <c r="J463" s="10" t="s">
        <v>39</v>
      </c>
      <c r="K463" s="10" t="s">
        <v>43</v>
      </c>
      <c r="L463" s="10" t="s">
        <v>40</v>
      </c>
    </row>
    <row r="464" customFormat="false" ht="15.75" hidden="false" customHeight="false" outlineLevel="0" collapsed="false">
      <c r="A464" s="10" t="n">
        <v>15</v>
      </c>
      <c r="B464" s="10" t="n">
        <v>879.43</v>
      </c>
      <c r="C464" s="10" t="s">
        <v>20</v>
      </c>
      <c r="D464" s="10" t="n">
        <v>0.5</v>
      </c>
      <c r="E464" s="10" t="n">
        <v>0.5</v>
      </c>
      <c r="F464" s="10" t="n">
        <v>0</v>
      </c>
      <c r="G464" s="10" t="n">
        <v>2</v>
      </c>
      <c r="H464" s="10" t="n">
        <v>36</v>
      </c>
      <c r="I464" s="10" t="s">
        <v>13</v>
      </c>
      <c r="J464" s="10" t="s">
        <v>39</v>
      </c>
      <c r="K464" s="10" t="s">
        <v>39</v>
      </c>
      <c r="L464" s="10" t="s">
        <v>42</v>
      </c>
    </row>
    <row r="465" customFormat="false" ht="15.75" hidden="false" customHeight="false" outlineLevel="0" collapsed="false">
      <c r="A465" s="10" t="n">
        <v>12</v>
      </c>
      <c r="B465" s="10" t="n">
        <v>1541.69</v>
      </c>
      <c r="C465" s="10" t="s">
        <v>20</v>
      </c>
      <c r="D465" s="10" t="n">
        <v>0.5</v>
      </c>
      <c r="E465" s="10" t="n">
        <v>0.5</v>
      </c>
      <c r="F465" s="10" t="n">
        <v>0</v>
      </c>
      <c r="G465" s="10" t="n">
        <v>3</v>
      </c>
      <c r="H465" s="10" t="n">
        <v>34</v>
      </c>
      <c r="I465" s="10" t="s">
        <v>13</v>
      </c>
      <c r="J465" s="10" t="s">
        <v>39</v>
      </c>
      <c r="K465" s="10" t="s">
        <v>39</v>
      </c>
      <c r="L465" s="10" t="s">
        <v>42</v>
      </c>
    </row>
    <row r="466" customFormat="false" ht="15.75" hidden="false" customHeight="false" outlineLevel="0" collapsed="false">
      <c r="A466" s="10" t="n">
        <v>12</v>
      </c>
      <c r="B466" s="10" t="n">
        <v>385.29</v>
      </c>
      <c r="C466" s="10" t="s">
        <v>12</v>
      </c>
      <c r="D466" s="10" t="n">
        <v>8</v>
      </c>
      <c r="E466" s="10" t="n">
        <v>8</v>
      </c>
      <c r="F466" s="10" t="n">
        <v>0</v>
      </c>
      <c r="G466" s="10" t="n">
        <v>4</v>
      </c>
      <c r="H466" s="10" t="n">
        <v>38</v>
      </c>
      <c r="I466" s="10" t="s">
        <v>13</v>
      </c>
      <c r="J466" s="10" t="s">
        <v>39</v>
      </c>
      <c r="K466" s="10" t="s">
        <v>37</v>
      </c>
      <c r="L466" s="10" t="s">
        <v>37</v>
      </c>
    </row>
    <row r="467" customFormat="false" ht="15.75" hidden="false" customHeight="false" outlineLevel="0" collapsed="false">
      <c r="A467" s="10" t="n">
        <v>18</v>
      </c>
      <c r="B467" s="10" t="n">
        <v>996.45</v>
      </c>
      <c r="C467" s="10" t="s">
        <v>17</v>
      </c>
      <c r="D467" s="10" t="n">
        <v>5.5</v>
      </c>
      <c r="E467" s="10" t="n">
        <v>5.5</v>
      </c>
      <c r="F467" s="10" t="n">
        <v>0</v>
      </c>
      <c r="G467" s="10" t="n">
        <v>4</v>
      </c>
      <c r="H467" s="10" t="n">
        <v>34</v>
      </c>
      <c r="I467" s="10" t="s">
        <v>13</v>
      </c>
      <c r="J467" s="10" t="s">
        <v>39</v>
      </c>
      <c r="K467" s="10" t="s">
        <v>37</v>
      </c>
      <c r="L467" s="10" t="s">
        <v>41</v>
      </c>
    </row>
    <row r="468" customFormat="false" ht="15.75" hidden="false" customHeight="false" outlineLevel="0" collapsed="false">
      <c r="A468" s="10" t="n">
        <v>24</v>
      </c>
      <c r="B468" s="10" t="n">
        <v>1494.16</v>
      </c>
      <c r="C468" s="10" t="s">
        <v>15</v>
      </c>
      <c r="D468" s="10" t="n">
        <v>2.5</v>
      </c>
      <c r="E468" s="10" t="n">
        <v>2.5</v>
      </c>
      <c r="F468" s="10" t="n">
        <v>0</v>
      </c>
      <c r="G468" s="10" t="n">
        <v>3</v>
      </c>
      <c r="H468" s="10" t="n">
        <v>63</v>
      </c>
      <c r="I468" s="10" t="s">
        <v>13</v>
      </c>
      <c r="J468" s="10" t="s">
        <v>36</v>
      </c>
      <c r="K468" s="10" t="s">
        <v>39</v>
      </c>
      <c r="L468" s="10" t="s">
        <v>40</v>
      </c>
    </row>
    <row r="469" customFormat="false" ht="15.75" hidden="false" customHeight="false" outlineLevel="0" collapsed="false">
      <c r="A469" s="10" t="n">
        <v>24</v>
      </c>
      <c r="B469" s="10" t="n">
        <v>847.75</v>
      </c>
      <c r="C469" s="10" t="s">
        <v>20</v>
      </c>
      <c r="D469" s="10" t="n">
        <v>0.5</v>
      </c>
      <c r="E469" s="10" t="n">
        <v>0.5</v>
      </c>
      <c r="F469" s="10" t="n">
        <v>0</v>
      </c>
      <c r="G469" s="10" t="n">
        <v>4</v>
      </c>
      <c r="H469" s="10" t="n">
        <v>29</v>
      </c>
      <c r="I469" s="10" t="s">
        <v>16</v>
      </c>
      <c r="J469" s="10" t="s">
        <v>38</v>
      </c>
      <c r="K469" s="10" t="s">
        <v>37</v>
      </c>
      <c r="L469" s="10" t="s">
        <v>42</v>
      </c>
    </row>
    <row r="470" customFormat="false" ht="15.75" hidden="false" customHeight="false" outlineLevel="0" collapsed="false">
      <c r="A470" s="10" t="n">
        <v>48</v>
      </c>
      <c r="B470" s="10" t="n">
        <v>3698.62</v>
      </c>
      <c r="C470" s="10" t="s">
        <v>12</v>
      </c>
      <c r="D470" s="10" t="n">
        <v>8</v>
      </c>
      <c r="E470" s="10" t="n">
        <v>8</v>
      </c>
      <c r="F470" s="10" t="n">
        <v>0</v>
      </c>
      <c r="G470" s="10" t="n">
        <v>3</v>
      </c>
      <c r="H470" s="10" t="n">
        <v>32</v>
      </c>
      <c r="I470" s="10" t="s">
        <v>13</v>
      </c>
      <c r="J470" s="10" t="s">
        <v>39</v>
      </c>
      <c r="K470" s="10" t="s">
        <v>39</v>
      </c>
      <c r="L470" s="10" t="s">
        <v>37</v>
      </c>
    </row>
    <row r="471" customFormat="false" ht="15.75" hidden="false" customHeight="false" outlineLevel="0" collapsed="false">
      <c r="A471" s="10" t="n">
        <v>33</v>
      </c>
      <c r="B471" s="10" t="n">
        <v>1412.4</v>
      </c>
      <c r="C471" s="10" t="s">
        <v>15</v>
      </c>
      <c r="D471" s="10" t="n">
        <v>2.5</v>
      </c>
      <c r="E471" s="10" t="n">
        <v>2.5</v>
      </c>
      <c r="F471" s="10" t="n">
        <v>0</v>
      </c>
      <c r="G471" s="10" t="n">
        <v>2</v>
      </c>
      <c r="H471" s="10" t="n">
        <v>26</v>
      </c>
      <c r="I471" s="10" t="s">
        <v>13</v>
      </c>
      <c r="J471" s="10" t="s">
        <v>38</v>
      </c>
      <c r="K471" s="10" t="s">
        <v>39</v>
      </c>
      <c r="L471" s="10" t="s">
        <v>40</v>
      </c>
    </row>
    <row r="472" customFormat="false" ht="15.75" hidden="false" customHeight="false" outlineLevel="0" collapsed="false">
      <c r="A472" s="10" t="n">
        <v>24</v>
      </c>
      <c r="B472" s="10" t="n">
        <v>2390.97</v>
      </c>
      <c r="C472" s="10" t="s">
        <v>17</v>
      </c>
      <c r="D472" s="10" t="n">
        <v>5.5</v>
      </c>
      <c r="E472" s="10" t="n">
        <v>5.5</v>
      </c>
      <c r="F472" s="10" t="n">
        <v>0</v>
      </c>
      <c r="G472" s="10" t="n">
        <v>3</v>
      </c>
      <c r="H472" s="10" t="n">
        <v>35</v>
      </c>
      <c r="I472" s="10" t="s">
        <v>13</v>
      </c>
      <c r="J472" s="10" t="s">
        <v>39</v>
      </c>
      <c r="K472" s="10" t="s">
        <v>39</v>
      </c>
      <c r="L472" s="10" t="s">
        <v>41</v>
      </c>
    </row>
    <row r="473" customFormat="false" ht="15.75" hidden="false" customHeight="false" outlineLevel="0" collapsed="false">
      <c r="A473" s="10" t="n">
        <v>24</v>
      </c>
      <c r="B473" s="10" t="n">
        <v>1580.01</v>
      </c>
      <c r="C473" s="10" t="s">
        <v>20</v>
      </c>
      <c r="D473" s="10" t="n">
        <v>0.5</v>
      </c>
      <c r="E473" s="10" t="n">
        <v>0.5</v>
      </c>
      <c r="F473" s="10" t="n">
        <v>0</v>
      </c>
      <c r="G473" s="10" t="n">
        <v>3</v>
      </c>
      <c r="H473" s="10" t="n">
        <v>22</v>
      </c>
      <c r="I473" s="10" t="s">
        <v>16</v>
      </c>
      <c r="J473" s="10" t="s">
        <v>38</v>
      </c>
      <c r="K473" s="10" t="s">
        <v>39</v>
      </c>
      <c r="L473" s="10" t="s">
        <v>42</v>
      </c>
    </row>
    <row r="474" customFormat="false" ht="15.75" hidden="false" customHeight="false" outlineLevel="0" collapsed="false">
      <c r="A474" s="10" t="n">
        <v>6</v>
      </c>
      <c r="B474" s="10" t="n">
        <v>228.93</v>
      </c>
      <c r="C474" s="10" t="s">
        <v>20</v>
      </c>
      <c r="D474" s="10" t="n">
        <v>0.5</v>
      </c>
      <c r="E474" s="10" t="n">
        <v>0.5</v>
      </c>
      <c r="F474" s="10" t="n">
        <v>0</v>
      </c>
      <c r="G474" s="10" t="n">
        <v>4</v>
      </c>
      <c r="H474" s="10" t="n">
        <v>23</v>
      </c>
      <c r="I474" s="10" t="s">
        <v>16</v>
      </c>
      <c r="J474" s="10" t="s">
        <v>38</v>
      </c>
      <c r="K474" s="10" t="s">
        <v>37</v>
      </c>
      <c r="L474" s="10" t="s">
        <v>42</v>
      </c>
    </row>
    <row r="475" customFormat="false" ht="15.75" hidden="false" customHeight="false" outlineLevel="0" collapsed="false">
      <c r="A475" s="10" t="n">
        <v>9</v>
      </c>
      <c r="B475" s="10" t="n">
        <v>334.19</v>
      </c>
      <c r="C475" s="10" t="s">
        <v>15</v>
      </c>
      <c r="D475" s="10" t="n">
        <v>2.5</v>
      </c>
      <c r="E475" s="10" t="n">
        <v>2.5</v>
      </c>
      <c r="F475" s="10" t="n">
        <v>0</v>
      </c>
      <c r="G475" s="10" t="n">
        <v>4</v>
      </c>
      <c r="H475" s="10" t="n">
        <v>28</v>
      </c>
      <c r="I475" s="10" t="s">
        <v>16</v>
      </c>
      <c r="J475" s="10" t="s">
        <v>38</v>
      </c>
      <c r="K475" s="10" t="s">
        <v>37</v>
      </c>
      <c r="L475" s="10" t="s">
        <v>40</v>
      </c>
    </row>
    <row r="476" customFormat="false" ht="15.75" hidden="false" customHeight="false" outlineLevel="0" collapsed="false">
      <c r="A476" s="10" t="n">
        <v>6</v>
      </c>
      <c r="B476" s="10" t="n">
        <v>632.62</v>
      </c>
      <c r="C476" s="10" t="s">
        <v>19</v>
      </c>
      <c r="D476" s="10" t="n">
        <v>0</v>
      </c>
      <c r="E476" s="10" t="n">
        <v>0</v>
      </c>
      <c r="F476" s="10" t="n">
        <v>0</v>
      </c>
      <c r="G476" s="10" t="n">
        <v>4</v>
      </c>
      <c r="H476" s="10" t="n">
        <v>36</v>
      </c>
      <c r="I476" s="10" t="s">
        <v>13</v>
      </c>
      <c r="J476" s="10" t="s">
        <v>39</v>
      </c>
      <c r="K476" s="10" t="s">
        <v>37</v>
      </c>
      <c r="L476" s="10" t="s">
        <v>19</v>
      </c>
    </row>
    <row r="477" customFormat="false" ht="15.75" hidden="false" customHeight="false" outlineLevel="0" collapsed="false">
      <c r="A477" s="10" t="n">
        <v>18</v>
      </c>
      <c r="B477" s="10" t="n">
        <v>636.2</v>
      </c>
      <c r="C477" s="10" t="s">
        <v>15</v>
      </c>
      <c r="D477" s="10" t="n">
        <v>2.5</v>
      </c>
      <c r="E477" s="10" t="n">
        <v>2.5</v>
      </c>
      <c r="F477" s="10" t="n">
        <v>0</v>
      </c>
      <c r="G477" s="10" t="n">
        <v>4</v>
      </c>
      <c r="H477" s="10" t="n">
        <v>33</v>
      </c>
      <c r="I477" s="10" t="s">
        <v>16</v>
      </c>
      <c r="J477" s="10" t="s">
        <v>39</v>
      </c>
      <c r="K477" s="10" t="s">
        <v>37</v>
      </c>
      <c r="L477" s="10" t="s">
        <v>40</v>
      </c>
    </row>
    <row r="478" customFormat="false" ht="15.75" hidden="false" customHeight="false" outlineLevel="0" collapsed="false">
      <c r="A478" s="10" t="n">
        <v>18</v>
      </c>
      <c r="B478" s="10" t="n">
        <v>1591.25</v>
      </c>
      <c r="C478" s="10" t="s">
        <v>20</v>
      </c>
      <c r="D478" s="10" t="n">
        <v>0.5</v>
      </c>
      <c r="E478" s="10" t="n">
        <v>0.5</v>
      </c>
      <c r="F478" s="10" t="n">
        <v>0</v>
      </c>
      <c r="G478" s="10" t="n">
        <v>1</v>
      </c>
      <c r="H478" s="10" t="n">
        <v>26</v>
      </c>
      <c r="I478" s="10" t="s">
        <v>16</v>
      </c>
      <c r="J478" s="10" t="s">
        <v>38</v>
      </c>
      <c r="K478" s="10" t="s">
        <v>43</v>
      </c>
      <c r="L478" s="10" t="s">
        <v>42</v>
      </c>
    </row>
    <row r="479" customFormat="false" ht="15.75" hidden="false" customHeight="false" outlineLevel="0" collapsed="false">
      <c r="A479" s="10" t="n">
        <v>39</v>
      </c>
      <c r="B479" s="10" t="n">
        <v>1312.76</v>
      </c>
      <c r="C479" s="10" t="s">
        <v>15</v>
      </c>
      <c r="D479" s="10" t="n">
        <v>2.5</v>
      </c>
      <c r="E479" s="10" t="n">
        <v>2.5</v>
      </c>
      <c r="F479" s="10" t="n">
        <v>0</v>
      </c>
      <c r="G479" s="10" t="n">
        <v>4</v>
      </c>
      <c r="H479" s="10" t="n">
        <v>24</v>
      </c>
      <c r="I479" s="10" t="s">
        <v>13</v>
      </c>
      <c r="J479" s="10" t="s">
        <v>38</v>
      </c>
      <c r="K479" s="10" t="s">
        <v>37</v>
      </c>
      <c r="L479" s="10" t="s">
        <v>40</v>
      </c>
    </row>
    <row r="480" customFormat="false" ht="15.75" hidden="false" customHeight="false" outlineLevel="0" collapsed="false">
      <c r="A480" s="10" t="n">
        <v>24</v>
      </c>
      <c r="B480" s="10" t="n">
        <v>2632.67</v>
      </c>
      <c r="C480" s="10" t="s">
        <v>17</v>
      </c>
      <c r="D480" s="10" t="n">
        <v>5.5</v>
      </c>
      <c r="E480" s="10" t="n">
        <v>5.5</v>
      </c>
      <c r="F480" s="10" t="n">
        <v>0</v>
      </c>
      <c r="G480" s="10" t="n">
        <v>4</v>
      </c>
      <c r="H480" s="10" t="n">
        <v>25</v>
      </c>
      <c r="I480" s="10" t="s">
        <v>13</v>
      </c>
      <c r="J480" s="10" t="s">
        <v>38</v>
      </c>
      <c r="K480" s="10" t="s">
        <v>37</v>
      </c>
      <c r="L480" s="10" t="s">
        <v>41</v>
      </c>
    </row>
    <row r="481" customFormat="false" ht="15.75" hidden="false" customHeight="false" outlineLevel="0" collapsed="false">
      <c r="A481" s="10" t="n">
        <v>12</v>
      </c>
      <c r="B481" s="10" t="n">
        <v>529.91</v>
      </c>
      <c r="C481" s="10" t="s">
        <v>17</v>
      </c>
      <c r="D481" s="10" t="n">
        <v>5.5</v>
      </c>
      <c r="E481" s="10" t="n">
        <v>5.5</v>
      </c>
      <c r="F481" s="10" t="n">
        <v>0</v>
      </c>
      <c r="G481" s="10" t="n">
        <v>3</v>
      </c>
      <c r="H481" s="10" t="n">
        <v>39</v>
      </c>
      <c r="I481" s="10" t="s">
        <v>13</v>
      </c>
      <c r="J481" s="10" t="s">
        <v>39</v>
      </c>
      <c r="K481" s="10" t="s">
        <v>39</v>
      </c>
      <c r="L481" s="10" t="s">
        <v>41</v>
      </c>
    </row>
    <row r="482" customFormat="false" ht="15.75" hidden="false" customHeight="false" outlineLevel="0" collapsed="false">
      <c r="A482" s="10" t="n">
        <v>15</v>
      </c>
      <c r="B482" s="10" t="n">
        <v>755.26</v>
      </c>
      <c r="C482" s="10" t="s">
        <v>12</v>
      </c>
      <c r="D482" s="10" t="n">
        <v>8</v>
      </c>
      <c r="E482" s="10" t="n">
        <v>8</v>
      </c>
      <c r="F482" s="10" t="n">
        <v>0</v>
      </c>
      <c r="G482" s="10" t="n">
        <v>4</v>
      </c>
      <c r="H482" s="10" t="n">
        <v>44</v>
      </c>
      <c r="I482" s="10" t="s">
        <v>13</v>
      </c>
      <c r="J482" s="10" t="s">
        <v>39</v>
      </c>
      <c r="K482" s="10" t="s">
        <v>37</v>
      </c>
      <c r="L482" s="10" t="s">
        <v>37</v>
      </c>
    </row>
    <row r="483" customFormat="false" ht="15.75" hidden="false" customHeight="false" outlineLevel="0" collapsed="false">
      <c r="A483" s="10" t="n">
        <v>12</v>
      </c>
      <c r="B483" s="10" t="n">
        <v>1825.8</v>
      </c>
      <c r="C483" s="10" t="s">
        <v>15</v>
      </c>
      <c r="D483" s="10" t="n">
        <v>2.5</v>
      </c>
      <c r="E483" s="10" t="n">
        <v>2.5</v>
      </c>
      <c r="F483" s="10" t="n">
        <v>0</v>
      </c>
      <c r="G483" s="10" t="n">
        <v>1</v>
      </c>
      <c r="H483" s="10" t="n">
        <v>23</v>
      </c>
      <c r="I483" s="10" t="s">
        <v>13</v>
      </c>
      <c r="J483" s="10" t="s">
        <v>38</v>
      </c>
      <c r="K483" s="10" t="s">
        <v>43</v>
      </c>
      <c r="L483" s="10" t="s">
        <v>40</v>
      </c>
    </row>
    <row r="484" customFormat="false" ht="15.75" hidden="false" customHeight="false" outlineLevel="0" collapsed="false">
      <c r="A484" s="10" t="n">
        <v>24</v>
      </c>
      <c r="B484" s="10" t="n">
        <v>613.71</v>
      </c>
      <c r="C484" s="10" t="s">
        <v>20</v>
      </c>
      <c r="D484" s="10" t="n">
        <v>0.5</v>
      </c>
      <c r="E484" s="10" t="n">
        <v>0.5</v>
      </c>
      <c r="F484" s="10" t="n">
        <v>0</v>
      </c>
      <c r="G484" s="10" t="n">
        <v>4</v>
      </c>
      <c r="H484" s="10" t="n">
        <v>26</v>
      </c>
      <c r="I484" s="10" t="s">
        <v>13</v>
      </c>
      <c r="J484" s="10" t="s">
        <v>38</v>
      </c>
      <c r="K484" s="10" t="s">
        <v>37</v>
      </c>
      <c r="L484" s="10" t="s">
        <v>42</v>
      </c>
    </row>
    <row r="485" customFormat="false" ht="15.75" hidden="false" customHeight="false" outlineLevel="0" collapsed="false">
      <c r="A485" s="10" t="n">
        <v>30</v>
      </c>
      <c r="B485" s="10" t="n">
        <v>1850.84</v>
      </c>
      <c r="C485" s="10" t="s">
        <v>12</v>
      </c>
      <c r="D485" s="10" t="n">
        <v>8</v>
      </c>
      <c r="E485" s="10" t="n">
        <v>8</v>
      </c>
      <c r="F485" s="10" t="n">
        <v>0</v>
      </c>
      <c r="G485" s="10" t="n">
        <v>4</v>
      </c>
      <c r="H485" s="10" t="n">
        <v>57</v>
      </c>
      <c r="I485" s="10" t="s">
        <v>13</v>
      </c>
      <c r="J485" s="10" t="s">
        <v>36</v>
      </c>
      <c r="K485" s="10" t="s">
        <v>37</v>
      </c>
      <c r="L485" s="10" t="s">
        <v>37</v>
      </c>
    </row>
    <row r="486" customFormat="false" ht="15.75" hidden="false" customHeight="false" outlineLevel="0" collapsed="false">
      <c r="A486" s="10" t="n">
        <v>15</v>
      </c>
      <c r="B486" s="10" t="n">
        <v>490.56</v>
      </c>
      <c r="C486" s="10" t="s">
        <v>17</v>
      </c>
      <c r="D486" s="10" t="n">
        <v>5.5</v>
      </c>
      <c r="E486" s="10" t="n">
        <v>5.5</v>
      </c>
      <c r="F486" s="10" t="n">
        <v>0</v>
      </c>
      <c r="G486" s="10" t="n">
        <v>3</v>
      </c>
      <c r="H486" s="10" t="n">
        <v>30</v>
      </c>
      <c r="I486" s="10" t="s">
        <v>13</v>
      </c>
      <c r="J486" s="10" t="s">
        <v>39</v>
      </c>
      <c r="K486" s="10" t="s">
        <v>39</v>
      </c>
      <c r="L486" s="10" t="s">
        <v>41</v>
      </c>
    </row>
    <row r="487" customFormat="false" ht="15.75" hidden="false" customHeight="false" outlineLevel="0" collapsed="false">
      <c r="A487" s="10" t="n">
        <v>12</v>
      </c>
      <c r="B487" s="10" t="n">
        <v>594.29</v>
      </c>
      <c r="C487" s="10" t="s">
        <v>15</v>
      </c>
      <c r="D487" s="10" t="n">
        <v>2.5</v>
      </c>
      <c r="E487" s="10" t="n">
        <v>2.5</v>
      </c>
      <c r="F487" s="10" t="n">
        <v>0</v>
      </c>
      <c r="G487" s="10" t="n">
        <v>4</v>
      </c>
      <c r="H487" s="10" t="n">
        <v>44</v>
      </c>
      <c r="I487" s="10" t="s">
        <v>13</v>
      </c>
      <c r="J487" s="10" t="s">
        <v>39</v>
      </c>
      <c r="K487" s="10" t="s">
        <v>37</v>
      </c>
      <c r="L487" s="10" t="s">
        <v>40</v>
      </c>
    </row>
    <row r="488" customFormat="false" ht="15.75" hidden="false" customHeight="false" outlineLevel="0" collapsed="false">
      <c r="A488" s="10" t="n">
        <v>6</v>
      </c>
      <c r="B488" s="10" t="n">
        <v>617.8</v>
      </c>
      <c r="C488" s="10" t="s">
        <v>19</v>
      </c>
      <c r="D488" s="10" t="n">
        <v>0</v>
      </c>
      <c r="E488" s="10" t="n">
        <v>0</v>
      </c>
      <c r="F488" s="10" t="n">
        <v>0</v>
      </c>
      <c r="G488" s="10" t="n">
        <v>4</v>
      </c>
      <c r="H488" s="10" t="n">
        <v>47</v>
      </c>
      <c r="I488" s="10" t="s">
        <v>16</v>
      </c>
      <c r="J488" s="10" t="s">
        <v>39</v>
      </c>
      <c r="K488" s="10" t="s">
        <v>37</v>
      </c>
      <c r="L488" s="10" t="s">
        <v>19</v>
      </c>
    </row>
    <row r="489" customFormat="false" ht="15.75" hidden="false" customHeight="false" outlineLevel="0" collapsed="false">
      <c r="A489" s="10" t="n">
        <v>12</v>
      </c>
      <c r="B489" s="10" t="n">
        <v>1572.35</v>
      </c>
      <c r="C489" s="10" t="s">
        <v>15</v>
      </c>
      <c r="D489" s="10" t="n">
        <v>2.5</v>
      </c>
      <c r="E489" s="10" t="n">
        <v>2.5</v>
      </c>
      <c r="F489" s="10" t="n">
        <v>0</v>
      </c>
      <c r="G489" s="10" t="n">
        <v>2</v>
      </c>
      <c r="H489" s="10" t="n">
        <v>52</v>
      </c>
      <c r="I489" s="10" t="s">
        <v>13</v>
      </c>
      <c r="J489" s="10" t="s">
        <v>36</v>
      </c>
      <c r="K489" s="10" t="s">
        <v>39</v>
      </c>
      <c r="L489" s="10" t="s">
        <v>40</v>
      </c>
    </row>
    <row r="490" customFormat="false" ht="15.75" hidden="false" customHeight="false" outlineLevel="0" collapsed="false">
      <c r="A490" s="10" t="n">
        <v>24</v>
      </c>
      <c r="B490" s="10" t="n">
        <v>1919.83</v>
      </c>
      <c r="C490" s="10" t="s">
        <v>12</v>
      </c>
      <c r="D490" s="10" t="n">
        <v>8</v>
      </c>
      <c r="E490" s="10" t="n">
        <v>8</v>
      </c>
      <c r="F490" s="10" t="n">
        <v>0</v>
      </c>
      <c r="G490" s="10" t="n">
        <v>4</v>
      </c>
      <c r="H490" s="10" t="n">
        <v>62</v>
      </c>
      <c r="I490" s="10" t="s">
        <v>13</v>
      </c>
      <c r="J490" s="10" t="s">
        <v>36</v>
      </c>
      <c r="K490" s="10" t="s">
        <v>37</v>
      </c>
      <c r="L490" s="10" t="s">
        <v>37</v>
      </c>
    </row>
    <row r="491" customFormat="false" ht="15.75" hidden="false" customHeight="false" outlineLevel="0" collapsed="false">
      <c r="A491" s="10" t="n">
        <v>10</v>
      </c>
      <c r="B491" s="10" t="n">
        <v>724.6</v>
      </c>
      <c r="C491" s="10" t="s">
        <v>15</v>
      </c>
      <c r="D491" s="10" t="n">
        <v>2.5</v>
      </c>
      <c r="E491" s="10" t="n">
        <v>2.5</v>
      </c>
      <c r="F491" s="10" t="n">
        <v>0</v>
      </c>
      <c r="G491" s="10" t="n">
        <v>3</v>
      </c>
      <c r="H491" s="10" t="n">
        <v>35</v>
      </c>
      <c r="I491" s="10" t="s">
        <v>13</v>
      </c>
      <c r="J491" s="10" t="s">
        <v>39</v>
      </c>
      <c r="K491" s="10" t="s">
        <v>39</v>
      </c>
      <c r="L491" s="10" t="s">
        <v>40</v>
      </c>
    </row>
    <row r="492" customFormat="false" ht="15.75" hidden="false" customHeight="false" outlineLevel="0" collapsed="false">
      <c r="A492" s="10" t="n">
        <v>6</v>
      </c>
      <c r="B492" s="10" t="n">
        <v>1797.7</v>
      </c>
      <c r="C492" s="10" t="s">
        <v>15</v>
      </c>
      <c r="D492" s="10" t="n">
        <v>2.5</v>
      </c>
      <c r="E492" s="10" t="n">
        <v>2.5</v>
      </c>
      <c r="F492" s="10" t="n">
        <v>0</v>
      </c>
      <c r="G492" s="10" t="n">
        <v>2</v>
      </c>
      <c r="H492" s="10" t="n">
        <v>26</v>
      </c>
      <c r="I492" s="10" t="s">
        <v>13</v>
      </c>
      <c r="J492" s="10" t="s">
        <v>38</v>
      </c>
      <c r="K492" s="10" t="s">
        <v>39</v>
      </c>
      <c r="L492" s="10" t="s">
        <v>40</v>
      </c>
    </row>
    <row r="493" customFormat="false" ht="15.75" hidden="false" customHeight="false" outlineLevel="0" collapsed="false">
      <c r="A493" s="10" t="n">
        <v>12</v>
      </c>
      <c r="B493" s="10" t="n">
        <v>988.27</v>
      </c>
      <c r="C493" s="10" t="s">
        <v>12</v>
      </c>
      <c r="D493" s="10" t="n">
        <v>8</v>
      </c>
      <c r="E493" s="10" t="n">
        <v>8</v>
      </c>
      <c r="F493" s="10" t="n">
        <v>0</v>
      </c>
      <c r="G493" s="10" t="n">
        <v>2</v>
      </c>
      <c r="H493" s="10" t="n">
        <v>26</v>
      </c>
      <c r="I493" s="10" t="s">
        <v>13</v>
      </c>
      <c r="J493" s="10" t="s">
        <v>38</v>
      </c>
      <c r="K493" s="10" t="s">
        <v>39</v>
      </c>
      <c r="L493" s="10" t="s">
        <v>37</v>
      </c>
    </row>
    <row r="494" customFormat="false" ht="15.75" hidden="false" customHeight="false" outlineLevel="0" collapsed="false">
      <c r="A494" s="10" t="n">
        <v>27</v>
      </c>
      <c r="B494" s="10" t="n">
        <v>4250.5</v>
      </c>
      <c r="C494" s="10" t="s">
        <v>12</v>
      </c>
      <c r="D494" s="10" t="n">
        <v>8</v>
      </c>
      <c r="E494" s="10" t="n">
        <v>8</v>
      </c>
      <c r="F494" s="10" t="n">
        <v>0</v>
      </c>
      <c r="G494" s="10" t="n">
        <v>2</v>
      </c>
      <c r="H494" s="10" t="n">
        <v>42</v>
      </c>
      <c r="I494" s="10" t="s">
        <v>16</v>
      </c>
      <c r="J494" s="10" t="s">
        <v>39</v>
      </c>
      <c r="K494" s="10" t="s">
        <v>39</v>
      </c>
      <c r="L494" s="10" t="s">
        <v>37</v>
      </c>
    </row>
    <row r="495" customFormat="false" ht="15.75" hidden="false" customHeight="false" outlineLevel="0" collapsed="false">
      <c r="A495" s="10" t="n">
        <v>6</v>
      </c>
      <c r="B495" s="10" t="n">
        <v>632.11</v>
      </c>
      <c r="C495" s="10" t="s">
        <v>15</v>
      </c>
      <c r="D495" s="10" t="n">
        <v>2.5</v>
      </c>
      <c r="E495" s="10" t="n">
        <v>2.5</v>
      </c>
      <c r="F495" s="10" t="n">
        <v>0</v>
      </c>
      <c r="G495" s="10" t="n">
        <v>1</v>
      </c>
      <c r="H495" s="10" t="n">
        <v>27</v>
      </c>
      <c r="I495" s="10" t="s">
        <v>13</v>
      </c>
      <c r="J495" s="10" t="s">
        <v>38</v>
      </c>
      <c r="K495" s="10" t="s">
        <v>43</v>
      </c>
      <c r="L495" s="10" t="s">
        <v>40</v>
      </c>
    </row>
    <row r="496" customFormat="false" ht="15.75" hidden="false" customHeight="false" outlineLevel="0" collapsed="false">
      <c r="A496" s="10" t="n">
        <v>6</v>
      </c>
      <c r="B496" s="10" t="n">
        <v>188.05</v>
      </c>
      <c r="C496" s="10" t="s">
        <v>12</v>
      </c>
      <c r="D496" s="10" t="n">
        <v>8</v>
      </c>
      <c r="E496" s="10" t="n">
        <v>8</v>
      </c>
      <c r="F496" s="10" t="n">
        <v>0</v>
      </c>
      <c r="G496" s="10" t="n">
        <v>4</v>
      </c>
      <c r="H496" s="10" t="n">
        <v>38</v>
      </c>
      <c r="I496" s="10" t="s">
        <v>13</v>
      </c>
      <c r="J496" s="10" t="s">
        <v>39</v>
      </c>
      <c r="K496" s="10" t="s">
        <v>37</v>
      </c>
      <c r="L496" s="10" t="s">
        <v>37</v>
      </c>
    </row>
    <row r="497" customFormat="false" ht="15.75" hidden="false" customHeight="false" outlineLevel="0" collapsed="false">
      <c r="A497" s="10" t="n">
        <v>12</v>
      </c>
      <c r="B497" s="10" t="n">
        <v>1084.34</v>
      </c>
      <c r="C497" s="10" t="s">
        <v>15</v>
      </c>
      <c r="D497" s="10" t="n">
        <v>2.5</v>
      </c>
      <c r="E497" s="10" t="n">
        <v>2.5</v>
      </c>
      <c r="F497" s="10" t="n">
        <v>0</v>
      </c>
      <c r="G497" s="10" t="n">
        <v>3</v>
      </c>
      <c r="H497" s="10" t="n">
        <v>39</v>
      </c>
      <c r="I497" s="10" t="s">
        <v>13</v>
      </c>
      <c r="J497" s="10" t="s">
        <v>39</v>
      </c>
      <c r="K497" s="10" t="s">
        <v>39</v>
      </c>
      <c r="L497" s="10" t="s">
        <v>40</v>
      </c>
    </row>
    <row r="498" customFormat="false" ht="15.75" hidden="false" customHeight="false" outlineLevel="0" collapsed="false">
      <c r="A498" s="10" t="n">
        <v>24</v>
      </c>
      <c r="B498" s="10" t="n">
        <v>1530.96</v>
      </c>
      <c r="C498" s="10" t="s">
        <v>15</v>
      </c>
      <c r="D498" s="10" t="n">
        <v>2.5</v>
      </c>
      <c r="E498" s="10" t="n">
        <v>2</v>
      </c>
      <c r="F498" s="10" t="n">
        <v>1</v>
      </c>
      <c r="G498" s="10" t="n">
        <v>2</v>
      </c>
      <c r="H498" s="10" t="n">
        <v>20</v>
      </c>
      <c r="I498" s="10" t="s">
        <v>16</v>
      </c>
      <c r="J498" s="10" t="s">
        <v>38</v>
      </c>
      <c r="K498" s="10" t="s">
        <v>39</v>
      </c>
      <c r="L498" s="10" t="s">
        <v>42</v>
      </c>
    </row>
    <row r="499" customFormat="false" ht="15.75" hidden="false" customHeight="false" outlineLevel="0" collapsed="false">
      <c r="A499" s="10" t="n">
        <v>36</v>
      </c>
      <c r="B499" s="10" t="n">
        <v>4616.37</v>
      </c>
      <c r="C499" s="10" t="s">
        <v>20</v>
      </c>
      <c r="D499" s="10" t="n">
        <v>0.5</v>
      </c>
      <c r="E499" s="10" t="n">
        <v>0.5</v>
      </c>
      <c r="F499" s="10" t="n">
        <v>0</v>
      </c>
      <c r="G499" s="10" t="n">
        <v>4</v>
      </c>
      <c r="H499" s="10" t="n">
        <v>29</v>
      </c>
      <c r="I499" s="10" t="s">
        <v>16</v>
      </c>
      <c r="J499" s="10" t="s">
        <v>38</v>
      </c>
      <c r="K499" s="10" t="s">
        <v>37</v>
      </c>
      <c r="L499" s="10" t="s">
        <v>42</v>
      </c>
    </row>
    <row r="500" customFormat="false" ht="15.75" hidden="false" customHeight="false" outlineLevel="0" collapsed="false">
      <c r="A500" s="10" t="n">
        <v>24</v>
      </c>
      <c r="B500" s="10" t="n">
        <v>809.94</v>
      </c>
      <c r="C500" s="10" t="s">
        <v>17</v>
      </c>
      <c r="D500" s="10" t="n">
        <v>5.5</v>
      </c>
      <c r="E500" s="10" t="n">
        <v>5.5</v>
      </c>
      <c r="F500" s="10" t="n">
        <v>0</v>
      </c>
      <c r="G500" s="10" t="n">
        <v>4</v>
      </c>
      <c r="H500" s="10" t="n">
        <v>40</v>
      </c>
      <c r="I500" s="10" t="s">
        <v>13</v>
      </c>
      <c r="J500" s="10" t="s">
        <v>39</v>
      </c>
      <c r="K500" s="10" t="s">
        <v>37</v>
      </c>
      <c r="L500" s="10" t="s">
        <v>41</v>
      </c>
    </row>
    <row r="501" customFormat="false" ht="15.75" hidden="false" customHeight="false" outlineLevel="0" collapsed="false">
      <c r="A501" s="10" t="n">
        <v>18</v>
      </c>
      <c r="B501" s="10" t="n">
        <v>664.81</v>
      </c>
      <c r="C501" s="10" t="s">
        <v>12</v>
      </c>
      <c r="D501" s="10" t="n">
        <v>8</v>
      </c>
      <c r="E501" s="10" t="n">
        <v>8</v>
      </c>
      <c r="F501" s="10" t="n">
        <v>0</v>
      </c>
      <c r="G501" s="10" t="n">
        <v>4</v>
      </c>
      <c r="H501" s="10" t="n">
        <v>32</v>
      </c>
      <c r="I501" s="10" t="s">
        <v>13</v>
      </c>
      <c r="J501" s="10" t="s">
        <v>39</v>
      </c>
      <c r="K501" s="10" t="s">
        <v>37</v>
      </c>
      <c r="L501" s="10" t="s">
        <v>37</v>
      </c>
    </row>
    <row r="502" customFormat="false" ht="15.75" hidden="false" customHeight="false" outlineLevel="0" collapsed="false">
      <c r="A502" s="10" t="n">
        <v>6</v>
      </c>
      <c r="B502" s="10" t="n">
        <v>676.05</v>
      </c>
      <c r="C502" s="10" t="s">
        <v>12</v>
      </c>
      <c r="D502" s="10" t="n">
        <v>8</v>
      </c>
      <c r="E502" s="10" t="n">
        <v>8</v>
      </c>
      <c r="F502" s="10" t="n">
        <v>0</v>
      </c>
      <c r="G502" s="10" t="n">
        <v>2</v>
      </c>
      <c r="H502" s="10" t="n">
        <v>28</v>
      </c>
      <c r="I502" s="10" t="s">
        <v>13</v>
      </c>
      <c r="J502" s="10" t="s">
        <v>38</v>
      </c>
      <c r="K502" s="10" t="s">
        <v>39</v>
      </c>
      <c r="L502" s="10" t="s">
        <v>37</v>
      </c>
    </row>
    <row r="503" customFormat="false" ht="15.75" hidden="false" customHeight="false" outlineLevel="0" collapsed="false">
      <c r="A503" s="10" t="n">
        <v>24</v>
      </c>
      <c r="B503" s="10" t="n">
        <v>1595.85</v>
      </c>
      <c r="C503" s="10" t="s">
        <v>20</v>
      </c>
      <c r="D503" s="10" t="n">
        <v>0.5</v>
      </c>
      <c r="E503" s="10" t="n">
        <v>0.5</v>
      </c>
      <c r="F503" s="10" t="n">
        <v>0</v>
      </c>
      <c r="G503" s="10" t="n">
        <v>4</v>
      </c>
      <c r="H503" s="10" t="n">
        <v>27</v>
      </c>
      <c r="I503" s="10" t="s">
        <v>16</v>
      </c>
      <c r="J503" s="10" t="s">
        <v>38</v>
      </c>
      <c r="K503" s="10" t="s">
        <v>37</v>
      </c>
      <c r="L503" s="10" t="s">
        <v>42</v>
      </c>
    </row>
    <row r="504" customFormat="false" ht="15.75" hidden="false" customHeight="false" outlineLevel="0" collapsed="false">
      <c r="A504" s="10" t="n">
        <v>36</v>
      </c>
      <c r="B504" s="10" t="n">
        <v>2806.92</v>
      </c>
      <c r="C504" s="10" t="s">
        <v>12</v>
      </c>
      <c r="D504" s="10" t="n">
        <v>8</v>
      </c>
      <c r="E504" s="10" t="n">
        <v>8</v>
      </c>
      <c r="F504" s="10" t="n">
        <v>0</v>
      </c>
      <c r="G504" s="10" t="n">
        <v>2</v>
      </c>
      <c r="H504" s="10" t="n">
        <v>42</v>
      </c>
      <c r="I504" s="10" t="s">
        <v>13</v>
      </c>
      <c r="J504" s="10" t="s">
        <v>39</v>
      </c>
      <c r="K504" s="10" t="s">
        <v>39</v>
      </c>
      <c r="L504" s="10" t="s">
        <v>37</v>
      </c>
    </row>
    <row r="505" customFormat="false" ht="15.75" hidden="false" customHeight="false" outlineLevel="0" collapsed="false">
      <c r="A505" s="10" t="n">
        <v>9</v>
      </c>
      <c r="B505" s="10" t="n">
        <v>575.39</v>
      </c>
      <c r="C505" s="10" t="s">
        <v>12</v>
      </c>
      <c r="D505" s="10" t="n">
        <v>8</v>
      </c>
      <c r="E505" s="10" t="n">
        <v>8</v>
      </c>
      <c r="F505" s="10" t="n">
        <v>0</v>
      </c>
      <c r="G505" s="10" t="n">
        <v>2</v>
      </c>
      <c r="H505" s="10" t="n">
        <v>49</v>
      </c>
      <c r="I505" s="10" t="s">
        <v>13</v>
      </c>
      <c r="J505" s="10" t="s">
        <v>39</v>
      </c>
      <c r="K505" s="10" t="s">
        <v>39</v>
      </c>
      <c r="L505" s="10" t="s">
        <v>37</v>
      </c>
    </row>
    <row r="506" customFormat="false" ht="15.75" hidden="false" customHeight="false" outlineLevel="0" collapsed="false">
      <c r="A506" s="10" t="n">
        <v>24</v>
      </c>
      <c r="B506" s="10" t="n">
        <v>621.38</v>
      </c>
      <c r="C506" s="10" t="s">
        <v>20</v>
      </c>
      <c r="D506" s="10" t="n">
        <v>0.5</v>
      </c>
      <c r="E506" s="10" t="n">
        <v>0.5</v>
      </c>
      <c r="F506" s="10" t="n">
        <v>0</v>
      </c>
      <c r="G506" s="10" t="n">
        <v>4</v>
      </c>
      <c r="H506" s="10" t="n">
        <v>38</v>
      </c>
      <c r="I506" s="10" t="s">
        <v>16</v>
      </c>
      <c r="J506" s="10" t="s">
        <v>39</v>
      </c>
      <c r="K506" s="10" t="s">
        <v>37</v>
      </c>
      <c r="L506" s="10" t="s">
        <v>42</v>
      </c>
    </row>
    <row r="507" customFormat="false" ht="15.75" hidden="false" customHeight="false" outlineLevel="0" collapsed="false">
      <c r="A507" s="10" t="n">
        <v>24</v>
      </c>
      <c r="B507" s="10" t="n">
        <v>616.78</v>
      </c>
      <c r="C507" s="10" t="s">
        <v>20</v>
      </c>
      <c r="D507" s="10" t="n">
        <v>0.5</v>
      </c>
      <c r="E507" s="10" t="n">
        <v>0.5</v>
      </c>
      <c r="F507" s="10" t="n">
        <v>0</v>
      </c>
      <c r="G507" s="10" t="n">
        <v>4</v>
      </c>
      <c r="H507" s="10" t="n">
        <v>24</v>
      </c>
      <c r="I507" s="10" t="s">
        <v>16</v>
      </c>
      <c r="J507" s="10" t="s">
        <v>38</v>
      </c>
      <c r="K507" s="10" t="s">
        <v>37</v>
      </c>
      <c r="L507" s="10" t="s">
        <v>42</v>
      </c>
    </row>
    <row r="508" customFormat="false" ht="15.75" hidden="false" customHeight="false" outlineLevel="0" collapsed="false">
      <c r="A508" s="10" t="n">
        <v>10</v>
      </c>
      <c r="B508" s="10" t="n">
        <v>668.9</v>
      </c>
      <c r="C508" s="10" t="s">
        <v>15</v>
      </c>
      <c r="D508" s="10" t="n">
        <v>2.5</v>
      </c>
      <c r="E508" s="10" t="n">
        <v>2.5</v>
      </c>
      <c r="F508" s="10" t="n">
        <v>0</v>
      </c>
      <c r="G508" s="10" t="n">
        <v>4</v>
      </c>
      <c r="H508" s="10" t="n">
        <v>27</v>
      </c>
      <c r="I508" s="10" t="s">
        <v>16</v>
      </c>
      <c r="J508" s="10" t="s">
        <v>38</v>
      </c>
      <c r="K508" s="10" t="s">
        <v>37</v>
      </c>
      <c r="L508" s="10" t="s">
        <v>40</v>
      </c>
    </row>
    <row r="509" customFormat="false" ht="15.75" hidden="false" customHeight="false" outlineLevel="0" collapsed="false">
      <c r="A509" s="10" t="n">
        <v>15</v>
      </c>
      <c r="B509" s="10" t="n">
        <v>1205.96</v>
      </c>
      <c r="C509" s="10" t="s">
        <v>15</v>
      </c>
      <c r="D509" s="10" t="n">
        <v>2.5</v>
      </c>
      <c r="E509" s="10" t="n">
        <v>2.5</v>
      </c>
      <c r="F509" s="10" t="n">
        <v>0</v>
      </c>
      <c r="G509" s="10" t="n">
        <v>2</v>
      </c>
      <c r="H509" s="10" t="n">
        <v>36</v>
      </c>
      <c r="I509" s="10" t="s">
        <v>13</v>
      </c>
      <c r="J509" s="10" t="s">
        <v>39</v>
      </c>
      <c r="K509" s="10" t="s">
        <v>39</v>
      </c>
      <c r="L509" s="10" t="s">
        <v>40</v>
      </c>
    </row>
    <row r="510" customFormat="false" ht="15.75" hidden="false" customHeight="false" outlineLevel="0" collapsed="false">
      <c r="A510" s="10" t="n">
        <v>15</v>
      </c>
      <c r="B510" s="10" t="n">
        <v>3500.35</v>
      </c>
      <c r="C510" s="10" t="s">
        <v>19</v>
      </c>
      <c r="D510" s="10" t="n">
        <v>0</v>
      </c>
      <c r="E510" s="10" t="n">
        <v>0</v>
      </c>
      <c r="F510" s="10" t="n">
        <v>0</v>
      </c>
      <c r="G510" s="10" t="n">
        <v>1</v>
      </c>
      <c r="H510" s="10" t="n">
        <v>34</v>
      </c>
      <c r="I510" s="10" t="s">
        <v>16</v>
      </c>
      <c r="J510" s="10" t="s">
        <v>39</v>
      </c>
      <c r="K510" s="10" t="s">
        <v>43</v>
      </c>
      <c r="L510" s="10" t="s">
        <v>19</v>
      </c>
    </row>
    <row r="511" customFormat="false" ht="15.75" hidden="false" customHeight="false" outlineLevel="0" collapsed="false">
      <c r="A511" s="10" t="n">
        <v>24</v>
      </c>
      <c r="B511" s="10" t="n">
        <v>722.04</v>
      </c>
      <c r="C511" s="10" t="s">
        <v>15</v>
      </c>
      <c r="D511" s="10" t="n">
        <v>2.5</v>
      </c>
      <c r="E511" s="10" t="n">
        <v>2.5</v>
      </c>
      <c r="F511" s="10" t="n">
        <v>0</v>
      </c>
      <c r="G511" s="10" t="n">
        <v>4</v>
      </c>
      <c r="H511" s="10" t="n">
        <v>28</v>
      </c>
      <c r="I511" s="10" t="s">
        <v>13</v>
      </c>
      <c r="J511" s="10" t="s">
        <v>38</v>
      </c>
      <c r="K511" s="10" t="s">
        <v>37</v>
      </c>
      <c r="L511" s="10" t="s">
        <v>40</v>
      </c>
    </row>
    <row r="512" customFormat="false" ht="15.75" hidden="false" customHeight="false" outlineLevel="0" collapsed="false">
      <c r="A512" s="10" t="n">
        <v>39</v>
      </c>
      <c r="B512" s="10" t="n">
        <v>4388.47</v>
      </c>
      <c r="C512" s="10" t="s">
        <v>12</v>
      </c>
      <c r="D512" s="10" t="n">
        <v>8</v>
      </c>
      <c r="E512" s="10" t="n">
        <v>8</v>
      </c>
      <c r="F512" s="10" t="n">
        <v>0</v>
      </c>
      <c r="G512" s="10" t="n">
        <v>4</v>
      </c>
      <c r="H512" s="10" t="n">
        <v>45</v>
      </c>
      <c r="I512" s="10" t="s">
        <v>13</v>
      </c>
      <c r="J512" s="10" t="s">
        <v>39</v>
      </c>
      <c r="K512" s="10" t="s">
        <v>37</v>
      </c>
      <c r="L512" s="10" t="s">
        <v>37</v>
      </c>
    </row>
    <row r="513" customFormat="false" ht="15.75" hidden="false" customHeight="false" outlineLevel="0" collapsed="false">
      <c r="A513" s="10" t="n">
        <v>12</v>
      </c>
      <c r="B513" s="10" t="n">
        <v>387.85</v>
      </c>
      <c r="C513" s="10" t="s">
        <v>17</v>
      </c>
      <c r="D513" s="10" t="n">
        <v>5.5</v>
      </c>
      <c r="E513" s="10" t="n">
        <v>5.5</v>
      </c>
      <c r="F513" s="10" t="n">
        <v>0</v>
      </c>
      <c r="G513" s="10" t="n">
        <v>4</v>
      </c>
      <c r="H513" s="10" t="n">
        <v>26</v>
      </c>
      <c r="I513" s="10" t="s">
        <v>16</v>
      </c>
      <c r="J513" s="10" t="s">
        <v>38</v>
      </c>
      <c r="K513" s="10" t="s">
        <v>37</v>
      </c>
      <c r="L513" s="10" t="s">
        <v>41</v>
      </c>
    </row>
    <row r="514" customFormat="false" ht="15.75" hidden="false" customHeight="false" outlineLevel="0" collapsed="false">
      <c r="A514" s="10" t="n">
        <v>36</v>
      </c>
      <c r="B514" s="10" t="n">
        <v>2394.55</v>
      </c>
      <c r="C514" s="10" t="s">
        <v>15</v>
      </c>
      <c r="D514" s="10" t="n">
        <v>2.5</v>
      </c>
      <c r="E514" s="10" t="n">
        <v>2.5</v>
      </c>
      <c r="F514" s="10" t="n">
        <v>0</v>
      </c>
      <c r="G514" s="10" t="n">
        <v>2</v>
      </c>
      <c r="H514" s="10" t="n">
        <v>32</v>
      </c>
      <c r="I514" s="10" t="s">
        <v>13</v>
      </c>
      <c r="J514" s="10" t="s">
        <v>39</v>
      </c>
      <c r="K514" s="10" t="s">
        <v>39</v>
      </c>
      <c r="L514" s="10" t="s">
        <v>40</v>
      </c>
    </row>
    <row r="515" customFormat="false" ht="15.75" hidden="false" customHeight="false" outlineLevel="0" collapsed="false">
      <c r="A515" s="10" t="n">
        <v>15</v>
      </c>
      <c r="B515" s="10" t="n">
        <v>1373.06</v>
      </c>
      <c r="C515" s="10" t="s">
        <v>17</v>
      </c>
      <c r="D515" s="10" t="n">
        <v>5.5</v>
      </c>
      <c r="E515" s="10" t="n">
        <v>5.5</v>
      </c>
      <c r="F515" s="10" t="n">
        <v>0</v>
      </c>
      <c r="G515" s="10" t="n">
        <v>2</v>
      </c>
      <c r="H515" s="10" t="n">
        <v>26</v>
      </c>
      <c r="I515" s="10" t="s">
        <v>13</v>
      </c>
      <c r="J515" s="10" t="s">
        <v>38</v>
      </c>
      <c r="K515" s="10" t="s">
        <v>39</v>
      </c>
      <c r="L515" s="10" t="s">
        <v>41</v>
      </c>
    </row>
    <row r="516" customFormat="false" ht="15.75" hidden="false" customHeight="false" outlineLevel="0" collapsed="false">
      <c r="A516" s="10" t="n">
        <v>12</v>
      </c>
      <c r="B516" s="10" t="n">
        <v>298.94</v>
      </c>
      <c r="C516" s="10" t="s">
        <v>15</v>
      </c>
      <c r="D516" s="10" t="n">
        <v>2.5</v>
      </c>
      <c r="E516" s="10" t="n">
        <v>2</v>
      </c>
      <c r="F516" s="10" t="n">
        <v>1</v>
      </c>
      <c r="G516" s="10" t="n">
        <v>4</v>
      </c>
      <c r="H516" s="10" t="n">
        <v>20</v>
      </c>
      <c r="I516" s="10" t="s">
        <v>13</v>
      </c>
      <c r="J516" s="10" t="s">
        <v>38</v>
      </c>
      <c r="K516" s="10" t="s">
        <v>37</v>
      </c>
      <c r="L516" s="10" t="s">
        <v>42</v>
      </c>
    </row>
    <row r="517" customFormat="false" ht="15.75" hidden="false" customHeight="false" outlineLevel="0" collapsed="false">
      <c r="A517" s="10" t="n">
        <v>24</v>
      </c>
      <c r="B517" s="10" t="n">
        <v>1152.31</v>
      </c>
      <c r="C517" s="10" t="s">
        <v>20</v>
      </c>
      <c r="D517" s="10" t="n">
        <v>0.5</v>
      </c>
      <c r="E517" s="10" t="n">
        <v>0.5</v>
      </c>
      <c r="F517" s="10" t="n">
        <v>0</v>
      </c>
      <c r="G517" s="10" t="n">
        <v>4</v>
      </c>
      <c r="H517" s="10" t="n">
        <v>54</v>
      </c>
      <c r="I517" s="10" t="s">
        <v>13</v>
      </c>
      <c r="J517" s="10" t="s">
        <v>36</v>
      </c>
      <c r="K517" s="10" t="s">
        <v>37</v>
      </c>
      <c r="L517" s="10" t="s">
        <v>42</v>
      </c>
    </row>
    <row r="518" customFormat="false" ht="15.75" hidden="false" customHeight="false" outlineLevel="0" collapsed="false">
      <c r="A518" s="10" t="n">
        <v>6</v>
      </c>
      <c r="B518" s="10" t="n">
        <v>311.2</v>
      </c>
      <c r="C518" s="10" t="s">
        <v>17</v>
      </c>
      <c r="D518" s="10" t="n">
        <v>5.5</v>
      </c>
      <c r="E518" s="10" t="n">
        <v>5.5</v>
      </c>
      <c r="F518" s="10" t="n">
        <v>0</v>
      </c>
      <c r="G518" s="10" t="n">
        <v>4</v>
      </c>
      <c r="H518" s="10" t="n">
        <v>37</v>
      </c>
      <c r="I518" s="10" t="s">
        <v>13</v>
      </c>
      <c r="J518" s="10" t="s">
        <v>39</v>
      </c>
      <c r="K518" s="10" t="s">
        <v>37</v>
      </c>
      <c r="L518" s="10" t="s">
        <v>41</v>
      </c>
    </row>
    <row r="519" customFormat="false" ht="15.75" hidden="false" customHeight="false" outlineLevel="0" collapsed="false">
      <c r="A519" s="10" t="n">
        <v>6</v>
      </c>
      <c r="B519" s="10" t="n">
        <v>695.47</v>
      </c>
      <c r="C519" s="10" t="s">
        <v>20</v>
      </c>
      <c r="D519" s="10" t="n">
        <v>0.5</v>
      </c>
      <c r="E519" s="10" t="n">
        <v>0.5</v>
      </c>
      <c r="F519" s="10" t="n">
        <v>0</v>
      </c>
      <c r="G519" s="10" t="n">
        <v>2</v>
      </c>
      <c r="H519" s="10" t="n">
        <v>40</v>
      </c>
      <c r="I519" s="10" t="s">
        <v>13</v>
      </c>
      <c r="J519" s="10" t="s">
        <v>39</v>
      </c>
      <c r="K519" s="10" t="s">
        <v>39</v>
      </c>
      <c r="L519" s="10" t="s">
        <v>42</v>
      </c>
    </row>
    <row r="520" customFormat="false" ht="15.75" hidden="false" customHeight="false" outlineLevel="0" collapsed="false">
      <c r="A520" s="10" t="n">
        <v>36</v>
      </c>
      <c r="B520" s="10" t="n">
        <v>3641.9</v>
      </c>
      <c r="C520" s="10" t="s">
        <v>20</v>
      </c>
      <c r="D520" s="10" t="n">
        <v>0.5</v>
      </c>
      <c r="E520" s="10" t="n">
        <v>0.5</v>
      </c>
      <c r="F520" s="10" t="n">
        <v>0</v>
      </c>
      <c r="G520" s="10" t="n">
        <v>2</v>
      </c>
      <c r="H520" s="10" t="n">
        <v>23</v>
      </c>
      <c r="I520" s="10" t="s">
        <v>16</v>
      </c>
      <c r="J520" s="10" t="s">
        <v>38</v>
      </c>
      <c r="K520" s="10" t="s">
        <v>39</v>
      </c>
      <c r="L520" s="10" t="s">
        <v>42</v>
      </c>
    </row>
    <row r="521" customFormat="false" ht="15.75" hidden="false" customHeight="false" outlineLevel="0" collapsed="false">
      <c r="A521" s="10" t="n">
        <v>6</v>
      </c>
      <c r="B521" s="10" t="n">
        <v>614.73</v>
      </c>
      <c r="C521" s="10" t="s">
        <v>12</v>
      </c>
      <c r="D521" s="10" t="n">
        <v>8</v>
      </c>
      <c r="E521" s="10" t="n">
        <v>8</v>
      </c>
      <c r="F521" s="10" t="n">
        <v>0</v>
      </c>
      <c r="G521" s="10" t="n">
        <v>3</v>
      </c>
      <c r="H521" s="10" t="n">
        <v>43</v>
      </c>
      <c r="I521" s="10" t="s">
        <v>13</v>
      </c>
      <c r="J521" s="10" t="s">
        <v>39</v>
      </c>
      <c r="K521" s="10" t="s">
        <v>39</v>
      </c>
      <c r="L521" s="10" t="s">
        <v>37</v>
      </c>
    </row>
    <row r="522" customFormat="false" ht="15.75" hidden="false" customHeight="false" outlineLevel="0" collapsed="false">
      <c r="A522" s="10" t="n">
        <v>6</v>
      </c>
      <c r="B522" s="10" t="n">
        <v>357.7</v>
      </c>
      <c r="C522" s="10" t="s">
        <v>12</v>
      </c>
      <c r="D522" s="10" t="n">
        <v>8</v>
      </c>
      <c r="E522" s="10" t="n">
        <v>8</v>
      </c>
      <c r="F522" s="10" t="n">
        <v>0</v>
      </c>
      <c r="G522" s="10" t="n">
        <v>4</v>
      </c>
      <c r="H522" s="10" t="n">
        <v>36</v>
      </c>
      <c r="I522" s="10" t="s">
        <v>13</v>
      </c>
      <c r="J522" s="10" t="s">
        <v>39</v>
      </c>
      <c r="K522" s="10" t="s">
        <v>37</v>
      </c>
      <c r="L522" s="10" t="s">
        <v>37</v>
      </c>
    </row>
    <row r="523" customFormat="false" ht="15.75" hidden="false" customHeight="false" outlineLevel="0" collapsed="false">
      <c r="A523" s="10" t="n">
        <v>24</v>
      </c>
      <c r="B523" s="10" t="n">
        <v>2814.08</v>
      </c>
      <c r="C523" s="10" t="s">
        <v>12</v>
      </c>
      <c r="D523" s="10" t="n">
        <v>8</v>
      </c>
      <c r="E523" s="10" t="n">
        <v>8</v>
      </c>
      <c r="F523" s="10" t="n">
        <v>0</v>
      </c>
      <c r="G523" s="10" t="n">
        <v>3</v>
      </c>
      <c r="H523" s="10" t="n">
        <v>44</v>
      </c>
      <c r="I523" s="10" t="s">
        <v>13</v>
      </c>
      <c r="J523" s="10" t="s">
        <v>39</v>
      </c>
      <c r="K523" s="10" t="s">
        <v>39</v>
      </c>
      <c r="L523" s="10" t="s">
        <v>37</v>
      </c>
    </row>
    <row r="524" customFormat="false" ht="15.75" hidden="false" customHeight="false" outlineLevel="0" collapsed="false">
      <c r="A524" s="10" t="n">
        <v>18</v>
      </c>
      <c r="B524" s="10" t="n">
        <v>1630.09</v>
      </c>
      <c r="C524" s="10" t="s">
        <v>15</v>
      </c>
      <c r="D524" s="10" t="n">
        <v>2.5</v>
      </c>
      <c r="E524" s="10" t="n">
        <v>2.5</v>
      </c>
      <c r="F524" s="10" t="n">
        <v>0</v>
      </c>
      <c r="G524" s="10" t="n">
        <v>2</v>
      </c>
      <c r="H524" s="10" t="n">
        <v>24</v>
      </c>
      <c r="I524" s="10" t="s">
        <v>16</v>
      </c>
      <c r="J524" s="10" t="s">
        <v>38</v>
      </c>
      <c r="K524" s="10" t="s">
        <v>39</v>
      </c>
      <c r="L524" s="10" t="s">
        <v>40</v>
      </c>
    </row>
    <row r="525" customFormat="false" ht="15.75" hidden="false" customHeight="false" outlineLevel="0" collapsed="false">
      <c r="A525" s="10" t="n">
        <v>48</v>
      </c>
      <c r="B525" s="10" t="n">
        <v>3637.81</v>
      </c>
      <c r="C525" s="10" t="s">
        <v>15</v>
      </c>
      <c r="D525" s="10" t="n">
        <v>2.5</v>
      </c>
      <c r="E525" s="10" t="n">
        <v>2.5</v>
      </c>
      <c r="F525" s="10" t="n">
        <v>0</v>
      </c>
      <c r="G525" s="10" t="n">
        <v>3</v>
      </c>
      <c r="H525" s="10" t="n">
        <v>53</v>
      </c>
      <c r="I525" s="10" t="s">
        <v>16</v>
      </c>
      <c r="J525" s="10" t="s">
        <v>36</v>
      </c>
      <c r="K525" s="10" t="s">
        <v>39</v>
      </c>
      <c r="L525" s="10" t="s">
        <v>40</v>
      </c>
    </row>
    <row r="526" customFormat="false" ht="15.75" hidden="false" customHeight="false" outlineLevel="0" collapsed="false">
      <c r="A526" s="10" t="n">
        <v>24</v>
      </c>
      <c r="B526" s="10" t="n">
        <v>1782.37</v>
      </c>
      <c r="C526" s="10" t="s">
        <v>17</v>
      </c>
      <c r="D526" s="10" t="n">
        <v>5.5</v>
      </c>
      <c r="E526" s="10" t="n">
        <v>5</v>
      </c>
      <c r="F526" s="10" t="n">
        <v>1</v>
      </c>
      <c r="G526" s="10" t="n">
        <v>3</v>
      </c>
      <c r="H526" s="10" t="n">
        <v>23</v>
      </c>
      <c r="I526" s="10" t="s">
        <v>13</v>
      </c>
      <c r="J526" s="10" t="s">
        <v>38</v>
      </c>
      <c r="K526" s="10" t="s">
        <v>39</v>
      </c>
      <c r="L526" s="10" t="s">
        <v>41</v>
      </c>
    </row>
    <row r="527" customFormat="false" ht="15.75" hidden="false" customHeight="false" outlineLevel="0" collapsed="false">
      <c r="A527" s="10" t="n">
        <v>18</v>
      </c>
      <c r="B527" s="10" t="n">
        <v>568.74</v>
      </c>
      <c r="C527" s="10" t="s">
        <v>15</v>
      </c>
      <c r="D527" s="10" t="n">
        <v>2.5</v>
      </c>
      <c r="E527" s="10" t="n">
        <v>2.5</v>
      </c>
      <c r="F527" s="10" t="n">
        <v>0</v>
      </c>
      <c r="G527" s="10" t="n">
        <v>4</v>
      </c>
      <c r="H527" s="10" t="n">
        <v>26</v>
      </c>
      <c r="I527" s="10" t="s">
        <v>13</v>
      </c>
      <c r="J527" s="10" t="s">
        <v>38</v>
      </c>
      <c r="K527" s="10" t="s">
        <v>37</v>
      </c>
      <c r="L527" s="10" t="s">
        <v>40</v>
      </c>
    </row>
    <row r="528" customFormat="false" ht="15.75" hidden="false" customHeight="false" outlineLevel="0" collapsed="false">
      <c r="A528" s="10" t="n">
        <v>26</v>
      </c>
      <c r="B528" s="10" t="n">
        <v>4070.63</v>
      </c>
      <c r="C528" s="10" t="s">
        <v>20</v>
      </c>
      <c r="D528" s="10" t="n">
        <v>0.5</v>
      </c>
      <c r="E528" s="10" t="n">
        <v>0.5</v>
      </c>
      <c r="F528" s="10" t="n">
        <v>0</v>
      </c>
      <c r="G528" s="10" t="n">
        <v>2</v>
      </c>
      <c r="H528" s="10" t="n">
        <v>30</v>
      </c>
      <c r="I528" s="10" t="s">
        <v>13</v>
      </c>
      <c r="J528" s="10" t="s">
        <v>39</v>
      </c>
      <c r="K528" s="10" t="s">
        <v>39</v>
      </c>
      <c r="L528" s="10" t="s">
        <v>42</v>
      </c>
    </row>
    <row r="529" customFormat="false" ht="15.75" hidden="false" customHeight="false" outlineLevel="0" collapsed="false">
      <c r="A529" s="10" t="n">
        <v>15</v>
      </c>
      <c r="B529" s="10" t="n">
        <v>782.85</v>
      </c>
      <c r="C529" s="10" t="s">
        <v>15</v>
      </c>
      <c r="D529" s="10" t="n">
        <v>2.5</v>
      </c>
      <c r="E529" s="10" t="n">
        <v>2.5</v>
      </c>
      <c r="F529" s="10" t="n">
        <v>0</v>
      </c>
      <c r="G529" s="10" t="n">
        <v>4</v>
      </c>
      <c r="H529" s="10" t="n">
        <v>31</v>
      </c>
      <c r="I529" s="10" t="s">
        <v>13</v>
      </c>
      <c r="J529" s="10" t="s">
        <v>39</v>
      </c>
      <c r="K529" s="10" t="s">
        <v>37</v>
      </c>
      <c r="L529" s="10" t="s">
        <v>40</v>
      </c>
    </row>
    <row r="530" customFormat="false" ht="15.75" hidden="false" customHeight="false" outlineLevel="0" collapsed="false">
      <c r="A530" s="10" t="n">
        <v>4</v>
      </c>
      <c r="B530" s="10" t="n">
        <v>768.03</v>
      </c>
      <c r="C530" s="10" t="s">
        <v>17</v>
      </c>
      <c r="D530" s="10" t="n">
        <v>5.5</v>
      </c>
      <c r="E530" s="10" t="n">
        <v>5.5</v>
      </c>
      <c r="F530" s="10" t="n">
        <v>0</v>
      </c>
      <c r="G530" s="10" t="n">
        <v>2</v>
      </c>
      <c r="H530" s="10" t="n">
        <v>42</v>
      </c>
      <c r="I530" s="10" t="s">
        <v>13</v>
      </c>
      <c r="J530" s="10" t="s">
        <v>39</v>
      </c>
      <c r="K530" s="10" t="s">
        <v>39</v>
      </c>
      <c r="L530" s="10" t="s">
        <v>41</v>
      </c>
    </row>
    <row r="531" customFormat="false" ht="15.75" hidden="false" customHeight="false" outlineLevel="0" collapsed="false">
      <c r="A531" s="10" t="n">
        <v>36</v>
      </c>
      <c r="B531" s="10" t="n">
        <v>1176.32</v>
      </c>
      <c r="C531" s="10" t="s">
        <v>15</v>
      </c>
      <c r="D531" s="10" t="n">
        <v>2.5</v>
      </c>
      <c r="E531" s="10" t="n">
        <v>2.5</v>
      </c>
      <c r="F531" s="10" t="n">
        <v>0</v>
      </c>
      <c r="G531" s="10" t="n">
        <v>4</v>
      </c>
      <c r="H531" s="10" t="n">
        <v>31</v>
      </c>
      <c r="I531" s="10" t="s">
        <v>16</v>
      </c>
      <c r="J531" s="10" t="s">
        <v>39</v>
      </c>
      <c r="K531" s="10" t="s">
        <v>37</v>
      </c>
      <c r="L531" s="10" t="s">
        <v>40</v>
      </c>
    </row>
    <row r="532" customFormat="false" ht="15.75" hidden="false" customHeight="false" outlineLevel="0" collapsed="false">
      <c r="A532" s="10" t="n">
        <v>6</v>
      </c>
      <c r="B532" s="10" t="n">
        <v>338.28</v>
      </c>
      <c r="C532" s="10" t="s">
        <v>20</v>
      </c>
      <c r="D532" s="10" t="n">
        <v>0.5</v>
      </c>
      <c r="E532" s="10" t="n">
        <v>0.5</v>
      </c>
      <c r="F532" s="10" t="n">
        <v>0</v>
      </c>
      <c r="G532" s="10" t="n">
        <v>3</v>
      </c>
      <c r="H532" s="10" t="n">
        <v>41</v>
      </c>
      <c r="I532" s="10" t="s">
        <v>13</v>
      </c>
      <c r="J532" s="10" t="s">
        <v>39</v>
      </c>
      <c r="K532" s="10" t="s">
        <v>39</v>
      </c>
      <c r="L532" s="10" t="s">
        <v>42</v>
      </c>
    </row>
    <row r="533" customFormat="false" ht="15.75" hidden="false" customHeight="false" outlineLevel="0" collapsed="false">
      <c r="A533" s="10" t="n">
        <v>36</v>
      </c>
      <c r="B533" s="10" t="n">
        <v>1161.5</v>
      </c>
      <c r="C533" s="10" t="s">
        <v>17</v>
      </c>
      <c r="D533" s="10" t="n">
        <v>5.5</v>
      </c>
      <c r="E533" s="10" t="n">
        <v>5.5</v>
      </c>
      <c r="F533" s="10" t="n">
        <v>0</v>
      </c>
      <c r="G533" s="10" t="n">
        <v>3</v>
      </c>
      <c r="H533" s="10" t="n">
        <v>32</v>
      </c>
      <c r="I533" s="10" t="s">
        <v>13</v>
      </c>
      <c r="J533" s="10" t="s">
        <v>39</v>
      </c>
      <c r="K533" s="10" t="s">
        <v>39</v>
      </c>
      <c r="L533" s="10" t="s">
        <v>41</v>
      </c>
    </row>
    <row r="534" customFormat="false" ht="15.75" hidden="false" customHeight="false" outlineLevel="0" collapsed="false">
      <c r="A534" s="10" t="n">
        <v>15</v>
      </c>
      <c r="B534" s="10" t="n">
        <v>1344.44</v>
      </c>
      <c r="C534" s="10" t="s">
        <v>15</v>
      </c>
      <c r="D534" s="10" t="n">
        <v>2.5</v>
      </c>
      <c r="E534" s="10" t="n">
        <v>2.5</v>
      </c>
      <c r="F534" s="10" t="n">
        <v>0</v>
      </c>
      <c r="G534" s="10" t="n">
        <v>2</v>
      </c>
      <c r="H534" s="10" t="n">
        <v>28</v>
      </c>
      <c r="I534" s="10" t="s">
        <v>16</v>
      </c>
      <c r="J534" s="10" t="s">
        <v>38</v>
      </c>
      <c r="K534" s="10" t="s">
        <v>39</v>
      </c>
      <c r="L534" s="10" t="s">
        <v>40</v>
      </c>
    </row>
    <row r="535" customFormat="false" ht="15.75" hidden="false" customHeight="false" outlineLevel="0" collapsed="false">
      <c r="A535" s="10" t="n">
        <v>12</v>
      </c>
      <c r="B535" s="10" t="n">
        <v>768.03</v>
      </c>
      <c r="C535" s="10" t="s">
        <v>15</v>
      </c>
      <c r="D535" s="10" t="n">
        <v>2.5</v>
      </c>
      <c r="E535" s="10" t="n">
        <v>2.5</v>
      </c>
      <c r="F535" s="10" t="n">
        <v>0</v>
      </c>
      <c r="G535" s="10" t="n">
        <v>4</v>
      </c>
      <c r="H535" s="10" t="n">
        <v>41</v>
      </c>
      <c r="I535" s="10" t="s">
        <v>13</v>
      </c>
      <c r="J535" s="10" t="s">
        <v>39</v>
      </c>
      <c r="K535" s="10" t="s">
        <v>37</v>
      </c>
      <c r="L535" s="10" t="s">
        <v>40</v>
      </c>
    </row>
    <row r="536" customFormat="false" ht="15.75" hidden="false" customHeight="false" outlineLevel="0" collapsed="false">
      <c r="A536" s="10" t="n">
        <v>24</v>
      </c>
      <c r="B536" s="10" t="n">
        <v>669.92</v>
      </c>
      <c r="C536" s="10" t="s">
        <v>17</v>
      </c>
      <c r="D536" s="10" t="n">
        <v>5.5</v>
      </c>
      <c r="E536" s="10" t="n">
        <v>5.5</v>
      </c>
      <c r="F536" s="10" t="n">
        <v>0</v>
      </c>
      <c r="G536" s="10" t="n">
        <v>4</v>
      </c>
      <c r="H536" s="10" t="n">
        <v>26</v>
      </c>
      <c r="I536" s="10" t="s">
        <v>13</v>
      </c>
      <c r="J536" s="10" t="s">
        <v>38</v>
      </c>
      <c r="K536" s="10" t="s">
        <v>37</v>
      </c>
      <c r="L536" s="10" t="s">
        <v>41</v>
      </c>
    </row>
    <row r="537" customFormat="false" ht="15.75" hidden="false" customHeight="false" outlineLevel="0" collapsed="false">
      <c r="A537" s="10" t="n">
        <v>24</v>
      </c>
      <c r="B537" s="10" t="n">
        <v>1586.66</v>
      </c>
      <c r="C537" s="10" t="s">
        <v>20</v>
      </c>
      <c r="D537" s="10" t="n">
        <v>0.5</v>
      </c>
      <c r="E537" s="10" t="n">
        <v>0.5</v>
      </c>
      <c r="F537" s="10" t="n">
        <v>0</v>
      </c>
      <c r="G537" s="10" t="n">
        <v>4</v>
      </c>
      <c r="H537" s="10" t="n">
        <v>25</v>
      </c>
      <c r="I537" s="10" t="s">
        <v>13</v>
      </c>
      <c r="J537" s="10" t="s">
        <v>38</v>
      </c>
      <c r="K537" s="10" t="s">
        <v>37</v>
      </c>
      <c r="L537" s="10" t="s">
        <v>42</v>
      </c>
    </row>
    <row r="538" customFormat="false" ht="15.75" hidden="false" customHeight="false" outlineLevel="0" collapsed="false">
      <c r="A538" s="10" t="n">
        <v>21</v>
      </c>
      <c r="B538" s="10" t="n">
        <v>1185.01</v>
      </c>
      <c r="C538" s="10" t="s">
        <v>20</v>
      </c>
      <c r="D538" s="10" t="n">
        <v>0.5</v>
      </c>
      <c r="E538" s="10" t="n">
        <v>0.5</v>
      </c>
      <c r="F538" s="10" t="n">
        <v>0</v>
      </c>
      <c r="G538" s="10" t="n">
        <v>2</v>
      </c>
      <c r="H538" s="10" t="n">
        <v>33</v>
      </c>
      <c r="I538" s="10" t="s">
        <v>16</v>
      </c>
      <c r="J538" s="10" t="s">
        <v>39</v>
      </c>
      <c r="K538" s="10" t="s">
        <v>39</v>
      </c>
      <c r="L538" s="10" t="s">
        <v>42</v>
      </c>
    </row>
    <row r="539" customFormat="false" ht="15.75" hidden="false" customHeight="false" outlineLevel="0" collapsed="false">
      <c r="A539" s="10" t="n">
        <v>6</v>
      </c>
      <c r="B539" s="10" t="n">
        <v>702.11</v>
      </c>
      <c r="C539" s="10" t="s">
        <v>19</v>
      </c>
      <c r="D539" s="10" t="n">
        <v>0</v>
      </c>
      <c r="E539" s="10" t="n">
        <v>0</v>
      </c>
      <c r="F539" s="10" t="n">
        <v>0</v>
      </c>
      <c r="G539" s="10" t="n">
        <v>4</v>
      </c>
      <c r="H539" s="10" t="n">
        <v>75</v>
      </c>
      <c r="I539" s="10" t="s">
        <v>13</v>
      </c>
      <c r="J539" s="10" t="s">
        <v>36</v>
      </c>
      <c r="K539" s="10" t="s">
        <v>37</v>
      </c>
      <c r="L539" s="10" t="s">
        <v>19</v>
      </c>
    </row>
    <row r="540" customFormat="false" ht="15.75" hidden="false" customHeight="false" outlineLevel="0" collapsed="false">
      <c r="A540" s="10" t="n">
        <v>18</v>
      </c>
      <c r="B540" s="10" t="n">
        <v>1845.73</v>
      </c>
      <c r="C540" s="10" t="s">
        <v>12</v>
      </c>
      <c r="D540" s="10" t="n">
        <v>8</v>
      </c>
      <c r="E540" s="10" t="n">
        <v>8</v>
      </c>
      <c r="F540" s="10" t="n">
        <v>0</v>
      </c>
      <c r="G540" s="10" t="n">
        <v>3</v>
      </c>
      <c r="H540" s="10" t="n">
        <v>37</v>
      </c>
      <c r="I540" s="10" t="s">
        <v>13</v>
      </c>
      <c r="J540" s="10" t="s">
        <v>39</v>
      </c>
      <c r="K540" s="10" t="s">
        <v>39</v>
      </c>
      <c r="L540" s="10" t="s">
        <v>37</v>
      </c>
    </row>
    <row r="541" customFormat="false" ht="15.75" hidden="false" customHeight="false" outlineLevel="0" collapsed="false">
      <c r="A541" s="10" t="n">
        <v>48</v>
      </c>
      <c r="B541" s="10" t="n">
        <v>3966.89</v>
      </c>
      <c r="C541" s="10" t="s">
        <v>12</v>
      </c>
      <c r="D541" s="10" t="n">
        <v>8</v>
      </c>
      <c r="E541" s="10" t="n">
        <v>8</v>
      </c>
      <c r="F541" s="10" t="n">
        <v>0</v>
      </c>
      <c r="G541" s="10" t="n">
        <v>4</v>
      </c>
      <c r="H541" s="10" t="n">
        <v>42</v>
      </c>
      <c r="I541" s="10" t="s">
        <v>16</v>
      </c>
      <c r="J541" s="10" t="s">
        <v>39</v>
      </c>
      <c r="K541" s="10" t="s">
        <v>37</v>
      </c>
      <c r="L541" s="10" t="s">
        <v>37</v>
      </c>
    </row>
    <row r="542" customFormat="false" ht="15.75" hidden="false" customHeight="false" outlineLevel="0" collapsed="false">
      <c r="A542" s="10" t="n">
        <v>18</v>
      </c>
      <c r="B542" s="10" t="n">
        <v>1558.04</v>
      </c>
      <c r="C542" s="10" t="s">
        <v>20</v>
      </c>
      <c r="D542" s="10" t="n">
        <v>0.5</v>
      </c>
      <c r="E542" s="10" t="n">
        <v>0.5</v>
      </c>
      <c r="F542" s="10" t="n">
        <v>0</v>
      </c>
      <c r="G542" s="10" t="n">
        <v>1</v>
      </c>
      <c r="H542" s="10" t="n">
        <v>45</v>
      </c>
      <c r="I542" s="10" t="s">
        <v>13</v>
      </c>
      <c r="J542" s="10" t="s">
        <v>39</v>
      </c>
      <c r="K542" s="10" t="s">
        <v>43</v>
      </c>
      <c r="L542" s="10" t="s">
        <v>42</v>
      </c>
    </row>
    <row r="543" customFormat="false" ht="15.75" hidden="false" customHeight="false" outlineLevel="0" collapsed="false">
      <c r="A543" s="10" t="n">
        <v>12</v>
      </c>
      <c r="B543" s="10" t="n">
        <v>783.87</v>
      </c>
      <c r="C543" s="10" t="s">
        <v>20</v>
      </c>
      <c r="D543" s="10" t="n">
        <v>0.5</v>
      </c>
      <c r="E543" s="10" t="n">
        <v>0.5</v>
      </c>
      <c r="F543" s="10" t="n">
        <v>0</v>
      </c>
      <c r="G543" s="10" t="n">
        <v>1</v>
      </c>
      <c r="H543" s="10" t="n">
        <v>23</v>
      </c>
      <c r="I543" s="10" t="s">
        <v>16</v>
      </c>
      <c r="J543" s="10" t="s">
        <v>38</v>
      </c>
      <c r="K543" s="10" t="s">
        <v>43</v>
      </c>
      <c r="L543" s="10" t="s">
        <v>42</v>
      </c>
    </row>
    <row r="544" customFormat="false" ht="15.75" hidden="false" customHeight="false" outlineLevel="0" collapsed="false">
      <c r="A544" s="10" t="n">
        <v>24</v>
      </c>
      <c r="B544" s="10" t="n">
        <v>1038.35</v>
      </c>
      <c r="C544" s="10" t="s">
        <v>12</v>
      </c>
      <c r="D544" s="10" t="n">
        <v>8</v>
      </c>
      <c r="E544" s="10" t="n">
        <v>8</v>
      </c>
      <c r="F544" s="10" t="n">
        <v>0</v>
      </c>
      <c r="G544" s="10" t="n">
        <v>4</v>
      </c>
      <c r="H544" s="10" t="n">
        <v>60</v>
      </c>
      <c r="I544" s="10" t="s">
        <v>13</v>
      </c>
      <c r="J544" s="10" t="s">
        <v>36</v>
      </c>
      <c r="K544" s="10" t="s">
        <v>37</v>
      </c>
      <c r="L544" s="10" t="s">
        <v>37</v>
      </c>
    </row>
    <row r="545" customFormat="false" ht="15.75" hidden="false" customHeight="false" outlineLevel="0" collapsed="false">
      <c r="A545" s="10" t="n">
        <v>30</v>
      </c>
      <c r="B545" s="10" t="n">
        <v>3244.85</v>
      </c>
      <c r="C545" s="10" t="s">
        <v>12</v>
      </c>
      <c r="D545" s="10" t="n">
        <v>8</v>
      </c>
      <c r="E545" s="10" t="n">
        <v>8</v>
      </c>
      <c r="F545" s="10" t="n">
        <v>0</v>
      </c>
      <c r="G545" s="10" t="n">
        <v>4</v>
      </c>
      <c r="H545" s="10" t="n">
        <v>31</v>
      </c>
      <c r="I545" s="10" t="s">
        <v>16</v>
      </c>
      <c r="J545" s="10" t="s">
        <v>39</v>
      </c>
      <c r="K545" s="10" t="s">
        <v>37</v>
      </c>
      <c r="L545" s="10" t="s">
        <v>37</v>
      </c>
    </row>
    <row r="546" customFormat="false" ht="15.75" hidden="false" customHeight="false" outlineLevel="0" collapsed="false">
      <c r="A546" s="10" t="n">
        <v>18</v>
      </c>
      <c r="B546" s="10" t="n">
        <v>1463.5</v>
      </c>
      <c r="C546" s="10" t="s">
        <v>15</v>
      </c>
      <c r="D546" s="10" t="n">
        <v>2.5</v>
      </c>
      <c r="E546" s="10" t="n">
        <v>2.5</v>
      </c>
      <c r="F546" s="10" t="n">
        <v>0</v>
      </c>
      <c r="G546" s="10" t="n">
        <v>2</v>
      </c>
      <c r="H546" s="10" t="n">
        <v>34</v>
      </c>
      <c r="I546" s="10" t="s">
        <v>16</v>
      </c>
      <c r="J546" s="10" t="s">
        <v>39</v>
      </c>
      <c r="K546" s="10" t="s">
        <v>39</v>
      </c>
      <c r="L546" s="10" t="s">
        <v>40</v>
      </c>
    </row>
    <row r="547" customFormat="false" ht="15.75" hidden="false" customHeight="false" outlineLevel="0" collapsed="false">
      <c r="A547" s="10" t="n">
        <v>12</v>
      </c>
      <c r="B547" s="10" t="n">
        <v>641.31</v>
      </c>
      <c r="C547" s="10" t="s">
        <v>12</v>
      </c>
      <c r="D547" s="10" t="n">
        <v>8</v>
      </c>
      <c r="E547" s="10" t="n">
        <v>8</v>
      </c>
      <c r="F547" s="10" t="n">
        <v>0</v>
      </c>
      <c r="G547" s="10" t="n">
        <v>4</v>
      </c>
      <c r="H547" s="10" t="n">
        <v>61</v>
      </c>
      <c r="I547" s="10" t="s">
        <v>13</v>
      </c>
      <c r="J547" s="10" t="s">
        <v>36</v>
      </c>
      <c r="K547" s="10" t="s">
        <v>37</v>
      </c>
      <c r="L547" s="10" t="s">
        <v>37</v>
      </c>
    </row>
    <row r="548" customFormat="false" ht="15.75" hidden="false" customHeight="false" outlineLevel="0" collapsed="false">
      <c r="A548" s="10" t="n">
        <v>24</v>
      </c>
      <c r="B548" s="10" t="n">
        <v>681.16</v>
      </c>
      <c r="C548" s="10" t="s">
        <v>19</v>
      </c>
      <c r="D548" s="10" t="n">
        <v>0</v>
      </c>
      <c r="E548" s="10" t="n">
        <v>0</v>
      </c>
      <c r="F548" s="10" t="n">
        <v>0</v>
      </c>
      <c r="G548" s="10" t="n">
        <v>4</v>
      </c>
      <c r="H548" s="10" t="n">
        <v>43</v>
      </c>
      <c r="I548" s="10" t="s">
        <v>16</v>
      </c>
      <c r="J548" s="10" t="s">
        <v>39</v>
      </c>
      <c r="K548" s="10" t="s">
        <v>37</v>
      </c>
      <c r="L548" s="10" t="s">
        <v>19</v>
      </c>
    </row>
    <row r="549" customFormat="false" ht="15.75" hidden="false" customHeight="false" outlineLevel="0" collapsed="false">
      <c r="A549" s="10" t="n">
        <v>24</v>
      </c>
      <c r="B549" s="10" t="n">
        <v>1033.24</v>
      </c>
      <c r="C549" s="10" t="s">
        <v>15</v>
      </c>
      <c r="D549" s="10" t="n">
        <v>2.5</v>
      </c>
      <c r="E549" s="10" t="n">
        <v>2.5</v>
      </c>
      <c r="F549" s="10" t="n">
        <v>0</v>
      </c>
      <c r="G549" s="10" t="n">
        <v>4</v>
      </c>
      <c r="H549" s="10" t="n">
        <v>37</v>
      </c>
      <c r="I549" s="10" t="s">
        <v>13</v>
      </c>
      <c r="J549" s="10" t="s">
        <v>39</v>
      </c>
      <c r="K549" s="10" t="s">
        <v>37</v>
      </c>
      <c r="L549" s="10" t="s">
        <v>40</v>
      </c>
    </row>
    <row r="550" customFormat="false" ht="15.75" hidden="false" customHeight="false" outlineLevel="0" collapsed="false">
      <c r="A550" s="10" t="n">
        <v>24</v>
      </c>
      <c r="B550" s="10" t="n">
        <v>793.07</v>
      </c>
      <c r="C550" s="10" t="s">
        <v>17</v>
      </c>
      <c r="D550" s="10" t="n">
        <v>5.5</v>
      </c>
      <c r="E550" s="10" t="n">
        <v>5.5</v>
      </c>
      <c r="F550" s="10" t="n">
        <v>0</v>
      </c>
      <c r="G550" s="10" t="n">
        <v>3</v>
      </c>
      <c r="H550" s="10" t="n">
        <v>32</v>
      </c>
      <c r="I550" s="10" t="s">
        <v>13</v>
      </c>
      <c r="J550" s="10" t="s">
        <v>39</v>
      </c>
      <c r="K550" s="10" t="s">
        <v>39</v>
      </c>
      <c r="L550" s="10" t="s">
        <v>41</v>
      </c>
    </row>
    <row r="551" customFormat="false" ht="15.75" hidden="false" customHeight="false" outlineLevel="0" collapsed="false">
      <c r="A551" s="10" t="n">
        <v>12</v>
      </c>
      <c r="B551" s="10" t="n">
        <v>319.89</v>
      </c>
      <c r="C551" s="10" t="s">
        <v>15</v>
      </c>
      <c r="D551" s="10" t="n">
        <v>2.5</v>
      </c>
      <c r="E551" s="10" t="n">
        <v>2.5</v>
      </c>
      <c r="F551" s="10" t="n">
        <v>0</v>
      </c>
      <c r="G551" s="10" t="n">
        <v>4</v>
      </c>
      <c r="H551" s="10" t="n">
        <v>24</v>
      </c>
      <c r="I551" s="10" t="s">
        <v>16</v>
      </c>
      <c r="J551" s="10" t="s">
        <v>38</v>
      </c>
      <c r="K551" s="10" t="s">
        <v>37</v>
      </c>
      <c r="L551" s="10" t="s">
        <v>40</v>
      </c>
    </row>
    <row r="552" customFormat="false" ht="15.75" hidden="false" customHeight="false" outlineLevel="0" collapsed="false">
      <c r="A552" s="10" t="n">
        <v>48</v>
      </c>
      <c r="B552" s="10" t="n">
        <v>4526.44</v>
      </c>
      <c r="C552" s="10" t="s">
        <v>17</v>
      </c>
      <c r="D552" s="10" t="n">
        <v>5.5</v>
      </c>
      <c r="E552" s="10" t="n">
        <v>5.5</v>
      </c>
      <c r="F552" s="10" t="n">
        <v>0</v>
      </c>
      <c r="G552" s="10" t="n">
        <v>2</v>
      </c>
      <c r="H552" s="10" t="n">
        <v>35</v>
      </c>
      <c r="I552" s="10" t="s">
        <v>13</v>
      </c>
      <c r="J552" s="10" t="s">
        <v>39</v>
      </c>
      <c r="K552" s="10" t="s">
        <v>39</v>
      </c>
      <c r="L552" s="10" t="s">
        <v>41</v>
      </c>
    </row>
    <row r="553" customFormat="false" ht="15.75" hidden="false" customHeight="false" outlineLevel="0" collapsed="false">
      <c r="A553" s="10" t="n">
        <v>12</v>
      </c>
      <c r="B553" s="10" t="n">
        <v>508.96</v>
      </c>
      <c r="C553" s="10" t="s">
        <v>17</v>
      </c>
      <c r="D553" s="10" t="n">
        <v>5.5</v>
      </c>
      <c r="E553" s="10" t="n">
        <v>5</v>
      </c>
      <c r="F553" s="10" t="n">
        <v>1</v>
      </c>
      <c r="G553" s="10" t="n">
        <v>4</v>
      </c>
      <c r="H553" s="10" t="n">
        <v>23</v>
      </c>
      <c r="I553" s="10" t="s">
        <v>13</v>
      </c>
      <c r="J553" s="10" t="s">
        <v>38</v>
      </c>
      <c r="K553" s="10" t="s">
        <v>37</v>
      </c>
      <c r="L553" s="10" t="s">
        <v>41</v>
      </c>
    </row>
    <row r="554" customFormat="false" ht="15.75" hidden="false" customHeight="false" outlineLevel="0" collapsed="false">
      <c r="A554" s="10" t="n">
        <v>6</v>
      </c>
      <c r="B554" s="10" t="n">
        <v>894.25</v>
      </c>
      <c r="C554" s="10" t="s">
        <v>12</v>
      </c>
      <c r="D554" s="10" t="n">
        <v>8</v>
      </c>
      <c r="E554" s="10" t="n">
        <v>8</v>
      </c>
      <c r="F554" s="10" t="n">
        <v>0</v>
      </c>
      <c r="G554" s="10" t="n">
        <v>2</v>
      </c>
      <c r="H554" s="10" t="n">
        <v>45</v>
      </c>
      <c r="I554" s="10" t="s">
        <v>13</v>
      </c>
      <c r="J554" s="10" t="s">
        <v>39</v>
      </c>
      <c r="K554" s="10" t="s">
        <v>39</v>
      </c>
      <c r="L554" s="10" t="s">
        <v>37</v>
      </c>
    </row>
    <row r="555" customFormat="false" ht="15.75" hidden="false" customHeight="false" outlineLevel="0" collapsed="false">
      <c r="A555" s="10" t="n">
        <v>48</v>
      </c>
      <c r="B555" s="10" t="n">
        <v>3576.49</v>
      </c>
      <c r="C555" s="10" t="s">
        <v>17</v>
      </c>
      <c r="D555" s="10" t="n">
        <v>5.5</v>
      </c>
      <c r="E555" s="10" t="n">
        <v>5.5</v>
      </c>
      <c r="F555" s="10" t="n">
        <v>0</v>
      </c>
      <c r="G555" s="10" t="n">
        <v>1</v>
      </c>
      <c r="H555" s="10" t="n">
        <v>34</v>
      </c>
      <c r="I555" s="10" t="s">
        <v>16</v>
      </c>
      <c r="J555" s="10" t="s">
        <v>39</v>
      </c>
      <c r="K555" s="10" t="s">
        <v>43</v>
      </c>
      <c r="L555" s="10" t="s">
        <v>41</v>
      </c>
    </row>
    <row r="556" customFormat="false" ht="15.75" hidden="false" customHeight="false" outlineLevel="0" collapsed="false">
      <c r="A556" s="10" t="n">
        <v>12</v>
      </c>
      <c r="B556" s="10" t="n">
        <v>1019.45</v>
      </c>
      <c r="C556" s="10" t="s">
        <v>20</v>
      </c>
      <c r="D556" s="10" t="n">
        <v>0.5</v>
      </c>
      <c r="E556" s="10" t="n">
        <v>0.5</v>
      </c>
      <c r="F556" s="10" t="n">
        <v>0</v>
      </c>
      <c r="G556" s="10" t="n">
        <v>4</v>
      </c>
      <c r="H556" s="10" t="n">
        <v>27</v>
      </c>
      <c r="I556" s="10" t="s">
        <v>13</v>
      </c>
      <c r="J556" s="10" t="s">
        <v>38</v>
      </c>
      <c r="K556" s="10" t="s">
        <v>37</v>
      </c>
      <c r="L556" s="10" t="s">
        <v>42</v>
      </c>
    </row>
    <row r="557" customFormat="false" ht="15.75" hidden="false" customHeight="false" outlineLevel="0" collapsed="false">
      <c r="A557" s="10" t="n">
        <v>9</v>
      </c>
      <c r="B557" s="10" t="n">
        <v>612.69</v>
      </c>
      <c r="C557" s="10" t="s">
        <v>17</v>
      </c>
      <c r="D557" s="10" t="n">
        <v>5.5</v>
      </c>
      <c r="E557" s="10" t="n">
        <v>5.5</v>
      </c>
      <c r="F557" s="10" t="n">
        <v>0</v>
      </c>
      <c r="G557" s="10" t="n">
        <v>4</v>
      </c>
      <c r="H557" s="10" t="n">
        <v>67</v>
      </c>
      <c r="I557" s="10" t="s">
        <v>13</v>
      </c>
      <c r="J557" s="10" t="s">
        <v>36</v>
      </c>
      <c r="K557" s="10" t="s">
        <v>37</v>
      </c>
      <c r="L557" s="10" t="s">
        <v>41</v>
      </c>
    </row>
    <row r="558" customFormat="false" ht="15.75" hidden="false" customHeight="false" outlineLevel="0" collapsed="false">
      <c r="A558" s="10" t="n">
        <v>12</v>
      </c>
      <c r="B558" s="10" t="n">
        <v>680.14</v>
      </c>
      <c r="C558" s="10" t="s">
        <v>20</v>
      </c>
      <c r="D558" s="10" t="n">
        <v>0.5</v>
      </c>
      <c r="E558" s="10" t="n">
        <v>0.5</v>
      </c>
      <c r="F558" s="10" t="n">
        <v>0</v>
      </c>
      <c r="G558" s="10" t="n">
        <v>2</v>
      </c>
      <c r="H558" s="10" t="n">
        <v>22</v>
      </c>
      <c r="I558" s="10" t="s">
        <v>16</v>
      </c>
      <c r="J558" s="10" t="s">
        <v>38</v>
      </c>
      <c r="K558" s="10" t="s">
        <v>39</v>
      </c>
      <c r="L558" s="10" t="s">
        <v>42</v>
      </c>
    </row>
    <row r="559" customFormat="false" ht="15.75" hidden="false" customHeight="false" outlineLevel="0" collapsed="false">
      <c r="A559" s="10" t="n">
        <v>18</v>
      </c>
      <c r="B559" s="10" t="n">
        <v>1164.06</v>
      </c>
      <c r="C559" s="10" t="s">
        <v>20</v>
      </c>
      <c r="D559" s="10" t="n">
        <v>0.5</v>
      </c>
      <c r="E559" s="10" t="n">
        <v>0.5</v>
      </c>
      <c r="F559" s="10" t="n">
        <v>0</v>
      </c>
      <c r="G559" s="10" t="n">
        <v>3</v>
      </c>
      <c r="H559" s="10" t="n">
        <v>28</v>
      </c>
      <c r="I559" s="10" t="s">
        <v>16</v>
      </c>
      <c r="J559" s="10" t="s">
        <v>38</v>
      </c>
      <c r="K559" s="10" t="s">
        <v>39</v>
      </c>
      <c r="L559" s="10" t="s">
        <v>42</v>
      </c>
    </row>
    <row r="560" customFormat="false" ht="15.75" hidden="false" customHeight="false" outlineLevel="0" collapsed="false">
      <c r="A560" s="10" t="n">
        <v>21</v>
      </c>
      <c r="B560" s="10" t="n">
        <v>2556.53</v>
      </c>
      <c r="C560" s="10" t="s">
        <v>15</v>
      </c>
      <c r="D560" s="10" t="n">
        <v>2.5</v>
      </c>
      <c r="E560" s="10" t="n">
        <v>2.5</v>
      </c>
      <c r="F560" s="10" t="n">
        <v>0</v>
      </c>
      <c r="G560" s="10" t="n">
        <v>1</v>
      </c>
      <c r="H560" s="10" t="n">
        <v>29</v>
      </c>
      <c r="I560" s="10" t="s">
        <v>16</v>
      </c>
      <c r="J560" s="10" t="s">
        <v>38</v>
      </c>
      <c r="K560" s="10" t="s">
        <v>43</v>
      </c>
      <c r="L560" s="10" t="s">
        <v>40</v>
      </c>
    </row>
    <row r="561" customFormat="false" ht="15.75" hidden="false" customHeight="false" outlineLevel="0" collapsed="false">
      <c r="A561" s="10" t="n">
        <v>24</v>
      </c>
      <c r="B561" s="10" t="n">
        <v>1815.07</v>
      </c>
      <c r="C561" s="10" t="s">
        <v>17</v>
      </c>
      <c r="D561" s="10" t="n">
        <v>5.5</v>
      </c>
      <c r="E561" s="10" t="n">
        <v>5.5</v>
      </c>
      <c r="F561" s="10" t="n">
        <v>0</v>
      </c>
      <c r="G561" s="10" t="n">
        <v>3</v>
      </c>
      <c r="H561" s="10" t="n">
        <v>27</v>
      </c>
      <c r="I561" s="10" t="s">
        <v>16</v>
      </c>
      <c r="J561" s="10" t="s">
        <v>38</v>
      </c>
      <c r="K561" s="10" t="s">
        <v>39</v>
      </c>
      <c r="L561" s="10" t="s">
        <v>41</v>
      </c>
    </row>
    <row r="562" customFormat="false" ht="15.75" hidden="false" customHeight="false" outlineLevel="0" collapsed="false">
      <c r="A562" s="10" t="n">
        <v>18</v>
      </c>
      <c r="B562" s="10" t="n">
        <v>985.21</v>
      </c>
      <c r="C562" s="10" t="s">
        <v>20</v>
      </c>
      <c r="D562" s="10" t="n">
        <v>0.5</v>
      </c>
      <c r="E562" s="10" t="n">
        <v>0.5</v>
      </c>
      <c r="F562" s="10" t="n">
        <v>0</v>
      </c>
      <c r="G562" s="10" t="n">
        <v>2</v>
      </c>
      <c r="H562" s="10" t="n">
        <v>31</v>
      </c>
      <c r="I562" s="10" t="s">
        <v>16</v>
      </c>
      <c r="J562" s="10" t="s">
        <v>39</v>
      </c>
      <c r="K562" s="10" t="s">
        <v>39</v>
      </c>
      <c r="L562" s="10" t="s">
        <v>42</v>
      </c>
    </row>
    <row r="563" customFormat="false" ht="15.75" hidden="false" customHeight="false" outlineLevel="0" collapsed="false">
      <c r="A563" s="10" t="n">
        <v>24</v>
      </c>
      <c r="B563" s="10" t="n">
        <v>1514.6</v>
      </c>
      <c r="C563" s="10" t="s">
        <v>12</v>
      </c>
      <c r="D563" s="10" t="n">
        <v>8</v>
      </c>
      <c r="E563" s="10" t="n">
        <v>8</v>
      </c>
      <c r="F563" s="10" t="n">
        <v>0</v>
      </c>
      <c r="G563" s="10" t="n">
        <v>4</v>
      </c>
      <c r="H563" s="10" t="n">
        <v>49</v>
      </c>
      <c r="I563" s="10" t="s">
        <v>13</v>
      </c>
      <c r="J563" s="10" t="s">
        <v>39</v>
      </c>
      <c r="K563" s="10" t="s">
        <v>37</v>
      </c>
      <c r="L563" s="10" t="s">
        <v>37</v>
      </c>
    </row>
    <row r="564" customFormat="false" ht="15.75" hidden="false" customHeight="false" outlineLevel="0" collapsed="false">
      <c r="A564" s="10" t="n">
        <v>24</v>
      </c>
      <c r="B564" s="10" t="n">
        <v>790.01</v>
      </c>
      <c r="C564" s="10" t="s">
        <v>17</v>
      </c>
      <c r="D564" s="10" t="n">
        <v>5.5</v>
      </c>
      <c r="E564" s="10" t="n">
        <v>5.5</v>
      </c>
      <c r="F564" s="10" t="n">
        <v>0</v>
      </c>
      <c r="G564" s="10" t="n">
        <v>4</v>
      </c>
      <c r="H564" s="10" t="n">
        <v>24</v>
      </c>
      <c r="I564" s="10" t="s">
        <v>16</v>
      </c>
      <c r="J564" s="10" t="s">
        <v>38</v>
      </c>
      <c r="K564" s="10" t="s">
        <v>37</v>
      </c>
      <c r="L564" s="10" t="s">
        <v>41</v>
      </c>
    </row>
    <row r="565" customFormat="false" ht="15.75" hidden="false" customHeight="false" outlineLevel="0" collapsed="false">
      <c r="A565" s="10" t="n">
        <v>6</v>
      </c>
      <c r="B565" s="10" t="n">
        <v>349.01</v>
      </c>
      <c r="C565" s="10" t="s">
        <v>20</v>
      </c>
      <c r="D565" s="10" t="n">
        <v>0.5</v>
      </c>
      <c r="E565" s="10" t="n">
        <v>0.5</v>
      </c>
      <c r="F565" s="10" t="n">
        <v>0</v>
      </c>
      <c r="G565" s="10" t="n">
        <v>2</v>
      </c>
      <c r="H565" s="10" t="n">
        <v>29</v>
      </c>
      <c r="I565" s="10" t="s">
        <v>13</v>
      </c>
      <c r="J565" s="10" t="s">
        <v>38</v>
      </c>
      <c r="K565" s="10" t="s">
        <v>39</v>
      </c>
      <c r="L565" s="10" t="s">
        <v>42</v>
      </c>
    </row>
    <row r="566" customFormat="false" ht="15.75" hidden="false" customHeight="false" outlineLevel="0" collapsed="false">
      <c r="A566" s="10" t="n">
        <v>36</v>
      </c>
      <c r="B566" s="10" t="n">
        <v>6330.78</v>
      </c>
      <c r="C566" s="10" t="s">
        <v>15</v>
      </c>
      <c r="D566" s="10" t="n">
        <v>2.5</v>
      </c>
      <c r="E566" s="10" t="n">
        <v>2.5</v>
      </c>
      <c r="F566" s="10" t="n">
        <v>0</v>
      </c>
      <c r="G566" s="10" t="n">
        <v>1</v>
      </c>
      <c r="H566" s="10" t="n">
        <v>37</v>
      </c>
      <c r="I566" s="10" t="s">
        <v>16</v>
      </c>
      <c r="J566" s="10" t="s">
        <v>39</v>
      </c>
      <c r="K566" s="10" t="s">
        <v>43</v>
      </c>
      <c r="L566" s="10" t="s">
        <v>40</v>
      </c>
    </row>
    <row r="567" customFormat="false" ht="15.75" hidden="false" customHeight="false" outlineLevel="0" collapsed="false">
      <c r="A567" s="10" t="n">
        <v>24</v>
      </c>
      <c r="B567" s="10" t="n">
        <v>2407.83</v>
      </c>
      <c r="C567" s="10" t="s">
        <v>15</v>
      </c>
      <c r="D567" s="10" t="n">
        <v>2.5</v>
      </c>
      <c r="E567" s="10" t="n">
        <v>2.5</v>
      </c>
      <c r="F567" s="10" t="n">
        <v>0</v>
      </c>
      <c r="G567" s="10" t="n">
        <v>4</v>
      </c>
      <c r="H567" s="10" t="n">
        <v>37</v>
      </c>
      <c r="I567" s="10" t="s">
        <v>13</v>
      </c>
      <c r="J567" s="10" t="s">
        <v>39</v>
      </c>
      <c r="K567" s="10" t="s">
        <v>37</v>
      </c>
      <c r="L567" s="10" t="s">
        <v>40</v>
      </c>
    </row>
    <row r="568" customFormat="false" ht="15.75" hidden="false" customHeight="false" outlineLevel="0" collapsed="false">
      <c r="A568" s="10" t="n">
        <v>24</v>
      </c>
      <c r="B568" s="10" t="n">
        <v>793.58</v>
      </c>
      <c r="C568" s="10" t="s">
        <v>17</v>
      </c>
      <c r="D568" s="10" t="n">
        <v>5.5</v>
      </c>
      <c r="E568" s="10" t="n">
        <v>5</v>
      </c>
      <c r="F568" s="10" t="n">
        <v>1</v>
      </c>
      <c r="G568" s="10" t="n">
        <v>3</v>
      </c>
      <c r="H568" s="10" t="n">
        <v>23</v>
      </c>
      <c r="I568" s="10" t="s">
        <v>13</v>
      </c>
      <c r="J568" s="10" t="s">
        <v>38</v>
      </c>
      <c r="K568" s="10" t="s">
        <v>39</v>
      </c>
      <c r="L568" s="10" t="s">
        <v>41</v>
      </c>
    </row>
    <row r="569" customFormat="false" ht="15.75" hidden="false" customHeight="false" outlineLevel="0" collapsed="false">
      <c r="A569" s="10" t="n">
        <v>12</v>
      </c>
      <c r="B569" s="10" t="n">
        <v>701.09</v>
      </c>
      <c r="C569" s="10" t="s">
        <v>17</v>
      </c>
      <c r="D569" s="10" t="n">
        <v>5.5</v>
      </c>
      <c r="E569" s="10" t="n">
        <v>5.5</v>
      </c>
      <c r="F569" s="10" t="n">
        <v>0</v>
      </c>
      <c r="G569" s="10" t="n">
        <v>2</v>
      </c>
      <c r="H569" s="10" t="n">
        <v>36</v>
      </c>
      <c r="I569" s="10" t="s">
        <v>16</v>
      </c>
      <c r="J569" s="10" t="s">
        <v>39</v>
      </c>
      <c r="K569" s="10" t="s">
        <v>39</v>
      </c>
      <c r="L569" s="10" t="s">
        <v>41</v>
      </c>
    </row>
    <row r="570" customFormat="false" ht="15.75" hidden="false" customHeight="false" outlineLevel="0" collapsed="false">
      <c r="A570" s="10" t="n">
        <v>24</v>
      </c>
      <c r="B570" s="10" t="n">
        <v>1317.36</v>
      </c>
      <c r="C570" s="10" t="s">
        <v>12</v>
      </c>
      <c r="D570" s="10" t="n">
        <v>8</v>
      </c>
      <c r="E570" s="10" t="n">
        <v>8</v>
      </c>
      <c r="F570" s="10" t="n">
        <v>0</v>
      </c>
      <c r="G570" s="10" t="n">
        <v>2</v>
      </c>
      <c r="H570" s="10" t="n">
        <v>34</v>
      </c>
      <c r="I570" s="10" t="s">
        <v>13</v>
      </c>
      <c r="J570" s="10" t="s">
        <v>39</v>
      </c>
      <c r="K570" s="10" t="s">
        <v>39</v>
      </c>
      <c r="L570" s="10" t="s">
        <v>37</v>
      </c>
    </row>
    <row r="571" customFormat="false" ht="15.75" hidden="false" customHeight="false" outlineLevel="0" collapsed="false">
      <c r="A571" s="10" t="n">
        <v>48</v>
      </c>
      <c r="B571" s="10" t="n">
        <v>2033.27</v>
      </c>
      <c r="C571" s="10" t="s">
        <v>17</v>
      </c>
      <c r="D571" s="10" t="n">
        <v>5.5</v>
      </c>
      <c r="E571" s="10" t="n">
        <v>5.5</v>
      </c>
      <c r="F571" s="10" t="n">
        <v>0</v>
      </c>
      <c r="G571" s="10" t="n">
        <v>4</v>
      </c>
      <c r="H571" s="10" t="n">
        <v>41</v>
      </c>
      <c r="I571" s="10" t="s">
        <v>13</v>
      </c>
      <c r="J571" s="10" t="s">
        <v>39</v>
      </c>
      <c r="K571" s="10" t="s">
        <v>37</v>
      </c>
      <c r="L571" s="10" t="s">
        <v>41</v>
      </c>
    </row>
    <row r="572" customFormat="false" ht="15.75" hidden="false" customHeight="false" outlineLevel="0" collapsed="false">
      <c r="A572" s="10" t="n">
        <v>48</v>
      </c>
      <c r="B572" s="10" t="n">
        <v>3453.34</v>
      </c>
      <c r="C572" s="10" t="s">
        <v>15</v>
      </c>
      <c r="D572" s="10" t="n">
        <v>2.5</v>
      </c>
      <c r="E572" s="10" t="n">
        <v>2.5</v>
      </c>
      <c r="F572" s="10" t="n">
        <v>0</v>
      </c>
      <c r="G572" s="10" t="n">
        <v>3</v>
      </c>
      <c r="H572" s="10" t="n">
        <v>31</v>
      </c>
      <c r="I572" s="10" t="s">
        <v>16</v>
      </c>
      <c r="J572" s="10" t="s">
        <v>39</v>
      </c>
      <c r="K572" s="10" t="s">
        <v>39</v>
      </c>
      <c r="L572" s="10" t="s">
        <v>40</v>
      </c>
    </row>
    <row r="573" customFormat="false" ht="15.75" hidden="false" customHeight="false" outlineLevel="0" collapsed="false">
      <c r="A573" s="10" t="n">
        <v>24</v>
      </c>
      <c r="B573" s="10" t="n">
        <v>1652.57</v>
      </c>
      <c r="C573" s="10" t="s">
        <v>20</v>
      </c>
      <c r="D573" s="10" t="n">
        <v>0.5</v>
      </c>
      <c r="E573" s="10" t="n">
        <v>0.5</v>
      </c>
      <c r="F573" s="10" t="n">
        <v>0</v>
      </c>
      <c r="G573" s="10" t="n">
        <v>4</v>
      </c>
      <c r="H573" s="10" t="n">
        <v>23</v>
      </c>
      <c r="I573" s="10" t="s">
        <v>16</v>
      </c>
      <c r="J573" s="10" t="s">
        <v>38</v>
      </c>
      <c r="K573" s="10" t="s">
        <v>37</v>
      </c>
      <c r="L573" s="10" t="s">
        <v>42</v>
      </c>
    </row>
    <row r="574" customFormat="false" ht="15.75" hidden="false" customHeight="false" outlineLevel="0" collapsed="false">
      <c r="A574" s="10" t="n">
        <v>30</v>
      </c>
      <c r="B574" s="10" t="n">
        <v>3042.49</v>
      </c>
      <c r="C574" s="10" t="s">
        <v>17</v>
      </c>
      <c r="D574" s="10" t="n">
        <v>5.5</v>
      </c>
      <c r="E574" s="10" t="n">
        <v>5.5</v>
      </c>
      <c r="F574" s="10" t="n">
        <v>0</v>
      </c>
      <c r="G574" s="10" t="n">
        <v>3</v>
      </c>
      <c r="H574" s="10" t="n">
        <v>38</v>
      </c>
      <c r="I574" s="10" t="s">
        <v>13</v>
      </c>
      <c r="J574" s="10" t="s">
        <v>39</v>
      </c>
      <c r="K574" s="10" t="s">
        <v>39</v>
      </c>
      <c r="L574" s="10" t="s">
        <v>41</v>
      </c>
    </row>
    <row r="575" customFormat="false" ht="15.75" hidden="false" customHeight="false" outlineLevel="0" collapsed="false">
      <c r="A575" s="10" t="n">
        <v>24</v>
      </c>
      <c r="B575" s="10" t="n">
        <v>2776.26</v>
      </c>
      <c r="C575" s="10" t="s">
        <v>19</v>
      </c>
      <c r="D575" s="10" t="n">
        <v>0</v>
      </c>
      <c r="E575" s="10" t="n">
        <v>0</v>
      </c>
      <c r="F575" s="10" t="n">
        <v>0</v>
      </c>
      <c r="G575" s="10" t="n">
        <v>2</v>
      </c>
      <c r="H575" s="10" t="n">
        <v>26</v>
      </c>
      <c r="I575" s="10" t="s">
        <v>13</v>
      </c>
      <c r="J575" s="10" t="s">
        <v>38</v>
      </c>
      <c r="K575" s="10" t="s">
        <v>39</v>
      </c>
      <c r="L575" s="10" t="s">
        <v>19</v>
      </c>
    </row>
    <row r="576" customFormat="false" ht="15.75" hidden="false" customHeight="false" outlineLevel="0" collapsed="false">
      <c r="A576" s="10" t="n">
        <v>15</v>
      </c>
      <c r="B576" s="10" t="n">
        <v>411.87</v>
      </c>
      <c r="C576" s="10" t="s">
        <v>15</v>
      </c>
      <c r="D576" s="10" t="n">
        <v>2.5</v>
      </c>
      <c r="E576" s="10" t="n">
        <v>2.5</v>
      </c>
      <c r="F576" s="10" t="n">
        <v>0</v>
      </c>
      <c r="G576" s="10" t="n">
        <v>4</v>
      </c>
      <c r="H576" s="10" t="n">
        <v>22</v>
      </c>
      <c r="I576" s="10" t="s">
        <v>13</v>
      </c>
      <c r="J576" s="10" t="s">
        <v>38</v>
      </c>
      <c r="K576" s="10" t="s">
        <v>37</v>
      </c>
      <c r="L576" s="10" t="s">
        <v>40</v>
      </c>
    </row>
    <row r="577" customFormat="false" ht="15.75" hidden="false" customHeight="false" outlineLevel="0" collapsed="false">
      <c r="A577" s="10" t="n">
        <v>9</v>
      </c>
      <c r="B577" s="10" t="n">
        <v>552.9</v>
      </c>
      <c r="C577" s="10" t="s">
        <v>12</v>
      </c>
      <c r="D577" s="10" t="n">
        <v>8</v>
      </c>
      <c r="E577" s="10" t="n">
        <v>8</v>
      </c>
      <c r="F577" s="10" t="n">
        <v>0</v>
      </c>
      <c r="G577" s="10" t="n">
        <v>4</v>
      </c>
      <c r="H577" s="10" t="n">
        <v>27</v>
      </c>
      <c r="I577" s="10" t="s">
        <v>13</v>
      </c>
      <c r="J577" s="10" t="s">
        <v>38</v>
      </c>
      <c r="K577" s="10" t="s">
        <v>37</v>
      </c>
      <c r="L577" s="10" t="s">
        <v>37</v>
      </c>
    </row>
    <row r="578" customFormat="false" ht="15.75" hidden="false" customHeight="false" outlineLevel="0" collapsed="false">
      <c r="A578" s="10" t="n">
        <v>15</v>
      </c>
      <c r="B578" s="10" t="n">
        <v>1424.67</v>
      </c>
      <c r="C578" s="10" t="s">
        <v>17</v>
      </c>
      <c r="D578" s="10" t="n">
        <v>5.5</v>
      </c>
      <c r="E578" s="10" t="n">
        <v>5.5</v>
      </c>
      <c r="F578" s="10" t="n">
        <v>0</v>
      </c>
      <c r="G578" s="10" t="n">
        <v>2</v>
      </c>
      <c r="H578" s="10" t="n">
        <v>24</v>
      </c>
      <c r="I578" s="10" t="s">
        <v>13</v>
      </c>
      <c r="J578" s="10" t="s">
        <v>38</v>
      </c>
      <c r="K578" s="10" t="s">
        <v>39</v>
      </c>
      <c r="L578" s="10" t="s">
        <v>41</v>
      </c>
    </row>
    <row r="579" customFormat="false" ht="15.75" hidden="false" customHeight="false" outlineLevel="0" collapsed="false">
      <c r="A579" s="10" t="n">
        <v>12</v>
      </c>
      <c r="B579" s="10" t="n">
        <v>1497.23</v>
      </c>
      <c r="C579" s="10" t="s">
        <v>17</v>
      </c>
      <c r="D579" s="10" t="n">
        <v>5.5</v>
      </c>
      <c r="E579" s="10" t="n">
        <v>5.5</v>
      </c>
      <c r="F579" s="10" t="n">
        <v>0</v>
      </c>
      <c r="G579" s="10" t="n">
        <v>2</v>
      </c>
      <c r="H579" s="10" t="n">
        <v>27</v>
      </c>
      <c r="I579" s="10" t="s">
        <v>13</v>
      </c>
      <c r="J579" s="10" t="s">
        <v>38</v>
      </c>
      <c r="K579" s="10" t="s">
        <v>39</v>
      </c>
      <c r="L579" s="10" t="s">
        <v>41</v>
      </c>
    </row>
    <row r="580" customFormat="false" ht="15.75" hidden="false" customHeight="false" outlineLevel="0" collapsed="false">
      <c r="A580" s="10" t="n">
        <v>24</v>
      </c>
      <c r="B580" s="10" t="n">
        <v>984.7</v>
      </c>
      <c r="C580" s="10" t="s">
        <v>15</v>
      </c>
      <c r="D580" s="10" t="n">
        <v>2.5</v>
      </c>
      <c r="E580" s="10" t="n">
        <v>2.5</v>
      </c>
      <c r="F580" s="10" t="n">
        <v>0</v>
      </c>
      <c r="G580" s="10" t="n">
        <v>3</v>
      </c>
      <c r="H580" s="10" t="n">
        <v>33</v>
      </c>
      <c r="I580" s="10" t="s">
        <v>13</v>
      </c>
      <c r="J580" s="10" t="s">
        <v>39</v>
      </c>
      <c r="K580" s="10" t="s">
        <v>39</v>
      </c>
      <c r="L580" s="10" t="s">
        <v>40</v>
      </c>
    </row>
    <row r="581" customFormat="false" ht="15.75" hidden="false" customHeight="false" outlineLevel="0" collapsed="false">
      <c r="A581" s="10" t="n">
        <v>36</v>
      </c>
      <c r="B581" s="10" t="n">
        <v>1441.02</v>
      </c>
      <c r="C581" s="10" t="s">
        <v>20</v>
      </c>
      <c r="D581" s="10" t="n">
        <v>0.5</v>
      </c>
      <c r="E581" s="10" t="n">
        <v>0.5</v>
      </c>
      <c r="F581" s="10" t="n">
        <v>0</v>
      </c>
      <c r="G581" s="10" t="n">
        <v>4</v>
      </c>
      <c r="H581" s="10" t="n">
        <v>27</v>
      </c>
      <c r="I581" s="10" t="s">
        <v>16</v>
      </c>
      <c r="J581" s="10" t="s">
        <v>38</v>
      </c>
      <c r="K581" s="10" t="s">
        <v>37</v>
      </c>
      <c r="L581" s="10" t="s">
        <v>42</v>
      </c>
    </row>
    <row r="582" customFormat="false" ht="15.75" hidden="false" customHeight="false" outlineLevel="0" collapsed="false">
      <c r="A582" s="10" t="n">
        <v>24</v>
      </c>
      <c r="B582" s="10" t="n">
        <v>478.81</v>
      </c>
      <c r="C582" s="10" t="s">
        <v>20</v>
      </c>
      <c r="D582" s="10" t="n">
        <v>0.5</v>
      </c>
      <c r="E582" s="10" t="n">
        <v>0.5</v>
      </c>
      <c r="F582" s="10" t="n">
        <v>0</v>
      </c>
      <c r="G582" s="10" t="n">
        <v>4</v>
      </c>
      <c r="H582" s="10" t="n">
        <v>27</v>
      </c>
      <c r="I582" s="10" t="s">
        <v>13</v>
      </c>
      <c r="J582" s="10" t="s">
        <v>38</v>
      </c>
      <c r="K582" s="10" t="s">
        <v>37</v>
      </c>
      <c r="L582" s="10" t="s">
        <v>42</v>
      </c>
    </row>
    <row r="583" customFormat="false" ht="15.75" hidden="false" customHeight="false" outlineLevel="0" collapsed="false">
      <c r="A583" s="10" t="n">
        <v>18</v>
      </c>
      <c r="B583" s="10" t="n">
        <v>539.62</v>
      </c>
      <c r="C583" s="10" t="s">
        <v>12</v>
      </c>
      <c r="D583" s="10" t="n">
        <v>8</v>
      </c>
      <c r="E583" s="10" t="n">
        <v>8</v>
      </c>
      <c r="F583" s="10" t="n">
        <v>0</v>
      </c>
      <c r="G583" s="10" t="n">
        <v>3</v>
      </c>
      <c r="H583" s="10" t="n">
        <v>30</v>
      </c>
      <c r="I583" s="10" t="s">
        <v>16</v>
      </c>
      <c r="J583" s="10" t="s">
        <v>39</v>
      </c>
      <c r="K583" s="10" t="s">
        <v>39</v>
      </c>
      <c r="L583" s="10" t="s">
        <v>37</v>
      </c>
    </row>
    <row r="584" customFormat="false" ht="15.75" hidden="false" customHeight="false" outlineLevel="0" collapsed="false">
      <c r="A584" s="10" t="n">
        <v>12</v>
      </c>
      <c r="B584" s="10" t="n">
        <v>1596.36</v>
      </c>
      <c r="C584" s="10" t="s">
        <v>20</v>
      </c>
      <c r="D584" s="10" t="n">
        <v>0.5</v>
      </c>
      <c r="E584" s="10" t="n">
        <v>0.5</v>
      </c>
      <c r="F584" s="10" t="n">
        <v>0</v>
      </c>
      <c r="G584" s="10" t="n">
        <v>1</v>
      </c>
      <c r="H584" s="10" t="n">
        <v>49</v>
      </c>
      <c r="I584" s="10" t="s">
        <v>13</v>
      </c>
      <c r="J584" s="10" t="s">
        <v>39</v>
      </c>
      <c r="K584" s="10" t="s">
        <v>43</v>
      </c>
      <c r="L584" s="10" t="s">
        <v>42</v>
      </c>
    </row>
    <row r="585" customFormat="false" ht="15.75" hidden="false" customHeight="false" outlineLevel="0" collapsed="false">
      <c r="A585" s="10" t="n">
        <v>9</v>
      </c>
      <c r="B585" s="10" t="n">
        <v>709.27</v>
      </c>
      <c r="C585" s="10" t="s">
        <v>15</v>
      </c>
      <c r="D585" s="10" t="n">
        <v>2.5</v>
      </c>
      <c r="E585" s="10" t="n">
        <v>2.5</v>
      </c>
      <c r="F585" s="10" t="n">
        <v>0</v>
      </c>
      <c r="G585" s="10" t="n">
        <v>4</v>
      </c>
      <c r="H585" s="10" t="n">
        <v>26</v>
      </c>
      <c r="I585" s="10" t="s">
        <v>13</v>
      </c>
      <c r="J585" s="10" t="s">
        <v>38</v>
      </c>
      <c r="K585" s="10" t="s">
        <v>37</v>
      </c>
      <c r="L585" s="10" t="s">
        <v>40</v>
      </c>
    </row>
    <row r="586" customFormat="false" ht="15.75" hidden="false" customHeight="false" outlineLevel="0" collapsed="false">
      <c r="A586" s="10" t="n">
        <v>36</v>
      </c>
      <c r="B586" s="10" t="n">
        <v>1218.22</v>
      </c>
      <c r="C586" s="10" t="s">
        <v>20</v>
      </c>
      <c r="D586" s="10" t="n">
        <v>0.5</v>
      </c>
      <c r="E586" s="10" t="n">
        <v>0.5</v>
      </c>
      <c r="F586" s="10" t="n">
        <v>0</v>
      </c>
      <c r="G586" s="10" t="n">
        <v>4</v>
      </c>
      <c r="H586" s="10" t="n">
        <v>33</v>
      </c>
      <c r="I586" s="10" t="s">
        <v>16</v>
      </c>
      <c r="J586" s="10" t="s">
        <v>39</v>
      </c>
      <c r="K586" s="10" t="s">
        <v>37</v>
      </c>
      <c r="L586" s="10" t="s">
        <v>42</v>
      </c>
    </row>
    <row r="587" customFormat="false" ht="15.75" hidden="false" customHeight="false" outlineLevel="0" collapsed="false">
      <c r="A587" s="10" t="n">
        <v>12</v>
      </c>
      <c r="B587" s="10" t="n">
        <v>1089.96</v>
      </c>
      <c r="C587" s="10" t="s">
        <v>12</v>
      </c>
      <c r="D587" s="10" t="n">
        <v>8</v>
      </c>
      <c r="E587" s="10" t="n">
        <v>8</v>
      </c>
      <c r="F587" s="10" t="n">
        <v>0</v>
      </c>
      <c r="G587" s="10" t="n">
        <v>4</v>
      </c>
      <c r="H587" s="10" t="n">
        <v>52</v>
      </c>
      <c r="I587" s="10" t="s">
        <v>13</v>
      </c>
      <c r="J587" s="10" t="s">
        <v>36</v>
      </c>
      <c r="K587" s="10" t="s">
        <v>37</v>
      </c>
      <c r="L587" s="10" t="s">
        <v>37</v>
      </c>
    </row>
    <row r="588" customFormat="false" ht="15.75" hidden="false" customHeight="false" outlineLevel="0" collapsed="false">
      <c r="A588" s="10" t="n">
        <v>18</v>
      </c>
      <c r="B588" s="10" t="n">
        <v>1041.93</v>
      </c>
      <c r="C588" s="10" t="s">
        <v>15</v>
      </c>
      <c r="D588" s="10" t="n">
        <v>2.5</v>
      </c>
      <c r="E588" s="10" t="n">
        <v>2</v>
      </c>
      <c r="F588" s="10" t="n">
        <v>1</v>
      </c>
      <c r="G588" s="10" t="n">
        <v>1</v>
      </c>
      <c r="H588" s="10" t="n">
        <v>20</v>
      </c>
      <c r="I588" s="10" t="s">
        <v>16</v>
      </c>
      <c r="J588" s="10" t="s">
        <v>38</v>
      </c>
      <c r="K588" s="10" t="s">
        <v>43</v>
      </c>
      <c r="L588" s="10" t="s">
        <v>42</v>
      </c>
    </row>
    <row r="589" customFormat="false" ht="15.75" hidden="false" customHeight="false" outlineLevel="0" collapsed="false">
      <c r="A589" s="10" t="n">
        <v>9</v>
      </c>
      <c r="B589" s="10" t="n">
        <v>1430.29</v>
      </c>
      <c r="C589" s="10" t="s">
        <v>15</v>
      </c>
      <c r="D589" s="10" t="n">
        <v>2.5</v>
      </c>
      <c r="E589" s="10" t="n">
        <v>2.5</v>
      </c>
      <c r="F589" s="10" t="n">
        <v>0</v>
      </c>
      <c r="G589" s="10" t="n">
        <v>2</v>
      </c>
      <c r="H589" s="10" t="n">
        <v>36</v>
      </c>
      <c r="I589" s="10" t="s">
        <v>13</v>
      </c>
      <c r="J589" s="10" t="s">
        <v>39</v>
      </c>
      <c r="K589" s="10" t="s">
        <v>39</v>
      </c>
      <c r="L589" s="10" t="s">
        <v>40</v>
      </c>
    </row>
    <row r="590" customFormat="false" ht="15.75" hidden="false" customHeight="false" outlineLevel="0" collapsed="false">
      <c r="A590" s="10" t="n">
        <v>12</v>
      </c>
      <c r="B590" s="10" t="n">
        <v>658.68</v>
      </c>
      <c r="C590" s="10" t="s">
        <v>15</v>
      </c>
      <c r="D590" s="10" t="n">
        <v>2.5</v>
      </c>
      <c r="E590" s="10" t="n">
        <v>2.5</v>
      </c>
      <c r="F590" s="10" t="n">
        <v>0</v>
      </c>
      <c r="G590" s="10" t="n">
        <v>4</v>
      </c>
      <c r="H590" s="10" t="n">
        <v>21</v>
      </c>
      <c r="I590" s="10" t="s">
        <v>13</v>
      </c>
      <c r="J590" s="10" t="s">
        <v>38</v>
      </c>
      <c r="K590" s="10" t="s">
        <v>37</v>
      </c>
      <c r="L590" s="10" t="s">
        <v>40</v>
      </c>
    </row>
    <row r="591" customFormat="false" ht="15.75" hidden="false" customHeight="false" outlineLevel="0" collapsed="false">
      <c r="A591" s="10" t="n">
        <v>18</v>
      </c>
      <c r="B591" s="10" t="n">
        <v>621.89</v>
      </c>
      <c r="C591" s="10" t="s">
        <v>15</v>
      </c>
      <c r="D591" s="10" t="n">
        <v>2.5</v>
      </c>
      <c r="E591" s="10" t="n">
        <v>2.5</v>
      </c>
      <c r="F591" s="10" t="n">
        <v>0</v>
      </c>
      <c r="G591" s="10" t="n">
        <v>4</v>
      </c>
      <c r="H591" s="10" t="n">
        <v>47</v>
      </c>
      <c r="I591" s="10" t="s">
        <v>16</v>
      </c>
      <c r="J591" s="10" t="s">
        <v>39</v>
      </c>
      <c r="K591" s="10" t="s">
        <v>37</v>
      </c>
      <c r="L591" s="10" t="s">
        <v>40</v>
      </c>
    </row>
    <row r="592" customFormat="false" ht="15.75" hidden="false" customHeight="false" outlineLevel="0" collapsed="false">
      <c r="A592" s="10" t="n">
        <v>12</v>
      </c>
      <c r="B592" s="10" t="n">
        <v>1147.71</v>
      </c>
      <c r="C592" s="10" t="s">
        <v>12</v>
      </c>
      <c r="D592" s="10" t="n">
        <v>8</v>
      </c>
      <c r="E592" s="10" t="n">
        <v>8</v>
      </c>
      <c r="F592" s="10" t="n">
        <v>0</v>
      </c>
      <c r="G592" s="10" t="n">
        <v>3</v>
      </c>
      <c r="H592" s="10" t="n">
        <v>60</v>
      </c>
      <c r="I592" s="10" t="s">
        <v>16</v>
      </c>
      <c r="J592" s="10" t="s">
        <v>36</v>
      </c>
      <c r="K592" s="10" t="s">
        <v>39</v>
      </c>
      <c r="L592" s="10" t="s">
        <v>37</v>
      </c>
    </row>
    <row r="593" customFormat="false" ht="15.75" hidden="false" customHeight="false" outlineLevel="0" collapsed="false">
      <c r="A593" s="10" t="n">
        <v>12</v>
      </c>
      <c r="B593" s="10" t="n">
        <v>196.74</v>
      </c>
      <c r="C593" s="10" t="s">
        <v>17</v>
      </c>
      <c r="D593" s="10" t="n">
        <v>5.5</v>
      </c>
      <c r="E593" s="10" t="n">
        <v>5.5</v>
      </c>
      <c r="F593" s="10" t="n">
        <v>0</v>
      </c>
      <c r="G593" s="10" t="n">
        <v>4</v>
      </c>
      <c r="H593" s="10" t="n">
        <v>58</v>
      </c>
      <c r="I593" s="10" t="s">
        <v>13</v>
      </c>
      <c r="J593" s="10" t="s">
        <v>36</v>
      </c>
      <c r="K593" s="10" t="s">
        <v>37</v>
      </c>
      <c r="L593" s="10" t="s">
        <v>41</v>
      </c>
    </row>
    <row r="594" customFormat="false" ht="15.75" hidden="false" customHeight="false" outlineLevel="0" collapsed="false">
      <c r="A594" s="10" t="n">
        <v>24</v>
      </c>
      <c r="B594" s="10" t="n">
        <v>1004.12</v>
      </c>
      <c r="C594" s="10" t="s">
        <v>15</v>
      </c>
      <c r="D594" s="10" t="n">
        <v>2.5</v>
      </c>
      <c r="E594" s="10" t="n">
        <v>2.5</v>
      </c>
      <c r="F594" s="10" t="n">
        <v>0</v>
      </c>
      <c r="G594" s="10" t="n">
        <v>4</v>
      </c>
      <c r="H594" s="10" t="n">
        <v>42</v>
      </c>
      <c r="I594" s="10" t="s">
        <v>13</v>
      </c>
      <c r="J594" s="10" t="s">
        <v>39</v>
      </c>
      <c r="K594" s="10" t="s">
        <v>37</v>
      </c>
      <c r="L594" s="10" t="s">
        <v>40</v>
      </c>
    </row>
    <row r="595" customFormat="false" ht="15.75" hidden="false" customHeight="false" outlineLevel="0" collapsed="false">
      <c r="A595" s="10" t="n">
        <v>21</v>
      </c>
      <c r="B595" s="10" t="n">
        <v>803.29</v>
      </c>
      <c r="C595" s="10" t="s">
        <v>12</v>
      </c>
      <c r="D595" s="10" t="n">
        <v>8</v>
      </c>
      <c r="E595" s="10" t="n">
        <v>8</v>
      </c>
      <c r="F595" s="10" t="n">
        <v>0</v>
      </c>
      <c r="G595" s="10" t="n">
        <v>4</v>
      </c>
      <c r="H595" s="10" t="n">
        <v>36</v>
      </c>
      <c r="I595" s="10" t="s">
        <v>13</v>
      </c>
      <c r="J595" s="10" t="s">
        <v>39</v>
      </c>
      <c r="K595" s="10" t="s">
        <v>37</v>
      </c>
      <c r="L595" s="10" t="s">
        <v>37</v>
      </c>
    </row>
    <row r="596" customFormat="false" ht="15.75" hidden="false" customHeight="false" outlineLevel="0" collapsed="false">
      <c r="A596" s="10" t="n">
        <v>24</v>
      </c>
      <c r="B596" s="10" t="n">
        <v>1388.9</v>
      </c>
      <c r="C596" s="10" t="s">
        <v>15</v>
      </c>
      <c r="D596" s="10" t="n">
        <v>2.5</v>
      </c>
      <c r="E596" s="10" t="n">
        <v>2</v>
      </c>
      <c r="F596" s="10" t="n">
        <v>1</v>
      </c>
      <c r="G596" s="10" t="n">
        <v>3</v>
      </c>
      <c r="H596" s="10" t="n">
        <v>20</v>
      </c>
      <c r="I596" s="10" t="s">
        <v>16</v>
      </c>
      <c r="J596" s="10" t="s">
        <v>38</v>
      </c>
      <c r="K596" s="10" t="s">
        <v>39</v>
      </c>
      <c r="L596" s="10" t="s">
        <v>42</v>
      </c>
    </row>
    <row r="597" customFormat="false" ht="15.75" hidden="false" customHeight="false" outlineLevel="0" collapsed="false">
      <c r="A597" s="10" t="n">
        <v>24</v>
      </c>
      <c r="B597" s="10" t="n">
        <v>693.94</v>
      </c>
      <c r="C597" s="10" t="s">
        <v>12</v>
      </c>
      <c r="D597" s="10" t="n">
        <v>8</v>
      </c>
      <c r="E597" s="10" t="n">
        <v>8</v>
      </c>
      <c r="F597" s="10" t="n">
        <v>0</v>
      </c>
      <c r="G597" s="10" t="n">
        <v>4</v>
      </c>
      <c r="H597" s="10" t="n">
        <v>40</v>
      </c>
      <c r="I597" s="10" t="s">
        <v>16</v>
      </c>
      <c r="J597" s="10" t="s">
        <v>39</v>
      </c>
      <c r="K597" s="10" t="s">
        <v>37</v>
      </c>
      <c r="L597" s="10" t="s">
        <v>37</v>
      </c>
    </row>
    <row r="598" customFormat="false" ht="15.75" hidden="false" customHeight="false" outlineLevel="0" collapsed="false">
      <c r="A598" s="10" t="n">
        <v>6</v>
      </c>
      <c r="B598" s="10" t="n">
        <v>475.74</v>
      </c>
      <c r="C598" s="10" t="s">
        <v>20</v>
      </c>
      <c r="D598" s="10" t="n">
        <v>0.5</v>
      </c>
      <c r="E598" s="10" t="n">
        <v>0.5</v>
      </c>
      <c r="F598" s="10" t="n">
        <v>0</v>
      </c>
      <c r="G598" s="10" t="n">
        <v>1</v>
      </c>
      <c r="H598" s="10" t="n">
        <v>32</v>
      </c>
      <c r="I598" s="10" t="s">
        <v>16</v>
      </c>
      <c r="J598" s="10" t="s">
        <v>39</v>
      </c>
      <c r="K598" s="10" t="s">
        <v>43</v>
      </c>
      <c r="L598" s="10" t="s">
        <v>42</v>
      </c>
    </row>
    <row r="599" customFormat="false" ht="15.75" hidden="false" customHeight="false" outlineLevel="0" collapsed="false">
      <c r="A599" s="10" t="n">
        <v>24</v>
      </c>
      <c r="B599" s="10" t="n">
        <v>736.86</v>
      </c>
      <c r="C599" s="10" t="s">
        <v>17</v>
      </c>
      <c r="D599" s="10" t="n">
        <v>5.5</v>
      </c>
      <c r="E599" s="10" t="n">
        <v>5</v>
      </c>
      <c r="F599" s="10" t="n">
        <v>1</v>
      </c>
      <c r="G599" s="10" t="n">
        <v>4</v>
      </c>
      <c r="H599" s="10" t="n">
        <v>23</v>
      </c>
      <c r="I599" s="10" t="s">
        <v>16</v>
      </c>
      <c r="J599" s="10" t="s">
        <v>38</v>
      </c>
      <c r="K599" s="10" t="s">
        <v>37</v>
      </c>
      <c r="L599" s="10" t="s">
        <v>41</v>
      </c>
    </row>
    <row r="600" customFormat="false" ht="15.75" hidden="false" customHeight="false" outlineLevel="0" collapsed="false">
      <c r="A600" s="10" t="n">
        <v>24</v>
      </c>
      <c r="B600" s="10" t="n">
        <v>2167.15</v>
      </c>
      <c r="C600" s="10" t="s">
        <v>15</v>
      </c>
      <c r="D600" s="10" t="n">
        <v>2.5</v>
      </c>
      <c r="E600" s="10" t="n">
        <v>2.5</v>
      </c>
      <c r="F600" s="10" t="n">
        <v>0</v>
      </c>
      <c r="G600" s="10" t="n">
        <v>1</v>
      </c>
      <c r="H600" s="10" t="n">
        <v>36</v>
      </c>
      <c r="I600" s="10" t="s">
        <v>16</v>
      </c>
      <c r="J600" s="10" t="s">
        <v>39</v>
      </c>
      <c r="K600" s="10" t="s">
        <v>43</v>
      </c>
      <c r="L600" s="10" t="s">
        <v>40</v>
      </c>
    </row>
    <row r="601" customFormat="false" ht="15.75" hidden="false" customHeight="false" outlineLevel="0" collapsed="false">
      <c r="A601" s="10" t="n">
        <v>18</v>
      </c>
      <c r="B601" s="10" t="n">
        <v>1418.03</v>
      </c>
      <c r="C601" s="10" t="s">
        <v>17</v>
      </c>
      <c r="D601" s="10" t="n">
        <v>5.5</v>
      </c>
      <c r="E601" s="10" t="n">
        <v>5.5</v>
      </c>
      <c r="F601" s="10" t="n">
        <v>0</v>
      </c>
      <c r="G601" s="10" t="n">
        <v>2</v>
      </c>
      <c r="H601" s="10" t="n">
        <v>31</v>
      </c>
      <c r="I601" s="10" t="s">
        <v>16</v>
      </c>
      <c r="J601" s="10" t="s">
        <v>39</v>
      </c>
      <c r="K601" s="10" t="s">
        <v>39</v>
      </c>
      <c r="L601" s="10" t="s">
        <v>41</v>
      </c>
    </row>
    <row r="602" customFormat="false" ht="15.75" hidden="false" customHeight="false" outlineLevel="0" collapsed="false">
      <c r="A602" s="10" t="n">
        <v>24</v>
      </c>
      <c r="B602" s="10" t="n">
        <v>1973.99</v>
      </c>
      <c r="C602" s="10" t="s">
        <v>15</v>
      </c>
      <c r="D602" s="10" t="n">
        <v>2.5</v>
      </c>
      <c r="E602" s="10" t="n">
        <v>2.5</v>
      </c>
      <c r="F602" s="10" t="n">
        <v>0</v>
      </c>
      <c r="G602" s="10" t="n">
        <v>1</v>
      </c>
      <c r="H602" s="10" t="n">
        <v>32</v>
      </c>
      <c r="I602" s="10" t="s">
        <v>13</v>
      </c>
      <c r="J602" s="10" t="s">
        <v>39</v>
      </c>
      <c r="K602" s="10" t="s">
        <v>43</v>
      </c>
      <c r="L602" s="10" t="s">
        <v>40</v>
      </c>
    </row>
    <row r="603" customFormat="false" ht="15.75" hidden="false" customHeight="false" outlineLevel="0" collapsed="false">
      <c r="A603" s="10" t="n">
        <v>7</v>
      </c>
      <c r="B603" s="10" t="n">
        <v>1190.12</v>
      </c>
      <c r="C603" s="10" t="s">
        <v>20</v>
      </c>
      <c r="D603" s="10" t="n">
        <v>0.5</v>
      </c>
      <c r="E603" s="10" t="n">
        <v>0.5</v>
      </c>
      <c r="F603" s="10" t="n">
        <v>0</v>
      </c>
      <c r="G603" s="10" t="n">
        <v>1</v>
      </c>
      <c r="H603" s="10" t="n">
        <v>45</v>
      </c>
      <c r="I603" s="10" t="s">
        <v>13</v>
      </c>
      <c r="J603" s="10" t="s">
        <v>39</v>
      </c>
      <c r="K603" s="10" t="s">
        <v>43</v>
      </c>
      <c r="L603" s="10" t="s">
        <v>42</v>
      </c>
    </row>
    <row r="604" customFormat="false" ht="15.75" hidden="false" customHeight="false" outlineLevel="0" collapsed="false">
      <c r="A604" s="10" t="n">
        <v>9</v>
      </c>
      <c r="B604" s="10" t="n">
        <v>469.1</v>
      </c>
      <c r="C604" s="10" t="s">
        <v>15</v>
      </c>
      <c r="D604" s="10" t="n">
        <v>2.5</v>
      </c>
      <c r="E604" s="10" t="n">
        <v>2.5</v>
      </c>
      <c r="F604" s="10" t="n">
        <v>0</v>
      </c>
      <c r="G604" s="10" t="n">
        <v>4</v>
      </c>
      <c r="H604" s="10" t="n">
        <v>30</v>
      </c>
      <c r="I604" s="10" t="s">
        <v>16</v>
      </c>
      <c r="J604" s="10" t="s">
        <v>39</v>
      </c>
      <c r="K604" s="10" t="s">
        <v>37</v>
      </c>
      <c r="L604" s="10" t="s">
        <v>40</v>
      </c>
    </row>
    <row r="605" customFormat="false" ht="15.75" hidden="false" customHeight="false" outlineLevel="0" collapsed="false">
      <c r="A605" s="10" t="n">
        <v>24</v>
      </c>
      <c r="B605" s="10" t="n">
        <v>938.71</v>
      </c>
      <c r="C605" s="10" t="s">
        <v>17</v>
      </c>
      <c r="D605" s="10" t="n">
        <v>5.5</v>
      </c>
      <c r="E605" s="10" t="n">
        <v>5.5</v>
      </c>
      <c r="F605" s="10" t="n">
        <v>0</v>
      </c>
      <c r="G605" s="10" t="n">
        <v>4</v>
      </c>
      <c r="H605" s="10" t="n">
        <v>34</v>
      </c>
      <c r="I605" s="10" t="s">
        <v>16</v>
      </c>
      <c r="J605" s="10" t="s">
        <v>39</v>
      </c>
      <c r="K605" s="10" t="s">
        <v>37</v>
      </c>
      <c r="L605" s="10" t="s">
        <v>41</v>
      </c>
    </row>
    <row r="606" customFormat="false" ht="15.75" hidden="false" customHeight="false" outlineLevel="0" collapsed="false">
      <c r="A606" s="10" t="n">
        <v>36</v>
      </c>
      <c r="B606" s="10" t="n">
        <v>1711.34</v>
      </c>
      <c r="C606" s="10" t="s">
        <v>15</v>
      </c>
      <c r="D606" s="10" t="n">
        <v>2.5</v>
      </c>
      <c r="E606" s="10" t="n">
        <v>2.5</v>
      </c>
      <c r="F606" s="10" t="n">
        <v>0</v>
      </c>
      <c r="G606" s="10" t="n">
        <v>4</v>
      </c>
      <c r="H606" s="10" t="n">
        <v>28</v>
      </c>
      <c r="I606" s="10" t="s">
        <v>16</v>
      </c>
      <c r="J606" s="10" t="s">
        <v>38</v>
      </c>
      <c r="K606" s="10" t="s">
        <v>37</v>
      </c>
      <c r="L606" s="10" t="s">
        <v>40</v>
      </c>
    </row>
    <row r="607" customFormat="false" ht="15.75" hidden="false" customHeight="false" outlineLevel="0" collapsed="false">
      <c r="A607" s="10" t="n">
        <v>10</v>
      </c>
      <c r="B607" s="10" t="n">
        <v>651.53</v>
      </c>
      <c r="C607" s="10" t="s">
        <v>20</v>
      </c>
      <c r="D607" s="10" t="n">
        <v>0.5</v>
      </c>
      <c r="E607" s="10" t="n">
        <v>0.5</v>
      </c>
      <c r="F607" s="10" t="n">
        <v>0</v>
      </c>
      <c r="G607" s="10" t="n">
        <v>4</v>
      </c>
      <c r="H607" s="10" t="n">
        <v>23</v>
      </c>
      <c r="I607" s="10" t="s">
        <v>13</v>
      </c>
      <c r="J607" s="10" t="s">
        <v>38</v>
      </c>
      <c r="K607" s="10" t="s">
        <v>37</v>
      </c>
      <c r="L607" s="10" t="s">
        <v>42</v>
      </c>
    </row>
    <row r="608" customFormat="false" ht="15.75" hidden="false" customHeight="false" outlineLevel="0" collapsed="false">
      <c r="A608" s="10" t="n">
        <v>24</v>
      </c>
      <c r="B608" s="10" t="n">
        <v>1445.11</v>
      </c>
      <c r="C608" s="10" t="s">
        <v>15</v>
      </c>
      <c r="D608" s="10" t="n">
        <v>2.5</v>
      </c>
      <c r="E608" s="10" t="n">
        <v>2.5</v>
      </c>
      <c r="F608" s="10" t="n">
        <v>0</v>
      </c>
      <c r="G608" s="10" t="n">
        <v>4</v>
      </c>
      <c r="H608" s="10" t="n">
        <v>22</v>
      </c>
      <c r="I608" s="10" t="s">
        <v>13</v>
      </c>
      <c r="J608" s="10" t="s">
        <v>38</v>
      </c>
      <c r="K608" s="10" t="s">
        <v>37</v>
      </c>
      <c r="L608" s="10" t="s">
        <v>40</v>
      </c>
    </row>
    <row r="609" customFormat="false" ht="15.75" hidden="false" customHeight="false" outlineLevel="0" collapsed="false">
      <c r="A609" s="10" t="n">
        <v>24</v>
      </c>
      <c r="B609" s="10" t="n">
        <v>2312.79</v>
      </c>
      <c r="C609" s="10" t="s">
        <v>15</v>
      </c>
      <c r="D609" s="10" t="n">
        <v>2.5</v>
      </c>
      <c r="E609" s="10" t="n">
        <v>2.5</v>
      </c>
      <c r="F609" s="10" t="n">
        <v>0</v>
      </c>
      <c r="G609" s="10" t="n">
        <v>3</v>
      </c>
      <c r="H609" s="10" t="n">
        <v>74</v>
      </c>
      <c r="I609" s="10" t="s">
        <v>13</v>
      </c>
      <c r="J609" s="10" t="s">
        <v>36</v>
      </c>
      <c r="K609" s="10" t="s">
        <v>39</v>
      </c>
      <c r="L609" s="10" t="s">
        <v>40</v>
      </c>
    </row>
    <row r="610" customFormat="false" ht="15.75" hidden="false" customHeight="false" outlineLevel="0" collapsed="false">
      <c r="A610" s="10" t="n">
        <v>36</v>
      </c>
      <c r="B610" s="10" t="n">
        <v>1364.88</v>
      </c>
      <c r="C610" s="10" t="s">
        <v>15</v>
      </c>
      <c r="D610" s="10" t="n">
        <v>2.5</v>
      </c>
      <c r="E610" s="10" t="n">
        <v>2.5</v>
      </c>
      <c r="F610" s="10" t="n">
        <v>0</v>
      </c>
      <c r="G610" s="10" t="n">
        <v>4</v>
      </c>
      <c r="H610" s="10" t="n">
        <v>50</v>
      </c>
      <c r="I610" s="10" t="s">
        <v>16</v>
      </c>
      <c r="J610" s="10" t="s">
        <v>39</v>
      </c>
      <c r="K610" s="10" t="s">
        <v>37</v>
      </c>
      <c r="L610" s="10" t="s">
        <v>40</v>
      </c>
    </row>
    <row r="611" customFormat="false" ht="15.75" hidden="false" customHeight="false" outlineLevel="0" collapsed="false">
      <c r="A611" s="10" t="n">
        <v>18</v>
      </c>
      <c r="B611" s="10" t="n">
        <v>1048.06</v>
      </c>
      <c r="C611" s="10" t="s">
        <v>20</v>
      </c>
      <c r="D611" s="10" t="n">
        <v>0.5</v>
      </c>
      <c r="E611" s="10" t="n">
        <v>0.5</v>
      </c>
      <c r="F611" s="10" t="n">
        <v>0</v>
      </c>
      <c r="G611" s="10" t="n">
        <v>4</v>
      </c>
      <c r="H611" s="10" t="n">
        <v>33</v>
      </c>
      <c r="I611" s="10" t="s">
        <v>13</v>
      </c>
      <c r="J611" s="10" t="s">
        <v>39</v>
      </c>
      <c r="K611" s="10" t="s">
        <v>37</v>
      </c>
      <c r="L611" s="10" t="s">
        <v>42</v>
      </c>
    </row>
    <row r="612" customFormat="false" ht="15.75" hidden="false" customHeight="false" outlineLevel="0" collapsed="false">
      <c r="A612" s="10" t="n">
        <v>15</v>
      </c>
      <c r="B612" s="10" t="n">
        <v>664.3</v>
      </c>
      <c r="C612" s="10" t="s">
        <v>12</v>
      </c>
      <c r="D612" s="10" t="n">
        <v>8</v>
      </c>
      <c r="E612" s="10" t="n">
        <v>8</v>
      </c>
      <c r="F612" s="10" t="n">
        <v>0</v>
      </c>
      <c r="G612" s="10" t="n">
        <v>4</v>
      </c>
      <c r="H612" s="10" t="n">
        <v>45</v>
      </c>
      <c r="I612" s="10" t="s">
        <v>13</v>
      </c>
      <c r="J612" s="10" t="s">
        <v>39</v>
      </c>
      <c r="K612" s="10" t="s">
        <v>37</v>
      </c>
      <c r="L612" s="10" t="s">
        <v>37</v>
      </c>
    </row>
    <row r="613" customFormat="false" ht="15.75" hidden="false" customHeight="false" outlineLevel="0" collapsed="false">
      <c r="A613" s="10" t="n">
        <v>12</v>
      </c>
      <c r="B613" s="10" t="n">
        <v>378.65</v>
      </c>
      <c r="C613" s="10" t="s">
        <v>19</v>
      </c>
      <c r="D613" s="10" t="n">
        <v>0</v>
      </c>
      <c r="E613" s="10" t="n">
        <v>0</v>
      </c>
      <c r="F613" s="10" t="n">
        <v>0</v>
      </c>
      <c r="G613" s="10" t="n">
        <v>4</v>
      </c>
      <c r="H613" s="10" t="n">
        <v>22</v>
      </c>
      <c r="I613" s="10" t="s">
        <v>16</v>
      </c>
      <c r="J613" s="10" t="s">
        <v>38</v>
      </c>
      <c r="K613" s="10" t="s">
        <v>37</v>
      </c>
      <c r="L613" s="10" t="s">
        <v>19</v>
      </c>
    </row>
    <row r="614" customFormat="false" ht="15.75" hidden="false" customHeight="false" outlineLevel="0" collapsed="false">
      <c r="A614" s="10" t="n">
        <v>10</v>
      </c>
      <c r="B614" s="10" t="n">
        <v>633.64</v>
      </c>
      <c r="C614" s="10" t="s">
        <v>12</v>
      </c>
      <c r="D614" s="10" t="n">
        <v>8</v>
      </c>
      <c r="E614" s="10" t="n">
        <v>8</v>
      </c>
      <c r="F614" s="10" t="n">
        <v>0</v>
      </c>
      <c r="G614" s="10" t="n">
        <v>1</v>
      </c>
      <c r="H614" s="10" t="n">
        <v>48</v>
      </c>
      <c r="I614" s="10" t="s">
        <v>16</v>
      </c>
      <c r="J614" s="10" t="s">
        <v>39</v>
      </c>
      <c r="K614" s="10" t="s">
        <v>43</v>
      </c>
      <c r="L614" s="10" t="s">
        <v>37</v>
      </c>
    </row>
    <row r="615" customFormat="false" ht="15.75" hidden="false" customHeight="false" outlineLevel="0" collapsed="false">
      <c r="A615" s="10" t="n">
        <v>21</v>
      </c>
      <c r="B615" s="10" t="n">
        <v>1715.43</v>
      </c>
      <c r="C615" s="10" t="s">
        <v>20</v>
      </c>
      <c r="D615" s="10" t="n">
        <v>0.5</v>
      </c>
      <c r="E615" s="10" t="n">
        <v>0.5</v>
      </c>
      <c r="F615" s="10" t="n">
        <v>0</v>
      </c>
      <c r="G615" s="10" t="n">
        <v>4</v>
      </c>
      <c r="H615" s="10" t="n">
        <v>29</v>
      </c>
      <c r="I615" s="10" t="s">
        <v>13</v>
      </c>
      <c r="J615" s="10" t="s">
        <v>38</v>
      </c>
      <c r="K615" s="10" t="s">
        <v>37</v>
      </c>
      <c r="L615" s="10" t="s">
        <v>42</v>
      </c>
    </row>
    <row r="616" customFormat="false" ht="15.75" hidden="false" customHeight="false" outlineLevel="0" collapsed="false">
      <c r="A616" s="10" t="n">
        <v>24</v>
      </c>
      <c r="B616" s="10" t="n">
        <v>1855.95</v>
      </c>
      <c r="C616" s="10" t="s">
        <v>15</v>
      </c>
      <c r="D616" s="10" t="n">
        <v>2.5</v>
      </c>
      <c r="E616" s="10" t="n">
        <v>2.5</v>
      </c>
      <c r="F616" s="10" t="n">
        <v>0</v>
      </c>
      <c r="G616" s="10" t="n">
        <v>1</v>
      </c>
      <c r="H616" s="10" t="n">
        <v>22</v>
      </c>
      <c r="I616" s="10" t="s">
        <v>13</v>
      </c>
      <c r="J616" s="10" t="s">
        <v>38</v>
      </c>
      <c r="K616" s="10" t="s">
        <v>43</v>
      </c>
      <c r="L616" s="10" t="s">
        <v>40</v>
      </c>
    </row>
    <row r="617" customFormat="false" ht="15.75" hidden="false" customHeight="false" outlineLevel="0" collapsed="false">
      <c r="A617" s="10" t="n">
        <v>18</v>
      </c>
      <c r="B617" s="10" t="n">
        <v>923.89</v>
      </c>
      <c r="C617" s="10" t="s">
        <v>17</v>
      </c>
      <c r="D617" s="10" t="n">
        <v>5.5</v>
      </c>
      <c r="E617" s="10" t="n">
        <v>4</v>
      </c>
      <c r="F617" s="10" t="n">
        <v>1</v>
      </c>
      <c r="G617" s="10" t="n">
        <v>4</v>
      </c>
      <c r="H617" s="10" t="n">
        <v>22</v>
      </c>
      <c r="I617" s="10" t="s">
        <v>16</v>
      </c>
      <c r="J617" s="10" t="s">
        <v>38</v>
      </c>
      <c r="K617" s="10" t="s">
        <v>37</v>
      </c>
      <c r="L617" s="10" t="s">
        <v>41</v>
      </c>
    </row>
    <row r="618" customFormat="false" ht="15.75" hidden="false" customHeight="false" outlineLevel="0" collapsed="false">
      <c r="A618" s="10" t="n">
        <v>48</v>
      </c>
      <c r="B618" s="10" t="n">
        <v>6236.24</v>
      </c>
      <c r="C618" s="10" t="s">
        <v>15</v>
      </c>
      <c r="D618" s="10" t="n">
        <v>2.5</v>
      </c>
      <c r="E618" s="10" t="n">
        <v>2.5</v>
      </c>
      <c r="F618" s="10" t="n">
        <v>0</v>
      </c>
      <c r="G618" s="10" t="n">
        <v>2</v>
      </c>
      <c r="H618" s="10" t="n">
        <v>48</v>
      </c>
      <c r="I618" s="10" t="s">
        <v>13</v>
      </c>
      <c r="J618" s="10" t="s">
        <v>39</v>
      </c>
      <c r="K618" s="10" t="s">
        <v>39</v>
      </c>
      <c r="L618" s="10" t="s">
        <v>40</v>
      </c>
    </row>
    <row r="619" customFormat="false" ht="15.75" hidden="false" customHeight="false" outlineLevel="0" collapsed="false">
      <c r="A619" s="10" t="n">
        <v>60</v>
      </c>
      <c r="B619" s="10" t="n">
        <v>4679.23</v>
      </c>
      <c r="C619" s="10" t="s">
        <v>15</v>
      </c>
      <c r="D619" s="10" t="n">
        <v>2.5</v>
      </c>
      <c r="E619" s="10" t="n">
        <v>2.5</v>
      </c>
      <c r="F619" s="10" t="n">
        <v>0</v>
      </c>
      <c r="G619" s="10" t="n">
        <v>2</v>
      </c>
      <c r="H619" s="10" t="n">
        <v>27</v>
      </c>
      <c r="I619" s="10" t="s">
        <v>13</v>
      </c>
      <c r="J619" s="10" t="s">
        <v>38</v>
      </c>
      <c r="K619" s="10" t="s">
        <v>39</v>
      </c>
      <c r="L619" s="10" t="s">
        <v>40</v>
      </c>
    </row>
    <row r="620" customFormat="false" ht="15.75" hidden="false" customHeight="false" outlineLevel="0" collapsed="false">
      <c r="A620" s="10" t="n">
        <v>6</v>
      </c>
      <c r="B620" s="10" t="n">
        <v>1878.44</v>
      </c>
      <c r="C620" s="10" t="s">
        <v>15</v>
      </c>
      <c r="D620" s="10" t="n">
        <v>2.5</v>
      </c>
      <c r="E620" s="10" t="n">
        <v>2.5</v>
      </c>
      <c r="F620" s="10" t="n">
        <v>0</v>
      </c>
      <c r="G620" s="10" t="n">
        <v>1</v>
      </c>
      <c r="H620" s="10" t="n">
        <v>37</v>
      </c>
      <c r="I620" s="10" t="s">
        <v>13</v>
      </c>
      <c r="J620" s="10" t="s">
        <v>39</v>
      </c>
      <c r="K620" s="10" t="s">
        <v>43</v>
      </c>
      <c r="L620" s="10" t="s">
        <v>40</v>
      </c>
    </row>
    <row r="621" customFormat="false" ht="15.75" hidden="false" customHeight="false" outlineLevel="0" collapsed="false">
      <c r="A621" s="10" t="n">
        <v>30</v>
      </c>
      <c r="B621" s="10" t="n">
        <v>1758.35</v>
      </c>
      <c r="C621" s="10" t="s">
        <v>15</v>
      </c>
      <c r="D621" s="10" t="n">
        <v>2.5</v>
      </c>
      <c r="E621" s="10" t="n">
        <v>2.5</v>
      </c>
      <c r="F621" s="10" t="n">
        <v>0</v>
      </c>
      <c r="G621" s="10" t="n">
        <v>2</v>
      </c>
      <c r="H621" s="10" t="n">
        <v>21</v>
      </c>
      <c r="I621" s="10" t="s">
        <v>16</v>
      </c>
      <c r="J621" s="10" t="s">
        <v>38</v>
      </c>
      <c r="K621" s="10" t="s">
        <v>39</v>
      </c>
      <c r="L621" s="10" t="s">
        <v>40</v>
      </c>
    </row>
    <row r="622" customFormat="false" ht="15.75" hidden="false" customHeight="false" outlineLevel="0" collapsed="false">
      <c r="A622" s="10" t="n">
        <v>12</v>
      </c>
      <c r="B622" s="10" t="n">
        <v>327.04</v>
      </c>
      <c r="C622" s="10" t="s">
        <v>15</v>
      </c>
      <c r="D622" s="10" t="n">
        <v>2.5</v>
      </c>
      <c r="E622" s="10" t="n">
        <v>2.5</v>
      </c>
      <c r="F622" s="10" t="n">
        <v>0</v>
      </c>
      <c r="G622" s="10" t="n">
        <v>4</v>
      </c>
      <c r="H622" s="10" t="n">
        <v>49</v>
      </c>
      <c r="I622" s="10" t="s">
        <v>13</v>
      </c>
      <c r="J622" s="10" t="s">
        <v>39</v>
      </c>
      <c r="K622" s="10" t="s">
        <v>37</v>
      </c>
      <c r="L622" s="10" t="s">
        <v>40</v>
      </c>
    </row>
    <row r="623" customFormat="false" ht="15.75" hidden="false" customHeight="false" outlineLevel="0" collapsed="false">
      <c r="A623" s="10" t="n">
        <v>21</v>
      </c>
      <c r="B623" s="10" t="n">
        <v>1866.17</v>
      </c>
      <c r="C623" s="10" t="s">
        <v>17</v>
      </c>
      <c r="D623" s="10" t="n">
        <v>5.5</v>
      </c>
      <c r="E623" s="10" t="n">
        <v>5.5</v>
      </c>
      <c r="F623" s="10" t="n">
        <v>0</v>
      </c>
      <c r="G623" s="10" t="n">
        <v>2</v>
      </c>
      <c r="H623" s="10" t="n">
        <v>27</v>
      </c>
      <c r="I623" s="10" t="s">
        <v>13</v>
      </c>
      <c r="J623" s="10" t="s">
        <v>38</v>
      </c>
      <c r="K623" s="10" t="s">
        <v>39</v>
      </c>
      <c r="L623" s="10" t="s">
        <v>41</v>
      </c>
    </row>
    <row r="624" customFormat="false" ht="15.75" hidden="false" customHeight="false" outlineLevel="0" collapsed="false">
      <c r="A624" s="10" t="n">
        <v>18</v>
      </c>
      <c r="B624" s="10" t="n">
        <v>781.83</v>
      </c>
      <c r="C624" s="10" t="s">
        <v>15</v>
      </c>
      <c r="D624" s="10" t="n">
        <v>2.5</v>
      </c>
      <c r="E624" s="10" t="n">
        <v>2.5</v>
      </c>
      <c r="F624" s="10" t="n">
        <v>0</v>
      </c>
      <c r="G624" s="10" t="n">
        <v>3</v>
      </c>
      <c r="H624" s="10" t="n">
        <v>32</v>
      </c>
      <c r="I624" s="10" t="s">
        <v>16</v>
      </c>
      <c r="J624" s="10" t="s">
        <v>39</v>
      </c>
      <c r="K624" s="10" t="s">
        <v>39</v>
      </c>
      <c r="L624" s="10" t="s">
        <v>40</v>
      </c>
    </row>
    <row r="625" customFormat="false" ht="15.75" hidden="false" customHeight="false" outlineLevel="0" collapsed="false">
      <c r="A625" s="10" t="n">
        <v>48</v>
      </c>
      <c r="B625" s="10" t="n">
        <v>2000.05</v>
      </c>
      <c r="C625" s="10" t="s">
        <v>15</v>
      </c>
      <c r="D625" s="10" t="n">
        <v>2.5</v>
      </c>
      <c r="E625" s="10" t="n">
        <v>2.5</v>
      </c>
      <c r="F625" s="10" t="n">
        <v>0</v>
      </c>
      <c r="G625" s="10" t="n">
        <v>4</v>
      </c>
      <c r="H625" s="10" t="n">
        <v>38</v>
      </c>
      <c r="I625" s="10" t="s">
        <v>16</v>
      </c>
      <c r="J625" s="10" t="s">
        <v>39</v>
      </c>
      <c r="K625" s="10" t="s">
        <v>37</v>
      </c>
      <c r="L625" s="10" t="s">
        <v>40</v>
      </c>
    </row>
    <row r="626" customFormat="false" ht="15.75" hidden="false" customHeight="false" outlineLevel="0" collapsed="false">
      <c r="A626" s="10" t="n">
        <v>12</v>
      </c>
      <c r="B626" s="10" t="n">
        <v>949.44</v>
      </c>
      <c r="C626" s="10" t="s">
        <v>20</v>
      </c>
      <c r="D626" s="10" t="n">
        <v>0.5</v>
      </c>
      <c r="E626" s="10" t="n">
        <v>0.5</v>
      </c>
      <c r="F626" s="10" t="n">
        <v>0</v>
      </c>
      <c r="G626" s="10" t="n">
        <v>4</v>
      </c>
      <c r="H626" s="10" t="n">
        <v>22</v>
      </c>
      <c r="I626" s="10" t="s">
        <v>13</v>
      </c>
      <c r="J626" s="10" t="s">
        <v>38</v>
      </c>
      <c r="K626" s="10" t="s">
        <v>37</v>
      </c>
      <c r="L626" s="10" t="s">
        <v>42</v>
      </c>
    </row>
    <row r="627" customFormat="false" ht="15.75" hidden="false" customHeight="false" outlineLevel="0" collapsed="false">
      <c r="A627" s="10" t="n">
        <v>18</v>
      </c>
      <c r="B627" s="10" t="n">
        <v>1328.6</v>
      </c>
      <c r="C627" s="10" t="s">
        <v>15</v>
      </c>
      <c r="D627" s="10" t="n">
        <v>2.5</v>
      </c>
      <c r="E627" s="10" t="n">
        <v>2.5</v>
      </c>
      <c r="F627" s="10" t="n">
        <v>0</v>
      </c>
      <c r="G627" s="10" t="n">
        <v>4</v>
      </c>
      <c r="H627" s="10" t="n">
        <v>65</v>
      </c>
      <c r="I627" s="10" t="s">
        <v>16</v>
      </c>
      <c r="J627" s="10" t="s">
        <v>36</v>
      </c>
      <c r="K627" s="10" t="s">
        <v>37</v>
      </c>
      <c r="L627" s="10" t="s">
        <v>40</v>
      </c>
    </row>
    <row r="628" customFormat="false" ht="15.75" hidden="false" customHeight="false" outlineLevel="0" collapsed="false">
      <c r="A628" s="10" t="n">
        <v>15</v>
      </c>
      <c r="B628" s="10" t="n">
        <v>1011.27</v>
      </c>
      <c r="C628" s="10" t="s">
        <v>12</v>
      </c>
      <c r="D628" s="10" t="n">
        <v>8</v>
      </c>
      <c r="E628" s="10" t="n">
        <v>8</v>
      </c>
      <c r="F628" s="10" t="n">
        <v>0</v>
      </c>
      <c r="G628" s="10" t="n">
        <v>4</v>
      </c>
      <c r="H628" s="10" t="n">
        <v>35</v>
      </c>
      <c r="I628" s="10" t="s">
        <v>13</v>
      </c>
      <c r="J628" s="10" t="s">
        <v>39</v>
      </c>
      <c r="K628" s="10" t="s">
        <v>37</v>
      </c>
      <c r="L628" s="10" t="s">
        <v>37</v>
      </c>
    </row>
    <row r="629" customFormat="false" ht="15.75" hidden="false" customHeight="false" outlineLevel="0" collapsed="false">
      <c r="A629" s="10" t="n">
        <v>6</v>
      </c>
      <c r="B629" s="10" t="n">
        <v>1081.28</v>
      </c>
      <c r="C629" s="10" t="s">
        <v>15</v>
      </c>
      <c r="D629" s="10" t="n">
        <v>2.5</v>
      </c>
      <c r="E629" s="10" t="n">
        <v>2.5</v>
      </c>
      <c r="F629" s="10" t="n">
        <v>0</v>
      </c>
      <c r="G629" s="10" t="n">
        <v>2</v>
      </c>
      <c r="H629" s="10" t="n">
        <v>41</v>
      </c>
      <c r="I629" s="10" t="s">
        <v>13</v>
      </c>
      <c r="J629" s="10" t="s">
        <v>39</v>
      </c>
      <c r="K629" s="10" t="s">
        <v>39</v>
      </c>
      <c r="L629" s="10" t="s">
        <v>40</v>
      </c>
    </row>
    <row r="630" customFormat="false" ht="15.75" hidden="false" customHeight="false" outlineLevel="0" collapsed="false">
      <c r="A630" s="10" t="n">
        <v>9</v>
      </c>
      <c r="B630" s="10" t="n">
        <v>734.31</v>
      </c>
      <c r="C630" s="10" t="s">
        <v>17</v>
      </c>
      <c r="D630" s="10" t="n">
        <v>5.5</v>
      </c>
      <c r="E630" s="10" t="n">
        <v>5.5</v>
      </c>
      <c r="F630" s="10" t="n">
        <v>0</v>
      </c>
      <c r="G630" s="10" t="n">
        <v>2</v>
      </c>
      <c r="H630" s="10" t="n">
        <v>29</v>
      </c>
      <c r="I630" s="10" t="s">
        <v>16</v>
      </c>
      <c r="J630" s="10" t="s">
        <v>38</v>
      </c>
      <c r="K630" s="10" t="s">
        <v>39</v>
      </c>
      <c r="L630" s="10" t="s">
        <v>41</v>
      </c>
    </row>
    <row r="631" customFormat="false" ht="15.75" hidden="false" customHeight="false" outlineLevel="0" collapsed="false">
      <c r="A631" s="10" t="n">
        <v>42</v>
      </c>
      <c r="B631" s="10" t="n">
        <v>2065.46</v>
      </c>
      <c r="C631" s="10" t="s">
        <v>15</v>
      </c>
      <c r="D631" s="10" t="n">
        <v>2.5</v>
      </c>
      <c r="E631" s="10" t="n">
        <v>2.5</v>
      </c>
      <c r="F631" s="10" t="n">
        <v>0</v>
      </c>
      <c r="G631" s="10" t="n">
        <v>4</v>
      </c>
      <c r="H631" s="10" t="n">
        <v>36</v>
      </c>
      <c r="I631" s="10" t="s">
        <v>13</v>
      </c>
      <c r="J631" s="10" t="s">
        <v>39</v>
      </c>
      <c r="K631" s="10" t="s">
        <v>37</v>
      </c>
      <c r="L631" s="10" t="s">
        <v>40</v>
      </c>
    </row>
    <row r="632" customFormat="false" ht="15.75" hidden="false" customHeight="false" outlineLevel="0" collapsed="false">
      <c r="A632" s="10" t="n">
        <v>9</v>
      </c>
      <c r="B632" s="10" t="n">
        <v>1958.15</v>
      </c>
      <c r="C632" s="10" t="s">
        <v>12</v>
      </c>
      <c r="D632" s="10" t="n">
        <v>8</v>
      </c>
      <c r="E632" s="10" t="n">
        <v>8</v>
      </c>
      <c r="F632" s="10" t="n">
        <v>0</v>
      </c>
      <c r="G632" s="10" t="n">
        <v>1</v>
      </c>
      <c r="H632" s="10" t="n">
        <v>64</v>
      </c>
      <c r="I632" s="10" t="s">
        <v>13</v>
      </c>
      <c r="J632" s="10" t="s">
        <v>36</v>
      </c>
      <c r="K632" s="10" t="s">
        <v>43</v>
      </c>
      <c r="L632" s="10" t="s">
        <v>37</v>
      </c>
    </row>
    <row r="633" customFormat="false" ht="15.75" hidden="false" customHeight="false" outlineLevel="0" collapsed="false">
      <c r="A633" s="10" t="n">
        <v>24</v>
      </c>
      <c r="B633" s="10" t="n">
        <v>1870.26</v>
      </c>
      <c r="C633" s="10" t="s">
        <v>15</v>
      </c>
      <c r="D633" s="10" t="n">
        <v>2.5</v>
      </c>
      <c r="E633" s="10" t="n">
        <v>2.5</v>
      </c>
      <c r="F633" s="10" t="n">
        <v>0</v>
      </c>
      <c r="G633" s="10" t="n">
        <v>2</v>
      </c>
      <c r="H633" s="10" t="n">
        <v>28</v>
      </c>
      <c r="I633" s="10" t="s">
        <v>13</v>
      </c>
      <c r="J633" s="10" t="s">
        <v>38</v>
      </c>
      <c r="K633" s="10" t="s">
        <v>39</v>
      </c>
      <c r="L633" s="10" t="s">
        <v>40</v>
      </c>
    </row>
    <row r="634" customFormat="false" ht="15.75" hidden="false" customHeight="false" outlineLevel="0" collapsed="false">
      <c r="A634" s="10" t="n">
        <v>18</v>
      </c>
      <c r="B634" s="10" t="n">
        <v>793.58</v>
      </c>
      <c r="C634" s="10" t="s">
        <v>15</v>
      </c>
      <c r="D634" s="10" t="n">
        <v>2.5</v>
      </c>
      <c r="E634" s="10" t="n">
        <v>2.5</v>
      </c>
      <c r="F634" s="10" t="n">
        <v>0</v>
      </c>
      <c r="G634" s="10" t="n">
        <v>4</v>
      </c>
      <c r="H634" s="10" t="n">
        <v>44</v>
      </c>
      <c r="I634" s="10" t="s">
        <v>16</v>
      </c>
      <c r="J634" s="10" t="s">
        <v>39</v>
      </c>
      <c r="K634" s="10" t="s">
        <v>37</v>
      </c>
      <c r="L634" s="10" t="s">
        <v>40</v>
      </c>
    </row>
    <row r="635" customFormat="false" ht="15.75" hidden="false" customHeight="false" outlineLevel="0" collapsed="false">
      <c r="A635" s="10" t="n">
        <v>15</v>
      </c>
      <c r="B635" s="10" t="n">
        <v>737.88</v>
      </c>
      <c r="C635" s="10" t="s">
        <v>20</v>
      </c>
      <c r="D635" s="10" t="n">
        <v>0.5</v>
      </c>
      <c r="E635" s="10" t="n">
        <v>0.5</v>
      </c>
      <c r="F635" s="10" t="n">
        <v>0</v>
      </c>
      <c r="G635" s="10" t="n">
        <v>4</v>
      </c>
      <c r="H635" s="10" t="n">
        <v>23</v>
      </c>
      <c r="I635" s="10" t="s">
        <v>13</v>
      </c>
      <c r="J635" s="10" t="s">
        <v>38</v>
      </c>
      <c r="K635" s="10" t="s">
        <v>37</v>
      </c>
      <c r="L635" s="10" t="s">
        <v>42</v>
      </c>
    </row>
    <row r="636" customFormat="false" ht="15.75" hidden="false" customHeight="false" outlineLevel="0" collapsed="false">
      <c r="A636" s="10" t="n">
        <v>9</v>
      </c>
      <c r="B636" s="10" t="n">
        <v>1011.78</v>
      </c>
      <c r="C636" s="10" t="s">
        <v>20</v>
      </c>
      <c r="D636" s="10" t="n">
        <v>0.5</v>
      </c>
      <c r="E636" s="10" t="n">
        <v>0.5</v>
      </c>
      <c r="F636" s="10" t="n">
        <v>0</v>
      </c>
      <c r="G636" s="10" t="n">
        <v>2</v>
      </c>
      <c r="H636" s="10" t="n">
        <v>19</v>
      </c>
      <c r="I636" s="10" t="s">
        <v>16</v>
      </c>
      <c r="J636" s="10" t="s">
        <v>38</v>
      </c>
      <c r="K636" s="10" t="s">
        <v>39</v>
      </c>
      <c r="L636" s="10" t="s">
        <v>42</v>
      </c>
    </row>
    <row r="637" customFormat="false" ht="15.75" hidden="false" customHeight="false" outlineLevel="0" collapsed="false">
      <c r="A637" s="10" t="n">
        <v>24</v>
      </c>
      <c r="B637" s="10" t="n">
        <v>692.41</v>
      </c>
      <c r="C637" s="10" t="s">
        <v>20</v>
      </c>
      <c r="D637" s="10" t="n">
        <v>0.5</v>
      </c>
      <c r="E637" s="10" t="n">
        <v>0.5</v>
      </c>
      <c r="F637" s="10" t="n">
        <v>0</v>
      </c>
      <c r="G637" s="10" t="n">
        <v>3</v>
      </c>
      <c r="H637" s="10" t="n">
        <v>25</v>
      </c>
      <c r="I637" s="10" t="s">
        <v>16</v>
      </c>
      <c r="J637" s="10" t="s">
        <v>38</v>
      </c>
      <c r="K637" s="10" t="s">
        <v>39</v>
      </c>
      <c r="L637" s="10" t="s">
        <v>42</v>
      </c>
    </row>
    <row r="638" customFormat="false" ht="15.75" hidden="false" customHeight="false" outlineLevel="0" collapsed="false">
      <c r="A638" s="10" t="n">
        <v>12</v>
      </c>
      <c r="B638" s="10" t="n">
        <v>711.82</v>
      </c>
      <c r="C638" s="10" t="s">
        <v>12</v>
      </c>
      <c r="D638" s="10" t="n">
        <v>8</v>
      </c>
      <c r="E638" s="10" t="n">
        <v>8</v>
      </c>
      <c r="F638" s="10" t="n">
        <v>0</v>
      </c>
      <c r="G638" s="10" t="n">
        <v>4</v>
      </c>
      <c r="H638" s="10" t="n">
        <v>47</v>
      </c>
      <c r="I638" s="10" t="s">
        <v>13</v>
      </c>
      <c r="J638" s="10" t="s">
        <v>39</v>
      </c>
      <c r="K638" s="10" t="s">
        <v>37</v>
      </c>
      <c r="L638" s="10" t="s">
        <v>37</v>
      </c>
    </row>
    <row r="639" customFormat="false" ht="15.75" hidden="false" customHeight="false" outlineLevel="0" collapsed="false">
      <c r="A639" s="10" t="n">
        <v>24</v>
      </c>
      <c r="B639" s="10" t="n">
        <v>703.14</v>
      </c>
      <c r="C639" s="10" t="s">
        <v>17</v>
      </c>
      <c r="D639" s="10" t="n">
        <v>5.5</v>
      </c>
      <c r="E639" s="10" t="n">
        <v>5.5</v>
      </c>
      <c r="F639" s="10" t="n">
        <v>0</v>
      </c>
      <c r="G639" s="10" t="n">
        <v>4</v>
      </c>
      <c r="H639" s="10" t="n">
        <v>28</v>
      </c>
      <c r="I639" s="10" t="s">
        <v>13</v>
      </c>
      <c r="J639" s="10" t="s">
        <v>38</v>
      </c>
      <c r="K639" s="10" t="s">
        <v>37</v>
      </c>
      <c r="L639" s="10" t="s">
        <v>41</v>
      </c>
    </row>
    <row r="640" customFormat="false" ht="15.75" hidden="false" customHeight="false" outlineLevel="0" collapsed="false">
      <c r="A640" s="10" t="n">
        <v>60</v>
      </c>
      <c r="B640" s="10" t="n">
        <v>7998.68</v>
      </c>
      <c r="C640" s="10" t="s">
        <v>17</v>
      </c>
      <c r="D640" s="10" t="n">
        <v>5.5</v>
      </c>
      <c r="E640" s="10" t="n">
        <v>3</v>
      </c>
      <c r="F640" s="10" t="n">
        <v>1</v>
      </c>
      <c r="G640" s="10" t="n">
        <v>2</v>
      </c>
      <c r="H640" s="10" t="n">
        <v>21</v>
      </c>
      <c r="I640" s="10" t="s">
        <v>13</v>
      </c>
      <c r="J640" s="10" t="s">
        <v>38</v>
      </c>
      <c r="K640" s="10" t="s">
        <v>39</v>
      </c>
      <c r="L640" s="10" t="s">
        <v>40</v>
      </c>
    </row>
    <row r="641" customFormat="false" ht="15.75" hidden="false" customHeight="false" outlineLevel="0" collapsed="false">
      <c r="A641" s="10" t="n">
        <v>12</v>
      </c>
      <c r="B641" s="10" t="n">
        <v>762.92</v>
      </c>
      <c r="C641" s="10" t="s">
        <v>20</v>
      </c>
      <c r="D641" s="10" t="n">
        <v>0.5</v>
      </c>
      <c r="E641" s="10" t="n">
        <v>0.5</v>
      </c>
      <c r="F641" s="10" t="n">
        <v>0</v>
      </c>
      <c r="G641" s="10" t="n">
        <v>4</v>
      </c>
      <c r="H641" s="10" t="n">
        <v>34</v>
      </c>
      <c r="I641" s="10" t="s">
        <v>13</v>
      </c>
      <c r="J641" s="10" t="s">
        <v>39</v>
      </c>
      <c r="K641" s="10" t="s">
        <v>37</v>
      </c>
      <c r="L641" s="10" t="s">
        <v>42</v>
      </c>
    </row>
    <row r="642" customFormat="false" ht="15.75" hidden="false" customHeight="false" outlineLevel="0" collapsed="false">
      <c r="A642" s="10" t="n">
        <v>42</v>
      </c>
      <c r="B642" s="10" t="n">
        <v>2233.07</v>
      </c>
      <c r="C642" s="10" t="s">
        <v>17</v>
      </c>
      <c r="D642" s="10" t="n">
        <v>5.5</v>
      </c>
      <c r="E642" s="10" t="n">
        <v>5.5</v>
      </c>
      <c r="F642" s="10" t="n">
        <v>0</v>
      </c>
      <c r="G642" s="10" t="n">
        <v>3</v>
      </c>
      <c r="H642" s="10" t="n">
        <v>26</v>
      </c>
      <c r="I642" s="10" t="s">
        <v>16</v>
      </c>
      <c r="J642" s="10" t="s">
        <v>38</v>
      </c>
      <c r="K642" s="10" t="s">
        <v>39</v>
      </c>
      <c r="L642" s="10" t="s">
        <v>41</v>
      </c>
    </row>
    <row r="643" customFormat="false" ht="15.75" hidden="false" customHeight="false" outlineLevel="0" collapsed="false">
      <c r="A643" s="10" t="n">
        <v>18</v>
      </c>
      <c r="B643" s="10" t="n">
        <v>383.25</v>
      </c>
      <c r="C643" s="10" t="s">
        <v>19</v>
      </c>
      <c r="D643" s="10" t="n">
        <v>0</v>
      </c>
      <c r="E643" s="10" t="n">
        <v>0</v>
      </c>
      <c r="F643" s="10" t="n">
        <v>0</v>
      </c>
      <c r="G643" s="10" t="n">
        <v>4</v>
      </c>
      <c r="H643" s="10" t="n">
        <v>27</v>
      </c>
      <c r="I643" s="10" t="s">
        <v>16</v>
      </c>
      <c r="J643" s="10" t="s">
        <v>38</v>
      </c>
      <c r="K643" s="10" t="s">
        <v>37</v>
      </c>
      <c r="L643" s="10" t="s">
        <v>19</v>
      </c>
    </row>
    <row r="644" customFormat="false" ht="15.75" hidden="false" customHeight="false" outlineLevel="0" collapsed="false">
      <c r="A644" s="10" t="n">
        <v>15</v>
      </c>
      <c r="B644" s="10" t="n">
        <v>668.39</v>
      </c>
      <c r="C644" s="10" t="s">
        <v>12</v>
      </c>
      <c r="D644" s="10" t="n">
        <v>8</v>
      </c>
      <c r="E644" s="10" t="n">
        <v>8</v>
      </c>
      <c r="F644" s="10" t="n">
        <v>0</v>
      </c>
      <c r="G644" s="10" t="n">
        <v>4</v>
      </c>
      <c r="H644" s="10" t="n">
        <v>38</v>
      </c>
      <c r="I644" s="10" t="s">
        <v>13</v>
      </c>
      <c r="J644" s="10" t="s">
        <v>39</v>
      </c>
      <c r="K644" s="10" t="s">
        <v>37</v>
      </c>
      <c r="L644" s="10" t="s">
        <v>37</v>
      </c>
    </row>
    <row r="645" customFormat="false" ht="15.75" hidden="false" customHeight="false" outlineLevel="0" collapsed="false">
      <c r="A645" s="10" t="n">
        <v>15</v>
      </c>
      <c r="B645" s="10" t="n">
        <v>2362.35</v>
      </c>
      <c r="C645" s="10" t="s">
        <v>15</v>
      </c>
      <c r="D645" s="10" t="n">
        <v>2.5</v>
      </c>
      <c r="E645" s="10" t="n">
        <v>2.5</v>
      </c>
      <c r="F645" s="10" t="n">
        <v>0</v>
      </c>
      <c r="G645" s="10" t="n">
        <v>3</v>
      </c>
      <c r="H645" s="10" t="n">
        <v>40</v>
      </c>
      <c r="I645" s="10" t="s">
        <v>16</v>
      </c>
      <c r="J645" s="10" t="s">
        <v>39</v>
      </c>
      <c r="K645" s="10" t="s">
        <v>39</v>
      </c>
      <c r="L645" s="10" t="s">
        <v>40</v>
      </c>
    </row>
    <row r="646" customFormat="false" ht="15.75" hidden="false" customHeight="false" outlineLevel="0" collapsed="false">
      <c r="A646" s="10" t="n">
        <v>24</v>
      </c>
      <c r="B646" s="10" t="n">
        <v>945.86</v>
      </c>
      <c r="C646" s="10" t="s">
        <v>17</v>
      </c>
      <c r="D646" s="10" t="n">
        <v>5.5</v>
      </c>
      <c r="E646" s="10" t="n">
        <v>5.5</v>
      </c>
      <c r="F646" s="10" t="n">
        <v>0</v>
      </c>
      <c r="G646" s="10" t="n">
        <v>4</v>
      </c>
      <c r="H646" s="10" t="n">
        <v>33</v>
      </c>
      <c r="I646" s="10" t="s">
        <v>13</v>
      </c>
      <c r="J646" s="10" t="s">
        <v>39</v>
      </c>
      <c r="K646" s="10" t="s">
        <v>37</v>
      </c>
      <c r="L646" s="10" t="s">
        <v>41</v>
      </c>
    </row>
    <row r="647" customFormat="false" ht="15.75" hidden="false" customHeight="false" outlineLevel="0" collapsed="false">
      <c r="A647" s="10" t="n">
        <v>18</v>
      </c>
      <c r="B647" s="10" t="n">
        <v>960.68</v>
      </c>
      <c r="C647" s="10" t="s">
        <v>17</v>
      </c>
      <c r="D647" s="10" t="n">
        <v>5.5</v>
      </c>
      <c r="E647" s="10" t="n">
        <v>5.5</v>
      </c>
      <c r="F647" s="10" t="n">
        <v>0</v>
      </c>
      <c r="G647" s="10" t="n">
        <v>4</v>
      </c>
      <c r="H647" s="10" t="n">
        <v>32</v>
      </c>
      <c r="I647" s="10" t="s">
        <v>13</v>
      </c>
      <c r="J647" s="10" t="s">
        <v>39</v>
      </c>
      <c r="K647" s="10" t="s">
        <v>37</v>
      </c>
      <c r="L647" s="10" t="s">
        <v>41</v>
      </c>
    </row>
    <row r="648" customFormat="false" ht="15.75" hidden="false" customHeight="false" outlineLevel="0" collapsed="false">
      <c r="A648" s="10" t="n">
        <v>36</v>
      </c>
      <c r="B648" s="10" t="n">
        <v>4077.78</v>
      </c>
      <c r="C648" s="10" t="s">
        <v>20</v>
      </c>
      <c r="D648" s="10" t="n">
        <v>0.5</v>
      </c>
      <c r="E648" s="10" t="n">
        <v>0.5</v>
      </c>
      <c r="F648" s="10" t="n">
        <v>0</v>
      </c>
      <c r="G648" s="10" t="n">
        <v>4</v>
      </c>
      <c r="H648" s="10" t="n">
        <v>27</v>
      </c>
      <c r="I648" s="10" t="s">
        <v>16</v>
      </c>
      <c r="J648" s="10" t="s">
        <v>38</v>
      </c>
      <c r="K648" s="10" t="s">
        <v>37</v>
      </c>
      <c r="L648" s="10" t="s">
        <v>42</v>
      </c>
    </row>
    <row r="649" customFormat="false" ht="15.75" hidden="false" customHeight="false" outlineLevel="0" collapsed="false">
      <c r="A649" s="10" t="n">
        <v>30</v>
      </c>
      <c r="B649" s="10" t="n">
        <v>2341.91</v>
      </c>
      <c r="C649" s="10" t="s">
        <v>15</v>
      </c>
      <c r="D649" s="10" t="n">
        <v>2.5</v>
      </c>
      <c r="E649" s="10" t="n">
        <v>2.5</v>
      </c>
      <c r="F649" s="10" t="n">
        <v>0</v>
      </c>
      <c r="G649" s="10" t="n">
        <v>2</v>
      </c>
      <c r="H649" s="10" t="n">
        <v>32</v>
      </c>
      <c r="I649" s="10" t="s">
        <v>13</v>
      </c>
      <c r="J649" s="10" t="s">
        <v>39</v>
      </c>
      <c r="K649" s="10" t="s">
        <v>39</v>
      </c>
      <c r="L649" s="10" t="s">
        <v>40</v>
      </c>
    </row>
    <row r="650" customFormat="false" ht="15.75" hidden="false" customHeight="false" outlineLevel="0" collapsed="false">
      <c r="A650" s="10" t="n">
        <v>12</v>
      </c>
      <c r="B650" s="10" t="n">
        <v>708.25</v>
      </c>
      <c r="C650" s="10" t="s">
        <v>15</v>
      </c>
      <c r="D650" s="10" t="n">
        <v>2.5</v>
      </c>
      <c r="E650" s="10" t="n">
        <v>2.5</v>
      </c>
      <c r="F650" s="10" t="n">
        <v>0</v>
      </c>
      <c r="G650" s="10" t="n">
        <v>2</v>
      </c>
      <c r="H650" s="10" t="n">
        <v>26</v>
      </c>
      <c r="I650" s="10" t="s">
        <v>16</v>
      </c>
      <c r="J650" s="10" t="s">
        <v>38</v>
      </c>
      <c r="K650" s="10" t="s">
        <v>39</v>
      </c>
      <c r="L650" s="10" t="s">
        <v>40</v>
      </c>
    </row>
    <row r="651" customFormat="false" ht="15.75" hidden="false" customHeight="false" outlineLevel="0" collapsed="false">
      <c r="A651" s="10" t="n">
        <v>24</v>
      </c>
      <c r="B651" s="10" t="n">
        <v>483.92</v>
      </c>
      <c r="C651" s="10" t="s">
        <v>17</v>
      </c>
      <c r="D651" s="10" t="n">
        <v>5.5</v>
      </c>
      <c r="E651" s="10" t="n">
        <v>5.5</v>
      </c>
      <c r="F651" s="10" t="n">
        <v>0</v>
      </c>
      <c r="G651" s="10" t="n">
        <v>4</v>
      </c>
      <c r="H651" s="10" t="n">
        <v>38</v>
      </c>
      <c r="I651" s="10" t="s">
        <v>16</v>
      </c>
      <c r="J651" s="10" t="s">
        <v>39</v>
      </c>
      <c r="K651" s="10" t="s">
        <v>37</v>
      </c>
      <c r="L651" s="10" t="s">
        <v>41</v>
      </c>
    </row>
    <row r="652" customFormat="false" ht="15.75" hidden="false" customHeight="false" outlineLevel="0" collapsed="false">
      <c r="A652" s="10" t="n">
        <v>12</v>
      </c>
      <c r="B652" s="10" t="n">
        <v>349.52</v>
      </c>
      <c r="C652" s="10" t="s">
        <v>15</v>
      </c>
      <c r="D652" s="10" t="n">
        <v>2.5</v>
      </c>
      <c r="E652" s="10" t="n">
        <v>2.5</v>
      </c>
      <c r="F652" s="10" t="n">
        <v>0</v>
      </c>
      <c r="G652" s="10" t="n">
        <v>4</v>
      </c>
      <c r="H652" s="10" t="n">
        <v>40</v>
      </c>
      <c r="I652" s="10" t="s">
        <v>16</v>
      </c>
      <c r="J652" s="10" t="s">
        <v>39</v>
      </c>
      <c r="K652" s="10" t="s">
        <v>37</v>
      </c>
      <c r="L652" s="10" t="s">
        <v>40</v>
      </c>
    </row>
    <row r="653" customFormat="false" ht="15.75" hidden="false" customHeight="false" outlineLevel="0" collapsed="false">
      <c r="A653" s="10" t="n">
        <v>48</v>
      </c>
      <c r="B653" s="10" t="n">
        <v>3820.24</v>
      </c>
      <c r="C653" s="10" t="s">
        <v>17</v>
      </c>
      <c r="D653" s="10" t="n">
        <v>5.5</v>
      </c>
      <c r="E653" s="10" t="n">
        <v>5.5</v>
      </c>
      <c r="F653" s="10" t="n">
        <v>0</v>
      </c>
      <c r="G653" s="10" t="n">
        <v>4</v>
      </c>
      <c r="H653" s="10" t="n">
        <v>50</v>
      </c>
      <c r="I653" s="10" t="s">
        <v>13</v>
      </c>
      <c r="J653" s="10" t="s">
        <v>39</v>
      </c>
      <c r="K653" s="10" t="s">
        <v>37</v>
      </c>
      <c r="L653" s="10" t="s">
        <v>41</v>
      </c>
    </row>
    <row r="654" customFormat="false" ht="15.75" hidden="false" customHeight="false" outlineLevel="0" collapsed="false">
      <c r="A654" s="10" t="n">
        <v>12</v>
      </c>
      <c r="B654" s="10" t="n">
        <v>982.14</v>
      </c>
      <c r="C654" s="10" t="s">
        <v>15</v>
      </c>
      <c r="D654" s="10" t="n">
        <v>2.5</v>
      </c>
      <c r="E654" s="10" t="n">
        <v>2.5</v>
      </c>
      <c r="F654" s="10" t="n">
        <v>0</v>
      </c>
      <c r="G654" s="10" t="n">
        <v>4</v>
      </c>
      <c r="H654" s="10" t="n">
        <v>37</v>
      </c>
      <c r="I654" s="10" t="s">
        <v>16</v>
      </c>
      <c r="J654" s="10" t="s">
        <v>39</v>
      </c>
      <c r="K654" s="10" t="s">
        <v>37</v>
      </c>
      <c r="L654" s="10" t="s">
        <v>40</v>
      </c>
    </row>
    <row r="655" customFormat="false" ht="15.75" hidden="false" customHeight="false" outlineLevel="0" collapsed="false">
      <c r="A655" s="10" t="n">
        <v>24</v>
      </c>
      <c r="B655" s="10" t="n">
        <v>1176.83</v>
      </c>
      <c r="C655" s="10" t="s">
        <v>12</v>
      </c>
      <c r="D655" s="10" t="n">
        <v>8</v>
      </c>
      <c r="E655" s="10" t="n">
        <v>8</v>
      </c>
      <c r="F655" s="10" t="n">
        <v>0</v>
      </c>
      <c r="G655" s="10" t="n">
        <v>4</v>
      </c>
      <c r="H655" s="10" t="n">
        <v>45</v>
      </c>
      <c r="I655" s="10" t="s">
        <v>16</v>
      </c>
      <c r="J655" s="10" t="s">
        <v>39</v>
      </c>
      <c r="K655" s="10" t="s">
        <v>37</v>
      </c>
      <c r="L655" s="10" t="s">
        <v>37</v>
      </c>
    </row>
    <row r="656" customFormat="false" ht="15.75" hidden="false" customHeight="false" outlineLevel="0" collapsed="false">
      <c r="A656" s="10" t="n">
        <v>36</v>
      </c>
      <c r="B656" s="10" t="n">
        <v>4131.95</v>
      </c>
      <c r="C656" s="10" t="s">
        <v>12</v>
      </c>
      <c r="D656" s="10" t="n">
        <v>8</v>
      </c>
      <c r="E656" s="10" t="n">
        <v>8</v>
      </c>
      <c r="F656" s="10" t="n">
        <v>0</v>
      </c>
      <c r="G656" s="10" t="n">
        <v>2</v>
      </c>
      <c r="H656" s="10" t="n">
        <v>42</v>
      </c>
      <c r="I656" s="10" t="s">
        <v>16</v>
      </c>
      <c r="J656" s="10" t="s">
        <v>39</v>
      </c>
      <c r="K656" s="10" t="s">
        <v>39</v>
      </c>
      <c r="L656" s="10" t="s">
        <v>37</v>
      </c>
    </row>
    <row r="657" customFormat="false" ht="15.75" hidden="false" customHeight="false" outlineLevel="0" collapsed="false">
      <c r="A657" s="10" t="n">
        <v>24</v>
      </c>
      <c r="B657" s="10" t="n">
        <v>1198.81</v>
      </c>
      <c r="C657" s="10" t="s">
        <v>17</v>
      </c>
      <c r="D657" s="10" t="n">
        <v>5.5</v>
      </c>
      <c r="E657" s="10" t="n">
        <v>5.5</v>
      </c>
      <c r="F657" s="10" t="n">
        <v>0</v>
      </c>
      <c r="G657" s="10" t="n">
        <v>4</v>
      </c>
      <c r="H657" s="10" t="n">
        <v>35</v>
      </c>
      <c r="I657" s="10" t="s">
        <v>13</v>
      </c>
      <c r="J657" s="10" t="s">
        <v>39</v>
      </c>
      <c r="K657" s="10" t="s">
        <v>37</v>
      </c>
      <c r="L657" s="10" t="s">
        <v>41</v>
      </c>
    </row>
    <row r="658" customFormat="false" ht="15.75" hidden="false" customHeight="false" outlineLevel="0" collapsed="false">
      <c r="A658" s="10" t="n">
        <v>14</v>
      </c>
      <c r="B658" s="10" t="n">
        <v>2030.2</v>
      </c>
      <c r="C658" s="10" t="s">
        <v>19</v>
      </c>
      <c r="D658" s="10" t="n">
        <v>0</v>
      </c>
      <c r="E658" s="10" t="n">
        <v>0</v>
      </c>
      <c r="F658" s="10" t="n">
        <v>0</v>
      </c>
      <c r="G658" s="10" t="n">
        <v>1</v>
      </c>
      <c r="H658" s="10" t="n">
        <v>22</v>
      </c>
      <c r="I658" s="10" t="s">
        <v>13</v>
      </c>
      <c r="J658" s="10" t="s">
        <v>38</v>
      </c>
      <c r="K658" s="10" t="s">
        <v>43</v>
      </c>
      <c r="L658" s="10" t="s">
        <v>19</v>
      </c>
    </row>
    <row r="659" customFormat="false" ht="15.75" hidden="false" customHeight="false" outlineLevel="0" collapsed="false">
      <c r="A659" s="10" t="n">
        <v>12</v>
      </c>
      <c r="B659" s="10" t="n">
        <v>453.77</v>
      </c>
      <c r="C659" s="10" t="s">
        <v>12</v>
      </c>
      <c r="D659" s="10" t="n">
        <v>8</v>
      </c>
      <c r="E659" s="10" t="n">
        <v>8</v>
      </c>
      <c r="F659" s="10" t="n">
        <v>0</v>
      </c>
      <c r="G659" s="10" t="n">
        <v>4</v>
      </c>
      <c r="H659" s="10" t="n">
        <v>41</v>
      </c>
      <c r="I659" s="10" t="s">
        <v>16</v>
      </c>
      <c r="J659" s="10" t="s">
        <v>39</v>
      </c>
      <c r="K659" s="10" t="s">
        <v>37</v>
      </c>
      <c r="L659" s="10" t="s">
        <v>37</v>
      </c>
    </row>
    <row r="660" customFormat="false" ht="15.75" hidden="false" customHeight="false" outlineLevel="0" collapsed="false">
      <c r="A660" s="10" t="n">
        <v>48</v>
      </c>
      <c r="B660" s="10" t="n">
        <v>5223.44</v>
      </c>
      <c r="C660" s="10" t="s">
        <v>17</v>
      </c>
      <c r="D660" s="10" t="n">
        <v>5.5</v>
      </c>
      <c r="E660" s="10" t="n">
        <v>5.5</v>
      </c>
      <c r="F660" s="10" t="n">
        <v>0</v>
      </c>
      <c r="G660" s="10" t="n">
        <v>4</v>
      </c>
      <c r="H660" s="10" t="n">
        <v>37</v>
      </c>
      <c r="I660" s="10" t="s">
        <v>13</v>
      </c>
      <c r="J660" s="10" t="s">
        <v>39</v>
      </c>
      <c r="K660" s="10" t="s">
        <v>37</v>
      </c>
      <c r="L660" s="10" t="s">
        <v>41</v>
      </c>
    </row>
    <row r="661" customFormat="false" ht="15.75" hidden="false" customHeight="false" outlineLevel="0" collapsed="false">
      <c r="A661" s="10" t="n">
        <v>30</v>
      </c>
      <c r="B661" s="10" t="n">
        <v>2156.93</v>
      </c>
      <c r="C661" s="10" t="s">
        <v>15</v>
      </c>
      <c r="D661" s="10" t="n">
        <v>2.5</v>
      </c>
      <c r="E661" s="10" t="n">
        <v>2.5</v>
      </c>
      <c r="F661" s="10" t="n">
        <v>0</v>
      </c>
      <c r="G661" s="10" t="n">
        <v>2</v>
      </c>
      <c r="H661" s="10" t="n">
        <v>28</v>
      </c>
      <c r="I661" s="10" t="s">
        <v>13</v>
      </c>
      <c r="J661" s="10" t="s">
        <v>38</v>
      </c>
      <c r="K661" s="10" t="s">
        <v>39</v>
      </c>
      <c r="L661" s="10" t="s">
        <v>40</v>
      </c>
    </row>
    <row r="662" customFormat="false" ht="15.75" hidden="false" customHeight="false" outlineLevel="0" collapsed="false">
      <c r="A662" s="10" t="n">
        <v>18</v>
      </c>
      <c r="B662" s="10" t="n">
        <v>3250.47</v>
      </c>
      <c r="C662" s="10" t="s">
        <v>12</v>
      </c>
      <c r="D662" s="10" t="n">
        <v>8</v>
      </c>
      <c r="E662" s="10" t="n">
        <v>8</v>
      </c>
      <c r="F662" s="10" t="n">
        <v>0</v>
      </c>
      <c r="G662" s="10" t="n">
        <v>2</v>
      </c>
      <c r="H662" s="10" t="n">
        <v>41</v>
      </c>
      <c r="I662" s="10" t="s">
        <v>13</v>
      </c>
      <c r="J662" s="10" t="s">
        <v>39</v>
      </c>
      <c r="K662" s="10" t="s">
        <v>39</v>
      </c>
      <c r="L662" s="10" t="s">
        <v>37</v>
      </c>
    </row>
    <row r="663" customFormat="false" ht="15.75" hidden="false" customHeight="false" outlineLevel="0" collapsed="false">
      <c r="A663" s="10" t="n">
        <v>12</v>
      </c>
      <c r="B663" s="10" t="n">
        <v>662.77</v>
      </c>
      <c r="C663" s="10" t="s">
        <v>15</v>
      </c>
      <c r="D663" s="10" t="n">
        <v>2.5</v>
      </c>
      <c r="E663" s="10" t="n">
        <v>2.5</v>
      </c>
      <c r="F663" s="10" t="n">
        <v>0</v>
      </c>
      <c r="G663" s="10" t="n">
        <v>3</v>
      </c>
      <c r="H663" s="10" t="n">
        <v>23</v>
      </c>
      <c r="I663" s="10" t="s">
        <v>13</v>
      </c>
      <c r="J663" s="10" t="s">
        <v>38</v>
      </c>
      <c r="K663" s="10" t="s">
        <v>39</v>
      </c>
      <c r="L663" s="10" t="s">
        <v>40</v>
      </c>
    </row>
    <row r="664" customFormat="false" ht="15.75" hidden="false" customHeight="false" outlineLevel="0" collapsed="false">
      <c r="A664" s="10" t="n">
        <v>12</v>
      </c>
      <c r="B664" s="10" t="n">
        <v>459.9</v>
      </c>
      <c r="C664" s="10" t="s">
        <v>15</v>
      </c>
      <c r="D664" s="10" t="n">
        <v>2.5</v>
      </c>
      <c r="E664" s="10" t="n">
        <v>2.5</v>
      </c>
      <c r="F664" s="10" t="n">
        <v>0</v>
      </c>
      <c r="G664" s="10" t="n">
        <v>4</v>
      </c>
      <c r="H664" s="10" t="n">
        <v>23</v>
      </c>
      <c r="I664" s="10" t="s">
        <v>16</v>
      </c>
      <c r="J664" s="10" t="s">
        <v>38</v>
      </c>
      <c r="K664" s="10" t="s">
        <v>37</v>
      </c>
      <c r="L664" s="10" t="s">
        <v>40</v>
      </c>
    </row>
    <row r="665" customFormat="false" ht="15.75" hidden="false" customHeight="false" outlineLevel="0" collapsed="false">
      <c r="A665" s="10" t="n">
        <v>21</v>
      </c>
      <c r="B665" s="10" t="n">
        <v>1145.15</v>
      </c>
      <c r="C665" s="10" t="s">
        <v>12</v>
      </c>
      <c r="D665" s="10" t="n">
        <v>8</v>
      </c>
      <c r="E665" s="10" t="n">
        <v>8</v>
      </c>
      <c r="F665" s="10" t="n">
        <v>0</v>
      </c>
      <c r="G665" s="10" t="n">
        <v>4</v>
      </c>
      <c r="H665" s="10" t="n">
        <v>50</v>
      </c>
      <c r="I665" s="10" t="s">
        <v>13</v>
      </c>
      <c r="J665" s="10" t="s">
        <v>39</v>
      </c>
      <c r="K665" s="10" t="s">
        <v>37</v>
      </c>
      <c r="L665" s="10" t="s">
        <v>37</v>
      </c>
    </row>
    <row r="666" customFormat="false" ht="15.75" hidden="false" customHeight="false" outlineLevel="0" collapsed="false">
      <c r="A666" s="10" t="n">
        <v>6</v>
      </c>
      <c r="B666" s="10" t="n">
        <v>536.55</v>
      </c>
      <c r="C666" s="10" t="s">
        <v>19</v>
      </c>
      <c r="D666" s="10" t="n">
        <v>0</v>
      </c>
      <c r="E666" s="10" t="n">
        <v>0</v>
      </c>
      <c r="F666" s="10" t="n">
        <v>0</v>
      </c>
      <c r="G666" s="10" t="n">
        <v>4</v>
      </c>
      <c r="H666" s="10" t="n">
        <v>35</v>
      </c>
      <c r="I666" s="10" t="s">
        <v>13</v>
      </c>
      <c r="J666" s="10" t="s">
        <v>39</v>
      </c>
      <c r="K666" s="10" t="s">
        <v>37</v>
      </c>
      <c r="L666" s="10" t="s">
        <v>19</v>
      </c>
    </row>
    <row r="667" customFormat="false" ht="15.75" hidden="false" customHeight="false" outlineLevel="0" collapsed="false">
      <c r="A667" s="10" t="n">
        <v>6</v>
      </c>
      <c r="B667" s="10" t="n">
        <v>535.02</v>
      </c>
      <c r="C667" s="10" t="s">
        <v>15</v>
      </c>
      <c r="D667" s="10" t="n">
        <v>2.5</v>
      </c>
      <c r="E667" s="10" t="n">
        <v>2.5</v>
      </c>
      <c r="F667" s="10" t="n">
        <v>0</v>
      </c>
      <c r="G667" s="10" t="n">
        <v>2</v>
      </c>
      <c r="H667" s="10" t="n">
        <v>50</v>
      </c>
      <c r="I667" s="10" t="s">
        <v>13</v>
      </c>
      <c r="J667" s="10" t="s">
        <v>39</v>
      </c>
      <c r="K667" s="10" t="s">
        <v>39</v>
      </c>
      <c r="L667" s="10" t="s">
        <v>40</v>
      </c>
    </row>
    <row r="668" customFormat="false" ht="15.75" hidden="false" customHeight="false" outlineLevel="0" collapsed="false">
      <c r="A668" s="10" t="n">
        <v>24</v>
      </c>
      <c r="B668" s="10" t="n">
        <v>3226.45</v>
      </c>
      <c r="C668" s="10" t="s">
        <v>19</v>
      </c>
      <c r="D668" s="10" t="n">
        <v>0</v>
      </c>
      <c r="E668" s="10" t="n">
        <v>0</v>
      </c>
      <c r="F668" s="10" t="n">
        <v>0</v>
      </c>
      <c r="G668" s="10" t="n">
        <v>4</v>
      </c>
      <c r="H668" s="10" t="n">
        <v>27</v>
      </c>
      <c r="I668" s="10" t="s">
        <v>13</v>
      </c>
      <c r="J668" s="10" t="s">
        <v>38</v>
      </c>
      <c r="K668" s="10" t="s">
        <v>37</v>
      </c>
      <c r="L668" s="10" t="s">
        <v>19</v>
      </c>
    </row>
    <row r="669" customFormat="false" ht="15.75" hidden="false" customHeight="false" outlineLevel="0" collapsed="false">
      <c r="A669" s="10" t="n">
        <v>30</v>
      </c>
      <c r="B669" s="10" t="n">
        <v>1786.46</v>
      </c>
      <c r="C669" s="10" t="s">
        <v>15</v>
      </c>
      <c r="D669" s="10" t="n">
        <v>2.5</v>
      </c>
      <c r="E669" s="10" t="n">
        <v>2.5</v>
      </c>
      <c r="F669" s="10" t="n">
        <v>0</v>
      </c>
      <c r="G669" s="10" t="n">
        <v>4</v>
      </c>
      <c r="H669" s="10" t="n">
        <v>34</v>
      </c>
      <c r="I669" s="10" t="s">
        <v>13</v>
      </c>
      <c r="J669" s="10" t="s">
        <v>39</v>
      </c>
      <c r="K669" s="10" t="s">
        <v>37</v>
      </c>
      <c r="L669" s="10" t="s">
        <v>40</v>
      </c>
    </row>
    <row r="670" customFormat="false" ht="15.75" hidden="false" customHeight="false" outlineLevel="0" collapsed="false">
      <c r="A670" s="10" t="n">
        <v>48</v>
      </c>
      <c r="B670" s="10" t="n">
        <v>1844.2</v>
      </c>
      <c r="C670" s="10" t="s">
        <v>15</v>
      </c>
      <c r="D670" s="10" t="n">
        <v>2.5</v>
      </c>
      <c r="E670" s="10" t="n">
        <v>2.5</v>
      </c>
      <c r="F670" s="10" t="n">
        <v>0</v>
      </c>
      <c r="G670" s="10" t="n">
        <v>1</v>
      </c>
      <c r="H670" s="10" t="n">
        <v>27</v>
      </c>
      <c r="I670" s="10" t="s">
        <v>13</v>
      </c>
      <c r="J670" s="10" t="s">
        <v>38</v>
      </c>
      <c r="K670" s="10" t="s">
        <v>43</v>
      </c>
      <c r="L670" s="10" t="s">
        <v>40</v>
      </c>
    </row>
    <row r="671" customFormat="false" ht="15.75" hidden="false" customHeight="false" outlineLevel="0" collapsed="false">
      <c r="A671" s="10" t="n">
        <v>12</v>
      </c>
      <c r="B671" s="10" t="n">
        <v>2474.77</v>
      </c>
      <c r="C671" s="10" t="s">
        <v>12</v>
      </c>
      <c r="D671" s="10" t="n">
        <v>8</v>
      </c>
      <c r="E671" s="10" t="n">
        <v>8</v>
      </c>
      <c r="F671" s="10" t="n">
        <v>0</v>
      </c>
      <c r="G671" s="10" t="n">
        <v>3</v>
      </c>
      <c r="H671" s="10" t="n">
        <v>43</v>
      </c>
      <c r="I671" s="10" t="s">
        <v>16</v>
      </c>
      <c r="J671" s="10" t="s">
        <v>39</v>
      </c>
      <c r="K671" s="10" t="s">
        <v>39</v>
      </c>
      <c r="L671" s="10" t="s">
        <v>37</v>
      </c>
    </row>
    <row r="672" customFormat="false" ht="15.75" hidden="false" customHeight="false" outlineLevel="0" collapsed="false">
      <c r="A672" s="10" t="n">
        <v>30</v>
      </c>
      <c r="B672" s="10" t="n">
        <v>1541.69</v>
      </c>
      <c r="C672" s="10" t="s">
        <v>12</v>
      </c>
      <c r="D672" s="10" t="n">
        <v>8</v>
      </c>
      <c r="E672" s="10" t="n">
        <v>8</v>
      </c>
      <c r="F672" s="10" t="n">
        <v>0</v>
      </c>
      <c r="G672" s="10" t="n">
        <v>4</v>
      </c>
      <c r="H672" s="10" t="n">
        <v>47</v>
      </c>
      <c r="I672" s="10" t="s">
        <v>13</v>
      </c>
      <c r="J672" s="10" t="s">
        <v>39</v>
      </c>
      <c r="K672" s="10" t="s">
        <v>37</v>
      </c>
      <c r="L672" s="10" t="s">
        <v>37</v>
      </c>
    </row>
    <row r="673" customFormat="false" ht="15.75" hidden="false" customHeight="false" outlineLevel="0" collapsed="false">
      <c r="A673" s="10" t="n">
        <v>24</v>
      </c>
      <c r="B673" s="10" t="n">
        <v>2115.03</v>
      </c>
      <c r="C673" s="10" t="s">
        <v>15</v>
      </c>
      <c r="D673" s="10" t="n">
        <v>2.5</v>
      </c>
      <c r="E673" s="10" t="n">
        <v>2.5</v>
      </c>
      <c r="F673" s="10" t="n">
        <v>0</v>
      </c>
      <c r="G673" s="10" t="n">
        <v>3</v>
      </c>
      <c r="H673" s="10" t="n">
        <v>27</v>
      </c>
      <c r="I673" s="10" t="s">
        <v>13</v>
      </c>
      <c r="J673" s="10" t="s">
        <v>38</v>
      </c>
      <c r="K673" s="10" t="s">
        <v>39</v>
      </c>
      <c r="L673" s="10" t="s">
        <v>40</v>
      </c>
    </row>
    <row r="674" customFormat="false" ht="15.75" hidden="false" customHeight="false" outlineLevel="0" collapsed="false">
      <c r="A674" s="10" t="n">
        <v>36</v>
      </c>
      <c r="B674" s="10" t="n">
        <v>2934.16</v>
      </c>
      <c r="C674" s="10" t="s">
        <v>17</v>
      </c>
      <c r="D674" s="10" t="n">
        <v>5.5</v>
      </c>
      <c r="E674" s="10" t="n">
        <v>5.5</v>
      </c>
      <c r="F674" s="10" t="n">
        <v>0</v>
      </c>
      <c r="G674" s="10" t="n">
        <v>2</v>
      </c>
      <c r="H674" s="10" t="n">
        <v>31</v>
      </c>
      <c r="I674" s="10" t="s">
        <v>13</v>
      </c>
      <c r="J674" s="10" t="s">
        <v>39</v>
      </c>
      <c r="K674" s="10" t="s">
        <v>39</v>
      </c>
      <c r="L674" s="10" t="s">
        <v>41</v>
      </c>
    </row>
    <row r="675" customFormat="false" ht="15.75" hidden="false" customHeight="false" outlineLevel="0" collapsed="false">
      <c r="A675" s="10" t="n">
        <v>60</v>
      </c>
      <c r="B675" s="10" t="n">
        <v>5297.03</v>
      </c>
      <c r="C675" s="10" t="s">
        <v>12</v>
      </c>
      <c r="D675" s="10" t="n">
        <v>8</v>
      </c>
      <c r="E675" s="10" t="n">
        <v>8</v>
      </c>
      <c r="F675" s="10" t="n">
        <v>0</v>
      </c>
      <c r="G675" s="10" t="n">
        <v>2</v>
      </c>
      <c r="H675" s="10" t="n">
        <v>42</v>
      </c>
      <c r="I675" s="10" t="s">
        <v>13</v>
      </c>
      <c r="J675" s="10" t="s">
        <v>39</v>
      </c>
      <c r="K675" s="10" t="s">
        <v>39</v>
      </c>
      <c r="L675" s="10" t="s">
        <v>37</v>
      </c>
    </row>
    <row r="676" customFormat="false" ht="15.75" hidden="false" customHeight="false" outlineLevel="0" collapsed="false">
      <c r="A676" s="10" t="n">
        <v>6</v>
      </c>
      <c r="B676" s="10" t="n">
        <v>1062.88</v>
      </c>
      <c r="C676" s="10" t="s">
        <v>15</v>
      </c>
      <c r="D676" s="10" t="n">
        <v>2.5</v>
      </c>
      <c r="E676" s="10" t="n">
        <v>2.5</v>
      </c>
      <c r="F676" s="10" t="n">
        <v>0</v>
      </c>
      <c r="G676" s="10" t="n">
        <v>1</v>
      </c>
      <c r="H676" s="10" t="n">
        <v>24</v>
      </c>
      <c r="I676" s="10" t="s">
        <v>13</v>
      </c>
      <c r="J676" s="10" t="s">
        <v>38</v>
      </c>
      <c r="K676" s="10" t="s">
        <v>43</v>
      </c>
      <c r="L676" s="10" t="s">
        <v>40</v>
      </c>
    </row>
    <row r="677" customFormat="false" ht="15.75" hidden="false" customHeight="false" outlineLevel="0" collapsed="false">
      <c r="A677" s="10" t="n">
        <v>21</v>
      </c>
      <c r="B677" s="10" t="n">
        <v>1318.38</v>
      </c>
      <c r="C677" s="10" t="s">
        <v>20</v>
      </c>
      <c r="D677" s="10" t="n">
        <v>0.5</v>
      </c>
      <c r="E677" s="10" t="n">
        <v>0.5</v>
      </c>
      <c r="F677" s="10" t="n">
        <v>0</v>
      </c>
      <c r="G677" s="10" t="n">
        <v>4</v>
      </c>
      <c r="H677" s="10" t="n">
        <v>41</v>
      </c>
      <c r="I677" s="10" t="s">
        <v>16</v>
      </c>
      <c r="J677" s="10" t="s">
        <v>39</v>
      </c>
      <c r="K677" s="10" t="s">
        <v>37</v>
      </c>
      <c r="L677" s="10" t="s">
        <v>42</v>
      </c>
    </row>
    <row r="678" customFormat="false" ht="15.75" hidden="false" customHeight="false" outlineLevel="0" collapsed="false">
      <c r="A678" s="10" t="n">
        <v>30</v>
      </c>
      <c r="B678" s="10" t="n">
        <v>2314.83</v>
      </c>
      <c r="C678" s="10" t="s">
        <v>17</v>
      </c>
      <c r="D678" s="10" t="n">
        <v>5.5</v>
      </c>
      <c r="E678" s="10" t="n">
        <v>5.5</v>
      </c>
      <c r="F678" s="10" t="n">
        <v>0</v>
      </c>
      <c r="G678" s="10" t="n">
        <v>4</v>
      </c>
      <c r="H678" s="10" t="n">
        <v>26</v>
      </c>
      <c r="I678" s="10" t="s">
        <v>13</v>
      </c>
      <c r="J678" s="10" t="s">
        <v>38</v>
      </c>
      <c r="K678" s="10" t="s">
        <v>37</v>
      </c>
      <c r="L678" s="10" t="s">
        <v>41</v>
      </c>
    </row>
    <row r="679" customFormat="false" ht="15.75" hidden="false" customHeight="false" outlineLevel="0" collapsed="false">
      <c r="A679" s="10" t="n">
        <v>24</v>
      </c>
      <c r="B679" s="10" t="n">
        <v>2631.65</v>
      </c>
      <c r="C679" s="10" t="s">
        <v>12</v>
      </c>
      <c r="D679" s="10" t="n">
        <v>8</v>
      </c>
      <c r="E679" s="10" t="n">
        <v>8</v>
      </c>
      <c r="F679" s="10" t="n">
        <v>0</v>
      </c>
      <c r="G679" s="10" t="n">
        <v>4</v>
      </c>
      <c r="H679" s="10" t="n">
        <v>33</v>
      </c>
      <c r="I679" s="10" t="s">
        <v>13</v>
      </c>
      <c r="J679" s="10" t="s">
        <v>39</v>
      </c>
      <c r="K679" s="10" t="s">
        <v>37</v>
      </c>
      <c r="L679" s="10" t="s">
        <v>37</v>
      </c>
    </row>
    <row r="680" customFormat="false" ht="15.75" hidden="false" customHeight="false" outlineLevel="0" collapsed="false">
      <c r="A680" s="10" t="n">
        <v>72</v>
      </c>
      <c r="B680" s="10" t="n">
        <v>2859.05</v>
      </c>
      <c r="C680" s="10" t="s">
        <v>15</v>
      </c>
      <c r="D680" s="10" t="n">
        <v>2.5</v>
      </c>
      <c r="E680" s="10" t="n">
        <v>2.5</v>
      </c>
      <c r="F680" s="10" t="n">
        <v>0</v>
      </c>
      <c r="G680" s="10" t="n">
        <v>2</v>
      </c>
      <c r="H680" s="10" t="n">
        <v>24</v>
      </c>
      <c r="I680" s="10" t="s">
        <v>16</v>
      </c>
      <c r="J680" s="10" t="s">
        <v>38</v>
      </c>
      <c r="K680" s="10" t="s">
        <v>39</v>
      </c>
      <c r="L680" s="10" t="s">
        <v>40</v>
      </c>
    </row>
    <row r="681" customFormat="false" ht="15.75" hidden="false" customHeight="false" outlineLevel="0" collapsed="false">
      <c r="A681" s="10" t="n">
        <v>24</v>
      </c>
      <c r="B681" s="10" t="n">
        <v>1218.22</v>
      </c>
      <c r="C681" s="10" t="s">
        <v>12</v>
      </c>
      <c r="D681" s="10" t="n">
        <v>8</v>
      </c>
      <c r="E681" s="10" t="n">
        <v>8</v>
      </c>
      <c r="F681" s="10" t="n">
        <v>0</v>
      </c>
      <c r="G681" s="10" t="n">
        <v>4</v>
      </c>
      <c r="H681" s="10" t="n">
        <v>64</v>
      </c>
      <c r="I681" s="10" t="s">
        <v>13</v>
      </c>
      <c r="J681" s="10" t="s">
        <v>36</v>
      </c>
      <c r="K681" s="10" t="s">
        <v>37</v>
      </c>
      <c r="L681" s="10" t="s">
        <v>37</v>
      </c>
    </row>
    <row r="682" customFormat="false" ht="15.75" hidden="false" customHeight="false" outlineLevel="0" collapsed="false">
      <c r="A682" s="10" t="n">
        <v>18</v>
      </c>
      <c r="B682" s="10" t="n">
        <v>742.48</v>
      </c>
      <c r="C682" s="10" t="s">
        <v>20</v>
      </c>
      <c r="D682" s="10" t="n">
        <v>0.5</v>
      </c>
      <c r="E682" s="10" t="n">
        <v>0.5</v>
      </c>
      <c r="F682" s="10" t="n">
        <v>0</v>
      </c>
      <c r="G682" s="10" t="n">
        <v>3</v>
      </c>
      <c r="H682" s="10" t="n">
        <v>26</v>
      </c>
      <c r="I682" s="10" t="s">
        <v>13</v>
      </c>
      <c r="J682" s="10" t="s">
        <v>38</v>
      </c>
      <c r="K682" s="10" t="s">
        <v>39</v>
      </c>
      <c r="L682" s="10" t="s">
        <v>42</v>
      </c>
    </row>
    <row r="683" customFormat="false" ht="15.75" hidden="false" customHeight="false" outlineLevel="0" collapsed="false">
      <c r="A683" s="10" t="n">
        <v>6</v>
      </c>
      <c r="B683" s="10" t="n">
        <v>785.92</v>
      </c>
      <c r="C683" s="10" t="s">
        <v>20</v>
      </c>
      <c r="D683" s="10" t="n">
        <v>0.5</v>
      </c>
      <c r="E683" s="10" t="n">
        <v>0.5</v>
      </c>
      <c r="F683" s="10" t="n">
        <v>0</v>
      </c>
      <c r="G683" s="10" t="n">
        <v>1</v>
      </c>
      <c r="H683" s="10" t="n">
        <v>56</v>
      </c>
      <c r="I683" s="10" t="s">
        <v>13</v>
      </c>
      <c r="J683" s="10" t="s">
        <v>36</v>
      </c>
      <c r="K683" s="10" t="s">
        <v>43</v>
      </c>
      <c r="L683" s="10" t="s">
        <v>42</v>
      </c>
    </row>
    <row r="684" customFormat="false" ht="15.75" hidden="false" customHeight="false" outlineLevel="0" collapsed="false">
      <c r="A684" s="10" t="n">
        <v>12</v>
      </c>
      <c r="B684" s="10" t="n">
        <v>1164.57</v>
      </c>
      <c r="C684" s="10" t="s">
        <v>15</v>
      </c>
      <c r="D684" s="10" t="n">
        <v>2.5</v>
      </c>
      <c r="E684" s="10" t="n">
        <v>2.5</v>
      </c>
      <c r="F684" s="10" t="n">
        <v>0</v>
      </c>
      <c r="G684" s="10" t="n">
        <v>4</v>
      </c>
      <c r="H684" s="10" t="n">
        <v>37</v>
      </c>
      <c r="I684" s="10" t="s">
        <v>13</v>
      </c>
      <c r="J684" s="10" t="s">
        <v>39</v>
      </c>
      <c r="K684" s="10" t="s">
        <v>37</v>
      </c>
      <c r="L684" s="10" t="s">
        <v>40</v>
      </c>
    </row>
    <row r="685" customFormat="false" ht="15.75" hidden="false" customHeight="false" outlineLevel="0" collapsed="false">
      <c r="A685" s="10" t="n">
        <v>15</v>
      </c>
      <c r="B685" s="10" t="n">
        <v>755.26</v>
      </c>
      <c r="C685" s="10" t="s">
        <v>15</v>
      </c>
      <c r="D685" s="10" t="n">
        <v>2.5</v>
      </c>
      <c r="E685" s="10" t="n">
        <v>2.5</v>
      </c>
      <c r="F685" s="10" t="n">
        <v>0</v>
      </c>
      <c r="G685" s="10" t="n">
        <v>4</v>
      </c>
      <c r="H685" s="10" t="n">
        <v>33</v>
      </c>
      <c r="I685" s="10" t="s">
        <v>13</v>
      </c>
      <c r="J685" s="10" t="s">
        <v>39</v>
      </c>
      <c r="K685" s="10" t="s">
        <v>37</v>
      </c>
      <c r="L685" s="10" t="s">
        <v>40</v>
      </c>
    </row>
    <row r="686" customFormat="false" ht="15.75" hidden="false" customHeight="false" outlineLevel="0" collapsed="false">
      <c r="A686" s="10" t="n">
        <v>24</v>
      </c>
      <c r="B686" s="10" t="n">
        <v>2607.63</v>
      </c>
      <c r="C686" s="10" t="s">
        <v>20</v>
      </c>
      <c r="D686" s="10" t="n">
        <v>0.5</v>
      </c>
      <c r="E686" s="10" t="n">
        <v>0.5</v>
      </c>
      <c r="F686" s="10" t="n">
        <v>0</v>
      </c>
      <c r="G686" s="10" t="n">
        <v>3</v>
      </c>
      <c r="H686" s="10" t="n">
        <v>47</v>
      </c>
      <c r="I686" s="10" t="s">
        <v>13</v>
      </c>
      <c r="J686" s="10" t="s">
        <v>39</v>
      </c>
      <c r="K686" s="10" t="s">
        <v>39</v>
      </c>
      <c r="L686" s="10" t="s">
        <v>42</v>
      </c>
    </row>
    <row r="687" customFormat="false" ht="15.75" hidden="false" customHeight="false" outlineLevel="0" collapsed="false">
      <c r="A687" s="10" t="n">
        <v>36</v>
      </c>
      <c r="B687" s="10" t="n">
        <v>5036.93</v>
      </c>
      <c r="C687" s="10" t="s">
        <v>17</v>
      </c>
      <c r="D687" s="10" t="n">
        <v>5.5</v>
      </c>
      <c r="E687" s="10" t="n">
        <v>5.5</v>
      </c>
      <c r="F687" s="10" t="n">
        <v>0</v>
      </c>
      <c r="G687" s="10" t="n">
        <v>1</v>
      </c>
      <c r="H687" s="10" t="n">
        <v>31</v>
      </c>
      <c r="I687" s="10" t="s">
        <v>13</v>
      </c>
      <c r="J687" s="10" t="s">
        <v>39</v>
      </c>
      <c r="K687" s="10" t="s">
        <v>43</v>
      </c>
      <c r="L687" s="10" t="s">
        <v>41</v>
      </c>
    </row>
    <row r="688" customFormat="false" ht="15.75" hidden="false" customHeight="false" outlineLevel="0" collapsed="false">
      <c r="A688" s="10" t="n">
        <v>60</v>
      </c>
      <c r="B688" s="10" t="n">
        <v>3335.3</v>
      </c>
      <c r="C688" s="10" t="s">
        <v>15</v>
      </c>
      <c r="D688" s="10" t="n">
        <v>2.5</v>
      </c>
      <c r="E688" s="10" t="n">
        <v>2.5</v>
      </c>
      <c r="F688" s="10" t="n">
        <v>0</v>
      </c>
      <c r="G688" s="10" t="n">
        <v>4</v>
      </c>
      <c r="H688" s="10" t="n">
        <v>34</v>
      </c>
      <c r="I688" s="10" t="s">
        <v>13</v>
      </c>
      <c r="J688" s="10" t="s">
        <v>39</v>
      </c>
      <c r="K688" s="10" t="s">
        <v>37</v>
      </c>
      <c r="L688" s="10" t="s">
        <v>40</v>
      </c>
    </row>
    <row r="689" customFormat="false" ht="15.75" hidden="false" customHeight="false" outlineLevel="0" collapsed="false">
      <c r="A689" s="10" t="n">
        <v>10</v>
      </c>
      <c r="B689" s="10" t="n">
        <v>688.32</v>
      </c>
      <c r="C689" s="10" t="s">
        <v>17</v>
      </c>
      <c r="D689" s="10" t="n">
        <v>5.5</v>
      </c>
      <c r="E689" s="10" t="n">
        <v>5.5</v>
      </c>
      <c r="F689" s="10" t="n">
        <v>0</v>
      </c>
      <c r="G689" s="10" t="n">
        <v>4</v>
      </c>
      <c r="H689" s="10" t="n">
        <v>27</v>
      </c>
      <c r="I689" s="10" t="s">
        <v>13</v>
      </c>
      <c r="J689" s="10" t="s">
        <v>38</v>
      </c>
      <c r="K689" s="10" t="s">
        <v>37</v>
      </c>
      <c r="L689" s="10" t="s">
        <v>41</v>
      </c>
    </row>
    <row r="690" customFormat="false" ht="15.75" hidden="false" customHeight="false" outlineLevel="0" collapsed="false">
      <c r="A690" s="10" t="n">
        <v>36</v>
      </c>
      <c r="B690" s="10" t="n">
        <v>1462.48</v>
      </c>
      <c r="C690" s="10" t="s">
        <v>12</v>
      </c>
      <c r="D690" s="10" t="n">
        <v>8</v>
      </c>
      <c r="E690" s="10" t="n">
        <v>8</v>
      </c>
      <c r="F690" s="10" t="n">
        <v>0</v>
      </c>
      <c r="G690" s="10" t="n">
        <v>4</v>
      </c>
      <c r="H690" s="10" t="n">
        <v>30</v>
      </c>
      <c r="I690" s="10" t="s">
        <v>13</v>
      </c>
      <c r="J690" s="10" t="s">
        <v>39</v>
      </c>
      <c r="K690" s="10" t="s">
        <v>37</v>
      </c>
      <c r="L690" s="10" t="s">
        <v>37</v>
      </c>
    </row>
    <row r="691" customFormat="false" ht="15.75" hidden="false" customHeight="false" outlineLevel="0" collapsed="false">
      <c r="A691" s="10" t="n">
        <v>9</v>
      </c>
      <c r="B691" s="10" t="n">
        <v>1406.78</v>
      </c>
      <c r="C691" s="10" t="s">
        <v>12</v>
      </c>
      <c r="D691" s="10" t="n">
        <v>8</v>
      </c>
      <c r="E691" s="10" t="n">
        <v>8</v>
      </c>
      <c r="F691" s="10" t="n">
        <v>0</v>
      </c>
      <c r="G691" s="10" t="n">
        <v>3</v>
      </c>
      <c r="H691" s="10" t="n">
        <v>35</v>
      </c>
      <c r="I691" s="10" t="s">
        <v>13</v>
      </c>
      <c r="J691" s="10" t="s">
        <v>39</v>
      </c>
      <c r="K691" s="10" t="s">
        <v>39</v>
      </c>
      <c r="L691" s="10" t="s">
        <v>37</v>
      </c>
    </row>
    <row r="692" customFormat="false" ht="15.75" hidden="false" customHeight="false" outlineLevel="0" collapsed="false">
      <c r="A692" s="10" t="n">
        <v>12</v>
      </c>
      <c r="B692" s="10" t="n">
        <v>1865.66</v>
      </c>
      <c r="C692" s="10" t="s">
        <v>15</v>
      </c>
      <c r="D692" s="10" t="n">
        <v>2.5</v>
      </c>
      <c r="E692" s="10" t="n">
        <v>2.5</v>
      </c>
      <c r="F692" s="10" t="n">
        <v>0</v>
      </c>
      <c r="G692" s="10" t="n">
        <v>1</v>
      </c>
      <c r="H692" s="10" t="n">
        <v>31</v>
      </c>
      <c r="I692" s="10" t="s">
        <v>13</v>
      </c>
      <c r="J692" s="10" t="s">
        <v>39</v>
      </c>
      <c r="K692" s="10" t="s">
        <v>43</v>
      </c>
      <c r="L692" s="10" t="s">
        <v>40</v>
      </c>
    </row>
    <row r="693" customFormat="false" ht="15.75" hidden="false" customHeight="false" outlineLevel="0" collapsed="false">
      <c r="A693" s="10" t="n">
        <v>15</v>
      </c>
      <c r="B693" s="10" t="n">
        <v>498.23</v>
      </c>
      <c r="C693" s="10" t="s">
        <v>15</v>
      </c>
      <c r="D693" s="10" t="n">
        <v>2.5</v>
      </c>
      <c r="E693" s="10" t="n">
        <v>2.5</v>
      </c>
      <c r="F693" s="10" t="n">
        <v>0</v>
      </c>
      <c r="G693" s="10" t="n">
        <v>2</v>
      </c>
      <c r="H693" s="10" t="n">
        <v>25</v>
      </c>
      <c r="I693" s="10" t="s">
        <v>13</v>
      </c>
      <c r="J693" s="10" t="s">
        <v>38</v>
      </c>
      <c r="K693" s="10" t="s">
        <v>39</v>
      </c>
      <c r="L693" s="10" t="s">
        <v>40</v>
      </c>
    </row>
    <row r="694" customFormat="false" ht="15.75" hidden="false" customHeight="false" outlineLevel="0" collapsed="false">
      <c r="A694" s="10" t="n">
        <v>15</v>
      </c>
      <c r="B694" s="10" t="n">
        <v>1344.44</v>
      </c>
      <c r="C694" s="10" t="s">
        <v>15</v>
      </c>
      <c r="D694" s="10" t="n">
        <v>2.5</v>
      </c>
      <c r="E694" s="10" t="n">
        <v>2.5</v>
      </c>
      <c r="F694" s="10" t="n">
        <v>0</v>
      </c>
      <c r="G694" s="10" t="n">
        <v>3</v>
      </c>
      <c r="H694" s="10" t="n">
        <v>25</v>
      </c>
      <c r="I694" s="10" t="s">
        <v>13</v>
      </c>
      <c r="J694" s="10" t="s">
        <v>38</v>
      </c>
      <c r="K694" s="10" t="s">
        <v>39</v>
      </c>
      <c r="L694" s="10" t="s">
        <v>40</v>
      </c>
    </row>
    <row r="695" customFormat="false" ht="15.75" hidden="false" customHeight="false" outlineLevel="0" collapsed="false">
      <c r="A695" s="10" t="n">
        <v>24</v>
      </c>
      <c r="B695" s="10" t="n">
        <v>1479.86</v>
      </c>
      <c r="C695" s="10" t="s">
        <v>20</v>
      </c>
      <c r="D695" s="10" t="n">
        <v>0.5</v>
      </c>
      <c r="E695" s="10" t="n">
        <v>0.5</v>
      </c>
      <c r="F695" s="10" t="n">
        <v>0</v>
      </c>
      <c r="G695" s="10" t="n">
        <v>2</v>
      </c>
      <c r="H695" s="10" t="n">
        <v>29</v>
      </c>
      <c r="I695" s="10" t="s">
        <v>13</v>
      </c>
      <c r="J695" s="10" t="s">
        <v>38</v>
      </c>
      <c r="K695" s="10" t="s">
        <v>39</v>
      </c>
      <c r="L695" s="10" t="s">
        <v>42</v>
      </c>
    </row>
    <row r="696" customFormat="false" ht="15.75" hidden="false" customHeight="false" outlineLevel="0" collapsed="false">
      <c r="A696" s="10" t="n">
        <v>6</v>
      </c>
      <c r="B696" s="10" t="n">
        <v>2409.88</v>
      </c>
      <c r="C696" s="10" t="s">
        <v>20</v>
      </c>
      <c r="D696" s="10" t="n">
        <v>0.5</v>
      </c>
      <c r="E696" s="10" t="n">
        <v>0.5</v>
      </c>
      <c r="F696" s="10" t="n">
        <v>0</v>
      </c>
      <c r="G696" s="10" t="n">
        <v>1</v>
      </c>
      <c r="H696" s="10" t="n">
        <v>44</v>
      </c>
      <c r="I696" s="10" t="s">
        <v>13</v>
      </c>
      <c r="J696" s="10" t="s">
        <v>39</v>
      </c>
      <c r="K696" s="10" t="s">
        <v>43</v>
      </c>
      <c r="L696" s="10" t="s">
        <v>42</v>
      </c>
    </row>
    <row r="697" customFormat="false" ht="15.75" hidden="false" customHeight="false" outlineLevel="0" collapsed="false">
      <c r="A697" s="10" t="n">
        <v>24</v>
      </c>
      <c r="B697" s="10" t="n">
        <v>1167.12</v>
      </c>
      <c r="C697" s="10" t="s">
        <v>17</v>
      </c>
      <c r="D697" s="10" t="n">
        <v>5.5</v>
      </c>
      <c r="E697" s="10" t="n">
        <v>5.5</v>
      </c>
      <c r="F697" s="10" t="n">
        <v>0</v>
      </c>
      <c r="G697" s="10" t="n">
        <v>4</v>
      </c>
      <c r="H697" s="10" t="n">
        <v>28</v>
      </c>
      <c r="I697" s="10" t="s">
        <v>13</v>
      </c>
      <c r="J697" s="10" t="s">
        <v>38</v>
      </c>
      <c r="K697" s="10" t="s">
        <v>37</v>
      </c>
      <c r="L697" s="10" t="s">
        <v>41</v>
      </c>
    </row>
    <row r="698" customFormat="false" ht="15.75" hidden="false" customHeight="false" outlineLevel="0" collapsed="false">
      <c r="A698" s="10" t="n">
        <v>6</v>
      </c>
      <c r="B698" s="10" t="n">
        <v>631.6</v>
      </c>
      <c r="C698" s="10" t="s">
        <v>15</v>
      </c>
      <c r="D698" s="10" t="n">
        <v>2.5</v>
      </c>
      <c r="E698" s="10" t="n">
        <v>2.5</v>
      </c>
      <c r="F698" s="10" t="n">
        <v>0</v>
      </c>
      <c r="G698" s="10" t="n">
        <v>2</v>
      </c>
      <c r="H698" s="10" t="n">
        <v>50</v>
      </c>
      <c r="I698" s="10" t="s">
        <v>13</v>
      </c>
      <c r="J698" s="10" t="s">
        <v>39</v>
      </c>
      <c r="K698" s="10" t="s">
        <v>39</v>
      </c>
      <c r="L698" s="10" t="s">
        <v>40</v>
      </c>
    </row>
    <row r="699" customFormat="false" ht="15.75" hidden="false" customHeight="false" outlineLevel="0" collapsed="false">
      <c r="A699" s="10" t="n">
        <v>12</v>
      </c>
      <c r="B699" s="10" t="n">
        <v>563.63</v>
      </c>
      <c r="C699" s="10" t="s">
        <v>17</v>
      </c>
      <c r="D699" s="10" t="n">
        <v>5.5</v>
      </c>
      <c r="E699" s="10" t="n">
        <v>5.5</v>
      </c>
      <c r="F699" s="10" t="n">
        <v>0</v>
      </c>
      <c r="G699" s="10" t="n">
        <v>4</v>
      </c>
      <c r="H699" s="10" t="n">
        <v>29</v>
      </c>
      <c r="I699" s="10" t="s">
        <v>13</v>
      </c>
      <c r="J699" s="10" t="s">
        <v>38</v>
      </c>
      <c r="K699" s="10" t="s">
        <v>37</v>
      </c>
      <c r="L699" s="10" t="s">
        <v>41</v>
      </c>
    </row>
    <row r="700" customFormat="false" ht="15.75" hidden="false" customHeight="false" outlineLevel="0" collapsed="false">
      <c r="A700" s="10" t="n">
        <v>12</v>
      </c>
      <c r="B700" s="10" t="n">
        <v>473.19</v>
      </c>
      <c r="C700" s="10" t="s">
        <v>19</v>
      </c>
      <c r="D700" s="10" t="n">
        <v>0</v>
      </c>
      <c r="E700" s="10" t="n">
        <v>0</v>
      </c>
      <c r="F700" s="10" t="n">
        <v>0</v>
      </c>
      <c r="G700" s="10" t="n">
        <v>1</v>
      </c>
      <c r="H700" s="10" t="n">
        <v>38</v>
      </c>
      <c r="I700" s="10" t="s">
        <v>13</v>
      </c>
      <c r="J700" s="10" t="s">
        <v>39</v>
      </c>
      <c r="K700" s="10" t="s">
        <v>43</v>
      </c>
      <c r="L700" s="10" t="s">
        <v>19</v>
      </c>
    </row>
    <row r="701" customFormat="false" ht="15.75" hidden="false" customHeight="false" outlineLevel="0" collapsed="false">
      <c r="A701" s="10" t="n">
        <v>18</v>
      </c>
      <c r="B701" s="10" t="n">
        <v>919.8</v>
      </c>
      <c r="C701" s="10" t="s">
        <v>15</v>
      </c>
      <c r="D701" s="10" t="n">
        <v>2.5</v>
      </c>
      <c r="E701" s="10" t="n">
        <v>2.5</v>
      </c>
      <c r="F701" s="10" t="n">
        <v>0</v>
      </c>
      <c r="G701" s="10" t="n">
        <v>4</v>
      </c>
      <c r="H701" s="10" t="n">
        <v>24</v>
      </c>
      <c r="I701" s="10" t="s">
        <v>13</v>
      </c>
      <c r="J701" s="10" t="s">
        <v>38</v>
      </c>
      <c r="K701" s="10" t="s">
        <v>37</v>
      </c>
      <c r="L701" s="10" t="s">
        <v>40</v>
      </c>
    </row>
    <row r="702" customFormat="false" ht="15.75" hidden="false" customHeight="false" outlineLevel="0" collapsed="false">
      <c r="A702" s="10" t="n">
        <v>15</v>
      </c>
      <c r="B702" s="10" t="n">
        <v>973.46</v>
      </c>
      <c r="C702" s="10" t="s">
        <v>12</v>
      </c>
      <c r="D702" s="10" t="n">
        <v>8</v>
      </c>
      <c r="E702" s="10" t="n">
        <v>8</v>
      </c>
      <c r="F702" s="10" t="n">
        <v>0</v>
      </c>
      <c r="G702" s="10" t="n">
        <v>4</v>
      </c>
      <c r="H702" s="10" t="n">
        <v>40</v>
      </c>
      <c r="I702" s="10" t="s">
        <v>13</v>
      </c>
      <c r="J702" s="10" t="s">
        <v>39</v>
      </c>
      <c r="K702" s="10" t="s">
        <v>37</v>
      </c>
      <c r="L702" s="10" t="s">
        <v>37</v>
      </c>
    </row>
    <row r="703" customFormat="false" ht="15.75" hidden="false" customHeight="false" outlineLevel="0" collapsed="false">
      <c r="A703" s="10" t="n">
        <v>12</v>
      </c>
      <c r="B703" s="10" t="n">
        <v>573.85</v>
      </c>
      <c r="C703" s="10" t="s">
        <v>15</v>
      </c>
      <c r="D703" s="10" t="n">
        <v>2.5</v>
      </c>
      <c r="E703" s="10" t="n">
        <v>2.5</v>
      </c>
      <c r="F703" s="10" t="n">
        <v>0</v>
      </c>
      <c r="G703" s="10" t="n">
        <v>4</v>
      </c>
      <c r="H703" s="10" t="n">
        <v>29</v>
      </c>
      <c r="I703" s="10" t="s">
        <v>16</v>
      </c>
      <c r="J703" s="10" t="s">
        <v>38</v>
      </c>
      <c r="K703" s="10" t="s">
        <v>37</v>
      </c>
      <c r="L703" s="10" t="s">
        <v>40</v>
      </c>
    </row>
    <row r="704" customFormat="false" ht="15.75" hidden="false" customHeight="false" outlineLevel="0" collapsed="false">
      <c r="A704" s="10" t="n">
        <v>48</v>
      </c>
      <c r="B704" s="10" t="n">
        <v>3235.14</v>
      </c>
      <c r="C704" s="10" t="s">
        <v>12</v>
      </c>
      <c r="D704" s="10" t="n">
        <v>8</v>
      </c>
      <c r="E704" s="10" t="n">
        <v>8</v>
      </c>
      <c r="F704" s="10" t="n">
        <v>0</v>
      </c>
      <c r="G704" s="10" t="n">
        <v>4</v>
      </c>
      <c r="H704" s="10" t="n">
        <v>46</v>
      </c>
      <c r="I704" s="10" t="s">
        <v>16</v>
      </c>
      <c r="J704" s="10" t="s">
        <v>39</v>
      </c>
      <c r="K704" s="10" t="s">
        <v>37</v>
      </c>
      <c r="L704" s="10" t="s">
        <v>37</v>
      </c>
    </row>
    <row r="705" customFormat="false" ht="15.75" hidden="false" customHeight="false" outlineLevel="0" collapsed="false">
      <c r="A705" s="10" t="n">
        <v>24</v>
      </c>
      <c r="B705" s="10" t="n">
        <v>703.65</v>
      </c>
      <c r="C705" s="10" t="s">
        <v>12</v>
      </c>
      <c r="D705" s="10" t="n">
        <v>8</v>
      </c>
      <c r="E705" s="10" t="n">
        <v>8</v>
      </c>
      <c r="F705" s="10" t="n">
        <v>0</v>
      </c>
      <c r="G705" s="10" t="n">
        <v>4</v>
      </c>
      <c r="H705" s="10" t="n">
        <v>47</v>
      </c>
      <c r="I705" s="10" t="s">
        <v>13</v>
      </c>
      <c r="J705" s="10" t="s">
        <v>39</v>
      </c>
      <c r="K705" s="10" t="s">
        <v>37</v>
      </c>
      <c r="L705" s="10" t="s">
        <v>37</v>
      </c>
    </row>
    <row r="706" customFormat="false" ht="15.75" hidden="false" customHeight="false" outlineLevel="0" collapsed="false">
      <c r="A706" s="10" t="n">
        <v>30</v>
      </c>
      <c r="B706" s="10" t="n">
        <v>1279.03</v>
      </c>
      <c r="C706" s="10" t="s">
        <v>12</v>
      </c>
      <c r="D706" s="10" t="n">
        <v>8</v>
      </c>
      <c r="E706" s="10" t="n">
        <v>8</v>
      </c>
      <c r="F706" s="10" t="n">
        <v>0</v>
      </c>
      <c r="G706" s="10" t="n">
        <v>4</v>
      </c>
      <c r="H706" s="10" t="n">
        <v>41</v>
      </c>
      <c r="I706" s="10" t="s">
        <v>13</v>
      </c>
      <c r="J706" s="10" t="s">
        <v>39</v>
      </c>
      <c r="K706" s="10" t="s">
        <v>37</v>
      </c>
      <c r="L706" s="10" t="s">
        <v>37</v>
      </c>
    </row>
    <row r="707" customFormat="false" ht="15.75" hidden="false" customHeight="false" outlineLevel="0" collapsed="false">
      <c r="A707" s="10" t="n">
        <v>27</v>
      </c>
      <c r="B707" s="10" t="n">
        <v>1291.81</v>
      </c>
      <c r="C707" s="10" t="s">
        <v>20</v>
      </c>
      <c r="D707" s="10" t="n">
        <v>0.5</v>
      </c>
      <c r="E707" s="10" t="n">
        <v>0.5</v>
      </c>
      <c r="F707" s="10" t="n">
        <v>0</v>
      </c>
      <c r="G707" s="10" t="n">
        <v>4</v>
      </c>
      <c r="H707" s="10" t="n">
        <v>32</v>
      </c>
      <c r="I707" s="10" t="s">
        <v>13</v>
      </c>
      <c r="J707" s="10" t="s">
        <v>39</v>
      </c>
      <c r="K707" s="10" t="s">
        <v>37</v>
      </c>
      <c r="L707" s="10" t="s">
        <v>42</v>
      </c>
    </row>
    <row r="708" customFormat="false" ht="15.75" hidden="false" customHeight="false" outlineLevel="0" collapsed="false">
      <c r="A708" s="10" t="n">
        <v>15</v>
      </c>
      <c r="B708" s="10" t="n">
        <v>2720.56</v>
      </c>
      <c r="C708" s="10" t="s">
        <v>12</v>
      </c>
      <c r="D708" s="10" t="n">
        <v>8</v>
      </c>
      <c r="E708" s="10" t="n">
        <v>8</v>
      </c>
      <c r="F708" s="10" t="n">
        <v>0</v>
      </c>
      <c r="G708" s="10" t="n">
        <v>1</v>
      </c>
      <c r="H708" s="10" t="n">
        <v>35</v>
      </c>
      <c r="I708" s="10" t="s">
        <v>13</v>
      </c>
      <c r="J708" s="10" t="s">
        <v>39</v>
      </c>
      <c r="K708" s="10" t="s">
        <v>43</v>
      </c>
      <c r="L708" s="10" t="s">
        <v>37</v>
      </c>
    </row>
    <row r="709" customFormat="false" ht="15.75" hidden="false" customHeight="false" outlineLevel="0" collapsed="false">
      <c r="A709" s="10" t="n">
        <v>48</v>
      </c>
      <c r="B709" s="10" t="n">
        <v>3352.16</v>
      </c>
      <c r="C709" s="10" t="s">
        <v>17</v>
      </c>
      <c r="D709" s="10" t="n">
        <v>5.5</v>
      </c>
      <c r="E709" s="10" t="n">
        <v>5.5</v>
      </c>
      <c r="F709" s="10" t="n">
        <v>0</v>
      </c>
      <c r="G709" s="10" t="n">
        <v>3</v>
      </c>
      <c r="H709" s="10" t="n">
        <v>24</v>
      </c>
      <c r="I709" s="10" t="s">
        <v>16</v>
      </c>
      <c r="J709" s="10" t="s">
        <v>38</v>
      </c>
      <c r="K709" s="10" t="s">
        <v>39</v>
      </c>
      <c r="L709" s="10" t="s">
        <v>41</v>
      </c>
    </row>
    <row r="710" customFormat="false" ht="15.75" hidden="false" customHeight="false" outlineLevel="0" collapsed="false">
      <c r="A710" s="10" t="n">
        <v>12</v>
      </c>
      <c r="B710" s="10" t="n">
        <v>1517.16</v>
      </c>
      <c r="C710" s="10" t="s">
        <v>20</v>
      </c>
      <c r="D710" s="10" t="n">
        <v>0.5</v>
      </c>
      <c r="E710" s="10" t="n">
        <v>0.5</v>
      </c>
      <c r="F710" s="10" t="n">
        <v>0</v>
      </c>
      <c r="G710" s="10" t="n">
        <v>4</v>
      </c>
      <c r="H710" s="10" t="n">
        <v>25</v>
      </c>
      <c r="I710" s="10" t="s">
        <v>16</v>
      </c>
      <c r="J710" s="10" t="s">
        <v>38</v>
      </c>
      <c r="K710" s="10" t="s">
        <v>37</v>
      </c>
      <c r="L710" s="10" t="s">
        <v>42</v>
      </c>
    </row>
    <row r="711" customFormat="false" ht="15.75" hidden="false" customHeight="false" outlineLevel="0" collapsed="false">
      <c r="A711" s="10" t="n">
        <v>9</v>
      </c>
      <c r="B711" s="10" t="n">
        <v>616.27</v>
      </c>
      <c r="C711" s="10" t="s">
        <v>12</v>
      </c>
      <c r="D711" s="10" t="n">
        <v>8</v>
      </c>
      <c r="E711" s="10" t="n">
        <v>7</v>
      </c>
      <c r="F711" s="10" t="n">
        <v>1</v>
      </c>
      <c r="G711" s="10" t="n">
        <v>4</v>
      </c>
      <c r="H711" s="10" t="n">
        <v>25</v>
      </c>
      <c r="I711" s="10" t="s">
        <v>13</v>
      </c>
      <c r="J711" s="10" t="s">
        <v>38</v>
      </c>
      <c r="K711" s="10" t="s">
        <v>37</v>
      </c>
      <c r="L711" s="10" t="s">
        <v>37</v>
      </c>
    </row>
    <row r="712" customFormat="false" ht="15.75" hidden="false" customHeight="false" outlineLevel="0" collapsed="false">
      <c r="A712" s="10" t="n">
        <v>9</v>
      </c>
      <c r="B712" s="10" t="n">
        <v>1082.3</v>
      </c>
      <c r="C712" s="10" t="s">
        <v>15</v>
      </c>
      <c r="D712" s="10" t="n">
        <v>2.5</v>
      </c>
      <c r="E712" s="10" t="n">
        <v>2.5</v>
      </c>
      <c r="F712" s="10" t="n">
        <v>0</v>
      </c>
      <c r="G712" s="10" t="n">
        <v>2</v>
      </c>
      <c r="H712" s="10" t="n">
        <v>37</v>
      </c>
      <c r="I712" s="10" t="s">
        <v>13</v>
      </c>
      <c r="J712" s="10" t="s">
        <v>39</v>
      </c>
      <c r="K712" s="10" t="s">
        <v>39</v>
      </c>
      <c r="L712" s="10" t="s">
        <v>40</v>
      </c>
    </row>
    <row r="713" customFormat="false" ht="15.75" hidden="false" customHeight="false" outlineLevel="0" collapsed="false">
      <c r="A713" s="10" t="n">
        <v>18</v>
      </c>
      <c r="B713" s="10" t="n">
        <v>321.42</v>
      </c>
      <c r="C713" s="10" t="s">
        <v>12</v>
      </c>
      <c r="D713" s="10" t="n">
        <v>8</v>
      </c>
      <c r="E713" s="10" t="n">
        <v>8</v>
      </c>
      <c r="F713" s="10" t="n">
        <v>0</v>
      </c>
      <c r="G713" s="10" t="n">
        <v>4</v>
      </c>
      <c r="H713" s="10" t="n">
        <v>32</v>
      </c>
      <c r="I713" s="10" t="s">
        <v>13</v>
      </c>
      <c r="J713" s="10" t="s">
        <v>39</v>
      </c>
      <c r="K713" s="10" t="s">
        <v>37</v>
      </c>
      <c r="L713" s="10" t="s">
        <v>37</v>
      </c>
    </row>
    <row r="714" customFormat="false" ht="15.75" hidden="false" customHeight="false" outlineLevel="0" collapsed="false">
      <c r="A714" s="10" t="n">
        <v>6</v>
      </c>
      <c r="B714" s="10" t="n">
        <v>612.18</v>
      </c>
      <c r="C714" s="10" t="s">
        <v>12</v>
      </c>
      <c r="D714" s="10" t="n">
        <v>8</v>
      </c>
      <c r="E714" s="10" t="n">
        <v>8</v>
      </c>
      <c r="F714" s="10" t="n">
        <v>0</v>
      </c>
      <c r="G714" s="10" t="n">
        <v>4</v>
      </c>
      <c r="H714" s="10" t="n">
        <v>35</v>
      </c>
      <c r="I714" s="10" t="s">
        <v>16</v>
      </c>
      <c r="J714" s="10" t="s">
        <v>39</v>
      </c>
      <c r="K714" s="10" t="s">
        <v>37</v>
      </c>
      <c r="L714" s="10" t="s">
        <v>37</v>
      </c>
    </row>
    <row r="715" customFormat="false" ht="15.75" hidden="false" customHeight="false" outlineLevel="0" collapsed="false">
      <c r="A715" s="10" t="n">
        <v>21</v>
      </c>
      <c r="B715" s="10" t="n">
        <v>1265.24</v>
      </c>
      <c r="C715" s="10" t="s">
        <v>12</v>
      </c>
      <c r="D715" s="10" t="n">
        <v>8</v>
      </c>
      <c r="E715" s="10" t="n">
        <v>8</v>
      </c>
      <c r="F715" s="10" t="n">
        <v>0</v>
      </c>
      <c r="G715" s="10" t="n">
        <v>4</v>
      </c>
      <c r="H715" s="10" t="n">
        <v>46</v>
      </c>
      <c r="I715" s="10" t="s">
        <v>13</v>
      </c>
      <c r="J715" s="10" t="s">
        <v>39</v>
      </c>
      <c r="K715" s="10" t="s">
        <v>37</v>
      </c>
      <c r="L715" s="10" t="s">
        <v>37</v>
      </c>
    </row>
    <row r="716" customFormat="false" ht="15.75" hidden="false" customHeight="false" outlineLevel="0" collapsed="false">
      <c r="A716" s="10" t="n">
        <v>9</v>
      </c>
      <c r="B716" s="10" t="n">
        <v>581.52</v>
      </c>
      <c r="C716" s="10" t="s">
        <v>15</v>
      </c>
      <c r="D716" s="10" t="n">
        <v>2.5</v>
      </c>
      <c r="E716" s="10" t="n">
        <v>2.5</v>
      </c>
      <c r="F716" s="10" t="n">
        <v>0</v>
      </c>
      <c r="G716" s="10" t="n">
        <v>4</v>
      </c>
      <c r="H716" s="10" t="n">
        <v>25</v>
      </c>
      <c r="I716" s="10" t="s">
        <v>13</v>
      </c>
      <c r="J716" s="10" t="s">
        <v>38</v>
      </c>
      <c r="K716" s="10" t="s">
        <v>37</v>
      </c>
      <c r="L716" s="10" t="s">
        <v>40</v>
      </c>
    </row>
    <row r="717" customFormat="false" ht="15.75" hidden="false" customHeight="false" outlineLevel="0" collapsed="false">
      <c r="A717" s="10" t="n">
        <v>60</v>
      </c>
      <c r="B717" s="10" t="n">
        <v>7167.8</v>
      </c>
      <c r="C717" s="10" t="s">
        <v>17</v>
      </c>
      <c r="D717" s="10" t="n">
        <v>5.5</v>
      </c>
      <c r="E717" s="10" t="n">
        <v>5.5</v>
      </c>
      <c r="F717" s="10" t="n">
        <v>0</v>
      </c>
      <c r="G717" s="10" t="n">
        <v>4</v>
      </c>
      <c r="H717" s="10" t="n">
        <v>27</v>
      </c>
      <c r="I717" s="10" t="s">
        <v>16</v>
      </c>
      <c r="J717" s="10" t="s">
        <v>38</v>
      </c>
      <c r="K717" s="10" t="s">
        <v>37</v>
      </c>
      <c r="L717" s="10" t="s">
        <v>41</v>
      </c>
    </row>
    <row r="718" customFormat="false" ht="15.75" hidden="false" customHeight="false" outlineLevel="0" collapsed="false">
      <c r="A718" s="10" t="n">
        <v>30</v>
      </c>
      <c r="B718" s="10" t="n">
        <v>3881.56</v>
      </c>
      <c r="C718" s="10" t="s">
        <v>12</v>
      </c>
      <c r="D718" s="10" t="n">
        <v>8</v>
      </c>
      <c r="E718" s="10" t="n">
        <v>8</v>
      </c>
      <c r="F718" s="10" t="n">
        <v>0</v>
      </c>
      <c r="G718" s="10" t="n">
        <v>1</v>
      </c>
      <c r="H718" s="10" t="n">
        <v>63</v>
      </c>
      <c r="I718" s="10" t="s">
        <v>13</v>
      </c>
      <c r="J718" s="10" t="s">
        <v>36</v>
      </c>
      <c r="K718" s="10" t="s">
        <v>43</v>
      </c>
      <c r="L718" s="10" t="s">
        <v>37</v>
      </c>
    </row>
    <row r="719" customFormat="false" ht="15.75" hidden="false" customHeight="false" outlineLevel="0" collapsed="false">
      <c r="A719" s="10" t="n">
        <v>30</v>
      </c>
      <c r="B719" s="10" t="n">
        <v>1572.35</v>
      </c>
      <c r="C719" s="10" t="s">
        <v>12</v>
      </c>
      <c r="D719" s="10" t="n">
        <v>8</v>
      </c>
      <c r="E719" s="10" t="n">
        <v>8</v>
      </c>
      <c r="F719" s="10" t="n">
        <v>0</v>
      </c>
      <c r="G719" s="10" t="n">
        <v>3</v>
      </c>
      <c r="H719" s="10" t="n">
        <v>40</v>
      </c>
      <c r="I719" s="10" t="s">
        <v>13</v>
      </c>
      <c r="J719" s="10" t="s">
        <v>39</v>
      </c>
      <c r="K719" s="10" t="s">
        <v>39</v>
      </c>
      <c r="L719" s="10" t="s">
        <v>37</v>
      </c>
    </row>
    <row r="720" customFormat="false" ht="15.75" hidden="false" customHeight="false" outlineLevel="0" collapsed="false">
      <c r="A720" s="10" t="n">
        <v>18</v>
      </c>
      <c r="B720" s="10" t="n">
        <v>769.06</v>
      </c>
      <c r="C720" s="10" t="s">
        <v>15</v>
      </c>
      <c r="D720" s="10" t="n">
        <v>2.5</v>
      </c>
      <c r="E720" s="10" t="n">
        <v>2.5</v>
      </c>
      <c r="F720" s="10" t="n">
        <v>0</v>
      </c>
      <c r="G720" s="10" t="n">
        <v>4</v>
      </c>
      <c r="H720" s="10" t="n">
        <v>32</v>
      </c>
      <c r="I720" s="10" t="s">
        <v>13</v>
      </c>
      <c r="J720" s="10" t="s">
        <v>39</v>
      </c>
      <c r="K720" s="10" t="s">
        <v>37</v>
      </c>
      <c r="L720" s="10" t="s">
        <v>40</v>
      </c>
    </row>
    <row r="721" customFormat="false" ht="15.75" hidden="false" customHeight="false" outlineLevel="0" collapsed="false">
      <c r="A721" s="10" t="n">
        <v>24</v>
      </c>
      <c r="B721" s="10" t="n">
        <v>1608.63</v>
      </c>
      <c r="C721" s="10" t="s">
        <v>15</v>
      </c>
      <c r="D721" s="10" t="n">
        <v>2.5</v>
      </c>
      <c r="E721" s="10" t="n">
        <v>2.5</v>
      </c>
      <c r="F721" s="10" t="n">
        <v>0</v>
      </c>
      <c r="G721" s="10" t="n">
        <v>3</v>
      </c>
      <c r="H721" s="10" t="n">
        <v>31</v>
      </c>
      <c r="I721" s="10" t="s">
        <v>13</v>
      </c>
      <c r="J721" s="10" t="s">
        <v>39</v>
      </c>
      <c r="K721" s="10" t="s">
        <v>39</v>
      </c>
      <c r="L721" s="10" t="s">
        <v>40</v>
      </c>
    </row>
    <row r="722" customFormat="false" ht="15.75" hidden="false" customHeight="false" outlineLevel="0" collapsed="false">
      <c r="A722" s="10" t="n">
        <v>20</v>
      </c>
      <c r="B722" s="10" t="n">
        <v>3141.63</v>
      </c>
      <c r="C722" s="10" t="s">
        <v>12</v>
      </c>
      <c r="D722" s="10" t="n">
        <v>8</v>
      </c>
      <c r="E722" s="10" t="n">
        <v>8</v>
      </c>
      <c r="F722" s="10" t="n">
        <v>0</v>
      </c>
      <c r="G722" s="10" t="n">
        <v>3</v>
      </c>
      <c r="H722" s="10" t="n">
        <v>31</v>
      </c>
      <c r="I722" s="10" t="s">
        <v>13</v>
      </c>
      <c r="J722" s="10" t="s">
        <v>39</v>
      </c>
      <c r="K722" s="10" t="s">
        <v>39</v>
      </c>
      <c r="L722" s="10" t="s">
        <v>37</v>
      </c>
    </row>
    <row r="723" customFormat="false" ht="15.75" hidden="false" customHeight="false" outlineLevel="0" collapsed="false">
      <c r="A723" s="10" t="n">
        <v>9</v>
      </c>
      <c r="B723" s="10" t="n">
        <v>683.21</v>
      </c>
      <c r="C723" s="10" t="s">
        <v>20</v>
      </c>
      <c r="D723" s="10" t="n">
        <v>0.5</v>
      </c>
      <c r="E723" s="10" t="n">
        <v>0.5</v>
      </c>
      <c r="F723" s="10" t="n">
        <v>0</v>
      </c>
      <c r="G723" s="10" t="n">
        <v>4</v>
      </c>
      <c r="H723" s="10" t="n">
        <v>34</v>
      </c>
      <c r="I723" s="10" t="s">
        <v>16</v>
      </c>
      <c r="J723" s="10" t="s">
        <v>39</v>
      </c>
      <c r="K723" s="10" t="s">
        <v>37</v>
      </c>
      <c r="L723" s="10" t="s">
        <v>42</v>
      </c>
    </row>
    <row r="724" customFormat="false" ht="15.75" hidden="false" customHeight="false" outlineLevel="0" collapsed="false">
      <c r="A724" s="10" t="n">
        <v>6</v>
      </c>
      <c r="B724" s="10" t="n">
        <v>221.26</v>
      </c>
      <c r="C724" s="10" t="s">
        <v>20</v>
      </c>
      <c r="D724" s="10" t="n">
        <v>0.5</v>
      </c>
      <c r="E724" s="10" t="n">
        <v>0.5</v>
      </c>
      <c r="F724" s="10" t="n">
        <v>0</v>
      </c>
      <c r="G724" s="10" t="n">
        <v>4</v>
      </c>
      <c r="H724" s="10" t="n">
        <v>24</v>
      </c>
      <c r="I724" s="10" t="s">
        <v>16</v>
      </c>
      <c r="J724" s="10" t="s">
        <v>38</v>
      </c>
      <c r="K724" s="10" t="s">
        <v>37</v>
      </c>
      <c r="L724" s="10" t="s">
        <v>42</v>
      </c>
    </row>
    <row r="725" customFormat="false" ht="15.75" hidden="false" customHeight="false" outlineLevel="0" collapsed="false">
      <c r="A725" s="10" t="n">
        <v>12</v>
      </c>
      <c r="B725" s="10" t="n">
        <v>627.51</v>
      </c>
      <c r="C725" s="10" t="s">
        <v>15</v>
      </c>
      <c r="D725" s="10" t="n">
        <v>2.5</v>
      </c>
      <c r="E725" s="10" t="n">
        <v>2.5</v>
      </c>
      <c r="F725" s="10" t="n">
        <v>0</v>
      </c>
      <c r="G725" s="10" t="n">
        <v>4</v>
      </c>
      <c r="H725" s="10" t="n">
        <v>24</v>
      </c>
      <c r="I725" s="10" t="s">
        <v>16</v>
      </c>
      <c r="J725" s="10" t="s">
        <v>38</v>
      </c>
      <c r="K725" s="10" t="s">
        <v>37</v>
      </c>
      <c r="L725" s="10" t="s">
        <v>40</v>
      </c>
    </row>
    <row r="726" customFormat="false" ht="15.75" hidden="false" customHeight="false" outlineLevel="0" collapsed="false">
      <c r="A726" s="10" t="n">
        <v>9</v>
      </c>
      <c r="B726" s="10" t="n">
        <v>403.69</v>
      </c>
      <c r="C726" s="10" t="s">
        <v>15</v>
      </c>
      <c r="D726" s="10" t="n">
        <v>2.5</v>
      </c>
      <c r="E726" s="10" t="n">
        <v>2.5</v>
      </c>
      <c r="F726" s="10" t="n">
        <v>0</v>
      </c>
      <c r="G726" s="10" t="n">
        <v>4</v>
      </c>
      <c r="H726" s="10" t="n">
        <v>66</v>
      </c>
      <c r="I726" s="10" t="s">
        <v>13</v>
      </c>
      <c r="J726" s="10" t="s">
        <v>36</v>
      </c>
      <c r="K726" s="10" t="s">
        <v>37</v>
      </c>
      <c r="L726" s="10" t="s">
        <v>40</v>
      </c>
    </row>
    <row r="727" customFormat="false" ht="15.75" hidden="false" customHeight="false" outlineLevel="0" collapsed="false">
      <c r="A727" s="10" t="n">
        <v>27</v>
      </c>
      <c r="B727" s="10" t="n">
        <v>1313.27</v>
      </c>
      <c r="C727" s="10" t="s">
        <v>15</v>
      </c>
      <c r="D727" s="10" t="n">
        <v>2.5</v>
      </c>
      <c r="E727" s="10" t="n">
        <v>2.5</v>
      </c>
      <c r="F727" s="10" t="n">
        <v>0</v>
      </c>
      <c r="G727" s="10" t="n">
        <v>3</v>
      </c>
      <c r="H727" s="10" t="n">
        <v>21</v>
      </c>
      <c r="I727" s="10" t="s">
        <v>16</v>
      </c>
      <c r="J727" s="10" t="s">
        <v>38</v>
      </c>
      <c r="K727" s="10" t="s">
        <v>39</v>
      </c>
      <c r="L727" s="10" t="s">
        <v>40</v>
      </c>
    </row>
    <row r="728" customFormat="false" ht="15.75" hidden="false" customHeight="false" outlineLevel="0" collapsed="false">
      <c r="A728" s="10" t="n">
        <v>6</v>
      </c>
      <c r="B728" s="10" t="n">
        <v>127.75</v>
      </c>
      <c r="C728" s="10" t="s">
        <v>15</v>
      </c>
      <c r="D728" s="10" t="n">
        <v>2.5</v>
      </c>
      <c r="E728" s="10" t="n">
        <v>2.5</v>
      </c>
      <c r="F728" s="10" t="n">
        <v>0</v>
      </c>
      <c r="G728" s="10" t="n">
        <v>2</v>
      </c>
      <c r="H728" s="10" t="n">
        <v>41</v>
      </c>
      <c r="I728" s="10" t="s">
        <v>13</v>
      </c>
      <c r="J728" s="10" t="s">
        <v>39</v>
      </c>
      <c r="K728" s="10" t="s">
        <v>39</v>
      </c>
      <c r="L728" s="10" t="s">
        <v>40</v>
      </c>
    </row>
    <row r="729" customFormat="false" ht="15.75" hidden="false" customHeight="false" outlineLevel="0" collapsed="false">
      <c r="A729" s="10" t="n">
        <v>15</v>
      </c>
      <c r="B729" s="10" t="n">
        <v>672.48</v>
      </c>
      <c r="C729" s="10" t="s">
        <v>15</v>
      </c>
      <c r="D729" s="10" t="n">
        <v>2.5</v>
      </c>
      <c r="E729" s="10" t="n">
        <v>2.5</v>
      </c>
      <c r="F729" s="10" t="n">
        <v>0</v>
      </c>
      <c r="G729" s="10" t="n">
        <v>2</v>
      </c>
      <c r="H729" s="10" t="n">
        <v>47</v>
      </c>
      <c r="I729" s="10" t="s">
        <v>13</v>
      </c>
      <c r="J729" s="10" t="s">
        <v>39</v>
      </c>
      <c r="K729" s="10" t="s">
        <v>39</v>
      </c>
      <c r="L729" s="10" t="s">
        <v>40</v>
      </c>
    </row>
    <row r="730" customFormat="false" ht="15.75" hidden="false" customHeight="false" outlineLevel="0" collapsed="false">
      <c r="A730" s="10" t="n">
        <v>18</v>
      </c>
      <c r="B730" s="10" t="n">
        <v>961.7</v>
      </c>
      <c r="C730" s="10" t="s">
        <v>15</v>
      </c>
      <c r="D730" s="10" t="n">
        <v>2.5</v>
      </c>
      <c r="E730" s="10" t="n">
        <v>2.5</v>
      </c>
      <c r="F730" s="10" t="n">
        <v>0</v>
      </c>
      <c r="G730" s="10" t="n">
        <v>4</v>
      </c>
      <c r="H730" s="10" t="n">
        <v>25</v>
      </c>
      <c r="I730" s="10" t="s">
        <v>16</v>
      </c>
      <c r="J730" s="10" t="s">
        <v>38</v>
      </c>
      <c r="K730" s="10" t="s">
        <v>37</v>
      </c>
      <c r="L730" s="10" t="s">
        <v>40</v>
      </c>
    </row>
    <row r="731" customFormat="false" ht="15.75" hidden="false" customHeight="false" outlineLevel="0" collapsed="false">
      <c r="A731" s="10" t="n">
        <v>48</v>
      </c>
      <c r="B731" s="10" t="n">
        <v>3278.58</v>
      </c>
      <c r="C731" s="10" t="s">
        <v>12</v>
      </c>
      <c r="D731" s="10" t="n">
        <v>8</v>
      </c>
      <c r="E731" s="10" t="n">
        <v>8</v>
      </c>
      <c r="F731" s="10" t="n">
        <v>0</v>
      </c>
      <c r="G731" s="10" t="n">
        <v>4</v>
      </c>
      <c r="H731" s="10" t="n">
        <v>59</v>
      </c>
      <c r="I731" s="10" t="s">
        <v>16</v>
      </c>
      <c r="J731" s="10" t="s">
        <v>36</v>
      </c>
      <c r="K731" s="10" t="s">
        <v>37</v>
      </c>
      <c r="L731" s="10" t="s">
        <v>37</v>
      </c>
    </row>
    <row r="732" customFormat="false" ht="15.75" hidden="false" customHeight="false" outlineLevel="0" collapsed="false">
      <c r="A732" s="10" t="n">
        <v>24</v>
      </c>
      <c r="B732" s="10" t="n">
        <v>651.53</v>
      </c>
      <c r="C732" s="10" t="s">
        <v>15</v>
      </c>
      <c r="D732" s="10" t="n">
        <v>2.5</v>
      </c>
      <c r="E732" s="10" t="n">
        <v>2.5</v>
      </c>
      <c r="F732" s="10" t="n">
        <v>0</v>
      </c>
      <c r="G732" s="10" t="n">
        <v>2</v>
      </c>
      <c r="H732" s="10" t="n">
        <v>36</v>
      </c>
      <c r="I732" s="10" t="s">
        <v>13</v>
      </c>
      <c r="J732" s="10" t="s">
        <v>39</v>
      </c>
      <c r="K732" s="10" t="s">
        <v>39</v>
      </c>
      <c r="L732" s="10" t="s">
        <v>40</v>
      </c>
    </row>
    <row r="733" customFormat="false" ht="15.75" hidden="false" customHeight="false" outlineLevel="0" collapsed="false">
      <c r="A733" s="10" t="n">
        <v>24</v>
      </c>
      <c r="B733" s="10" t="n">
        <v>3271.93</v>
      </c>
      <c r="C733" s="10" t="s">
        <v>20</v>
      </c>
      <c r="D733" s="10" t="n">
        <v>0.5</v>
      </c>
      <c r="E733" s="10" t="n">
        <v>0.5</v>
      </c>
      <c r="F733" s="10" t="n">
        <v>0</v>
      </c>
      <c r="G733" s="10" t="n">
        <v>1</v>
      </c>
      <c r="H733" s="10" t="n">
        <v>33</v>
      </c>
      <c r="I733" s="10" t="s">
        <v>13</v>
      </c>
      <c r="J733" s="10" t="s">
        <v>39</v>
      </c>
      <c r="K733" s="10" t="s">
        <v>43</v>
      </c>
      <c r="L733" s="10" t="s">
        <v>42</v>
      </c>
    </row>
    <row r="734" customFormat="false" ht="15.75" hidden="false" customHeight="false" outlineLevel="0" collapsed="false">
      <c r="A734" s="10" t="n">
        <v>24</v>
      </c>
      <c r="B734" s="10" t="n">
        <v>1015.36</v>
      </c>
      <c r="C734" s="10" t="s">
        <v>15</v>
      </c>
      <c r="D734" s="10" t="n">
        <v>2.5</v>
      </c>
      <c r="E734" s="10" t="n">
        <v>2.5</v>
      </c>
      <c r="F734" s="10" t="n">
        <v>0</v>
      </c>
      <c r="G734" s="10" t="n">
        <v>2</v>
      </c>
      <c r="H734" s="10" t="n">
        <v>21</v>
      </c>
      <c r="I734" s="10" t="s">
        <v>16</v>
      </c>
      <c r="J734" s="10" t="s">
        <v>38</v>
      </c>
      <c r="K734" s="10" t="s">
        <v>39</v>
      </c>
      <c r="L734" s="10" t="s">
        <v>40</v>
      </c>
    </row>
    <row r="735" customFormat="false" ht="15.75" hidden="false" customHeight="false" outlineLevel="0" collapsed="false">
      <c r="A735" s="10" t="n">
        <v>8</v>
      </c>
      <c r="B735" s="10" t="n">
        <v>388.36</v>
      </c>
      <c r="C735" s="10" t="s">
        <v>17</v>
      </c>
      <c r="D735" s="10" t="n">
        <v>5.5</v>
      </c>
      <c r="E735" s="10" t="n">
        <v>5.5</v>
      </c>
      <c r="F735" s="10" t="n">
        <v>0</v>
      </c>
      <c r="G735" s="10" t="n">
        <v>4</v>
      </c>
      <c r="H735" s="10" t="n">
        <v>44</v>
      </c>
      <c r="I735" s="10" t="s">
        <v>13</v>
      </c>
      <c r="J735" s="10" t="s">
        <v>39</v>
      </c>
      <c r="K735" s="10" t="s">
        <v>37</v>
      </c>
      <c r="L735" s="10" t="s">
        <v>41</v>
      </c>
    </row>
    <row r="736" customFormat="false" ht="15.75" hidden="false" customHeight="false" outlineLevel="0" collapsed="false">
      <c r="A736" s="10" t="n">
        <v>24</v>
      </c>
      <c r="B736" s="10" t="n">
        <v>1330.13</v>
      </c>
      <c r="C736" s="10" t="s">
        <v>15</v>
      </c>
      <c r="D736" s="10" t="n">
        <v>2.5</v>
      </c>
      <c r="E736" s="10" t="n">
        <v>2.5</v>
      </c>
      <c r="F736" s="10" t="n">
        <v>0</v>
      </c>
      <c r="G736" s="10" t="n">
        <v>2</v>
      </c>
      <c r="H736" s="10" t="n">
        <v>28</v>
      </c>
      <c r="I736" s="10" t="s">
        <v>13</v>
      </c>
      <c r="J736" s="10" t="s">
        <v>38</v>
      </c>
      <c r="K736" s="10" t="s">
        <v>39</v>
      </c>
      <c r="L736" s="10" t="s">
        <v>40</v>
      </c>
    </row>
    <row r="737" customFormat="false" ht="15.75" hidden="false" customHeight="false" outlineLevel="0" collapsed="false">
      <c r="A737" s="10" t="n">
        <v>4</v>
      </c>
      <c r="B737" s="10" t="n">
        <v>1727.18</v>
      </c>
      <c r="C737" s="10" t="s">
        <v>17</v>
      </c>
      <c r="D737" s="10" t="n">
        <v>5.5</v>
      </c>
      <c r="E737" s="10" t="n">
        <v>5.5</v>
      </c>
      <c r="F737" s="10" t="n">
        <v>0</v>
      </c>
      <c r="G737" s="10" t="n">
        <v>1</v>
      </c>
      <c r="H737" s="10" t="n">
        <v>37</v>
      </c>
      <c r="I737" s="10" t="s">
        <v>13</v>
      </c>
      <c r="J737" s="10" t="s">
        <v>39</v>
      </c>
      <c r="K737" s="10" t="s">
        <v>43</v>
      </c>
      <c r="L737" s="10" t="s">
        <v>41</v>
      </c>
    </row>
    <row r="738" customFormat="false" ht="15.75" hidden="false" customHeight="false" outlineLevel="0" collapsed="false">
      <c r="A738" s="10" t="n">
        <v>36</v>
      </c>
      <c r="B738" s="10" t="n">
        <v>2038.89</v>
      </c>
      <c r="C738" s="10" t="s">
        <v>20</v>
      </c>
      <c r="D738" s="10" t="n">
        <v>0.5</v>
      </c>
      <c r="E738" s="10" t="n">
        <v>0.5</v>
      </c>
      <c r="F738" s="10" t="n">
        <v>0</v>
      </c>
      <c r="G738" s="10" t="n">
        <v>3</v>
      </c>
      <c r="H738" s="10" t="n">
        <v>29</v>
      </c>
      <c r="I738" s="10" t="s">
        <v>13</v>
      </c>
      <c r="J738" s="10" t="s">
        <v>38</v>
      </c>
      <c r="K738" s="10" t="s">
        <v>39</v>
      </c>
      <c r="L738" s="10" t="s">
        <v>42</v>
      </c>
    </row>
    <row r="739" customFormat="false" ht="15.75" hidden="false" customHeight="false" outlineLevel="0" collapsed="false">
      <c r="A739" s="10" t="n">
        <v>24</v>
      </c>
      <c r="B739" s="10" t="n">
        <v>5907.16</v>
      </c>
      <c r="C739" s="10" t="s">
        <v>15</v>
      </c>
      <c r="D739" s="10" t="n">
        <v>2.5</v>
      </c>
      <c r="E739" s="10" t="n">
        <v>2.5</v>
      </c>
      <c r="F739" s="10" t="n">
        <v>0</v>
      </c>
      <c r="G739" s="10" t="n">
        <v>1</v>
      </c>
      <c r="H739" s="10" t="n">
        <v>23</v>
      </c>
      <c r="I739" s="10" t="s">
        <v>16</v>
      </c>
      <c r="J739" s="10" t="s">
        <v>38</v>
      </c>
      <c r="K739" s="10" t="s">
        <v>43</v>
      </c>
      <c r="L739" s="10" t="s">
        <v>40</v>
      </c>
    </row>
    <row r="740" customFormat="false" ht="15.75" hidden="false" customHeight="false" outlineLevel="0" collapsed="false">
      <c r="A740" s="10" t="n">
        <v>18</v>
      </c>
      <c r="B740" s="10" t="n">
        <v>2238.18</v>
      </c>
      <c r="C740" s="10" t="s">
        <v>15</v>
      </c>
      <c r="D740" s="10" t="n">
        <v>2.5</v>
      </c>
      <c r="E740" s="10" t="n">
        <v>2.5</v>
      </c>
      <c r="F740" s="10" t="n">
        <v>0</v>
      </c>
      <c r="G740" s="10" t="n">
        <v>3</v>
      </c>
      <c r="H740" s="10" t="n">
        <v>35</v>
      </c>
      <c r="I740" s="10" t="s">
        <v>13</v>
      </c>
      <c r="J740" s="10" t="s">
        <v>39</v>
      </c>
      <c r="K740" s="10" t="s">
        <v>39</v>
      </c>
      <c r="L740" s="10" t="s">
        <v>40</v>
      </c>
    </row>
    <row r="741" customFormat="false" ht="15.75" hidden="false" customHeight="false" outlineLevel="0" collapsed="false">
      <c r="A741" s="10" t="n">
        <v>6</v>
      </c>
      <c r="B741" s="10" t="n">
        <v>3454.87</v>
      </c>
      <c r="C741" s="10" t="s">
        <v>17</v>
      </c>
      <c r="D741" s="10" t="n">
        <v>5.5</v>
      </c>
      <c r="E741" s="10" t="n">
        <v>5.5</v>
      </c>
      <c r="F741" s="10" t="n">
        <v>0</v>
      </c>
      <c r="G741" s="10" t="n">
        <v>1</v>
      </c>
      <c r="H741" s="10" t="n">
        <v>45</v>
      </c>
      <c r="I741" s="10" t="s">
        <v>13</v>
      </c>
      <c r="J741" s="10" t="s">
        <v>39</v>
      </c>
      <c r="K741" s="10" t="s">
        <v>43</v>
      </c>
      <c r="L741" s="10" t="s">
        <v>41</v>
      </c>
    </row>
    <row r="742" customFormat="false" ht="15.75" hidden="false" customHeight="false" outlineLevel="0" collapsed="false">
      <c r="A742" s="10" t="n">
        <v>30</v>
      </c>
      <c r="B742" s="10" t="n">
        <v>2187.08</v>
      </c>
      <c r="C742" s="10" t="s">
        <v>15</v>
      </c>
      <c r="D742" s="10" t="n">
        <v>2.5</v>
      </c>
      <c r="E742" s="10" t="n">
        <v>2.5</v>
      </c>
      <c r="F742" s="10" t="n">
        <v>0</v>
      </c>
      <c r="G742" s="10" t="n">
        <v>4</v>
      </c>
      <c r="H742" s="10" t="n">
        <v>26</v>
      </c>
      <c r="I742" s="10" t="s">
        <v>16</v>
      </c>
      <c r="J742" s="10" t="s">
        <v>38</v>
      </c>
      <c r="K742" s="10" t="s">
        <v>37</v>
      </c>
      <c r="L742" s="10" t="s">
        <v>40</v>
      </c>
    </row>
    <row r="743" customFormat="false" ht="15.75" hidden="false" customHeight="false" outlineLevel="0" collapsed="false">
      <c r="A743" s="10" t="n">
        <v>24</v>
      </c>
      <c r="B743" s="10" t="n">
        <v>1188.08</v>
      </c>
      <c r="C743" s="10" t="s">
        <v>17</v>
      </c>
      <c r="D743" s="10" t="n">
        <v>5.5</v>
      </c>
      <c r="E743" s="10" t="n">
        <v>5.5</v>
      </c>
      <c r="F743" s="10" t="n">
        <v>0</v>
      </c>
      <c r="G743" s="10" t="n">
        <v>2</v>
      </c>
      <c r="H743" s="10" t="n">
        <v>32</v>
      </c>
      <c r="I743" s="10" t="s">
        <v>13</v>
      </c>
      <c r="J743" s="10" t="s">
        <v>39</v>
      </c>
      <c r="K743" s="10" t="s">
        <v>39</v>
      </c>
      <c r="L743" s="10" t="s">
        <v>41</v>
      </c>
    </row>
    <row r="744" customFormat="false" ht="15.75" hidden="false" customHeight="false" outlineLevel="0" collapsed="false">
      <c r="A744" s="10" t="n">
        <v>10</v>
      </c>
      <c r="B744" s="10" t="n">
        <v>535.53</v>
      </c>
      <c r="C744" s="10" t="s">
        <v>15</v>
      </c>
      <c r="D744" s="10" t="n">
        <v>2.5</v>
      </c>
      <c r="E744" s="10" t="n">
        <v>2.5</v>
      </c>
      <c r="F744" s="10" t="n">
        <v>0</v>
      </c>
      <c r="G744" s="10" t="n">
        <v>4</v>
      </c>
      <c r="H744" s="10" t="n">
        <v>23</v>
      </c>
      <c r="I744" s="10" t="s">
        <v>13</v>
      </c>
      <c r="J744" s="10" t="s">
        <v>38</v>
      </c>
      <c r="K744" s="10" t="s">
        <v>37</v>
      </c>
      <c r="L744" s="10" t="s">
        <v>40</v>
      </c>
    </row>
    <row r="745" customFormat="false" ht="15.75" hidden="false" customHeight="false" outlineLevel="0" collapsed="false">
      <c r="A745" s="10" t="n">
        <v>21</v>
      </c>
      <c r="B745" s="10" t="n">
        <v>1614.76</v>
      </c>
      <c r="C745" s="10" t="s">
        <v>12</v>
      </c>
      <c r="D745" s="10" t="n">
        <v>8</v>
      </c>
      <c r="E745" s="10" t="n">
        <v>8</v>
      </c>
      <c r="F745" s="10" t="n">
        <v>0</v>
      </c>
      <c r="G745" s="10" t="n">
        <v>4</v>
      </c>
      <c r="H745" s="10" t="n">
        <v>41</v>
      </c>
      <c r="I745" s="10" t="s">
        <v>13</v>
      </c>
      <c r="J745" s="10" t="s">
        <v>39</v>
      </c>
      <c r="K745" s="10" t="s">
        <v>37</v>
      </c>
      <c r="L745" s="10" t="s">
        <v>37</v>
      </c>
    </row>
    <row r="746" customFormat="false" ht="15.75" hidden="false" customHeight="false" outlineLevel="0" collapsed="false">
      <c r="A746" s="10" t="n">
        <v>24</v>
      </c>
      <c r="B746" s="10" t="n">
        <v>1268.81</v>
      </c>
      <c r="C746" s="10" t="s">
        <v>15</v>
      </c>
      <c r="D746" s="10" t="n">
        <v>2.5</v>
      </c>
      <c r="E746" s="10" t="n">
        <v>2.5</v>
      </c>
      <c r="F746" s="10" t="n">
        <v>0</v>
      </c>
      <c r="G746" s="10" t="n">
        <v>4</v>
      </c>
      <c r="H746" s="10" t="n">
        <v>22</v>
      </c>
      <c r="I746" s="10" t="s">
        <v>13</v>
      </c>
      <c r="J746" s="10" t="s">
        <v>38</v>
      </c>
      <c r="K746" s="10" t="s">
        <v>37</v>
      </c>
      <c r="L746" s="10" t="s">
        <v>40</v>
      </c>
    </row>
    <row r="747" customFormat="false" ht="15.75" hidden="false" customHeight="false" outlineLevel="0" collapsed="false">
      <c r="A747" s="10" t="n">
        <v>39</v>
      </c>
      <c r="B747" s="10" t="n">
        <v>7245.47</v>
      </c>
      <c r="C747" s="10" t="s">
        <v>17</v>
      </c>
      <c r="D747" s="10" t="n">
        <v>5.5</v>
      </c>
      <c r="E747" s="10" t="n">
        <v>5.5</v>
      </c>
      <c r="F747" s="10" t="n">
        <v>0</v>
      </c>
      <c r="G747" s="10" t="n">
        <v>4</v>
      </c>
      <c r="H747" s="10" t="n">
        <v>30</v>
      </c>
      <c r="I747" s="10" t="s">
        <v>13</v>
      </c>
      <c r="J747" s="10" t="s">
        <v>39</v>
      </c>
      <c r="K747" s="10" t="s">
        <v>37</v>
      </c>
      <c r="L747" s="10" t="s">
        <v>41</v>
      </c>
    </row>
    <row r="748" customFormat="false" ht="15.75" hidden="false" customHeight="false" outlineLevel="0" collapsed="false">
      <c r="A748" s="10" t="n">
        <v>13</v>
      </c>
      <c r="B748" s="10" t="n">
        <v>918.27</v>
      </c>
      <c r="C748" s="10" t="s">
        <v>20</v>
      </c>
      <c r="D748" s="10" t="n">
        <v>0.5</v>
      </c>
      <c r="E748" s="10" t="n">
        <v>0.5</v>
      </c>
      <c r="F748" s="10" t="n">
        <v>0</v>
      </c>
      <c r="G748" s="10" t="n">
        <v>3</v>
      </c>
      <c r="H748" s="10" t="n">
        <v>28</v>
      </c>
      <c r="I748" s="10" t="s">
        <v>13</v>
      </c>
      <c r="J748" s="10" t="s">
        <v>38</v>
      </c>
      <c r="K748" s="10" t="s">
        <v>39</v>
      </c>
      <c r="L748" s="10" t="s">
        <v>42</v>
      </c>
    </row>
    <row r="749" customFormat="false" ht="15.75" hidden="false" customHeight="false" outlineLevel="0" collapsed="false">
      <c r="A749" s="10" t="n">
        <v>15</v>
      </c>
      <c r="B749" s="10" t="n">
        <v>1283.12</v>
      </c>
      <c r="C749" s="10" t="s">
        <v>19</v>
      </c>
      <c r="D749" s="10" t="n">
        <v>0</v>
      </c>
      <c r="E749" s="10" t="n">
        <v>0</v>
      </c>
      <c r="F749" s="10" t="n">
        <v>0</v>
      </c>
      <c r="G749" s="10" t="n">
        <v>1</v>
      </c>
      <c r="H749" s="10" t="n">
        <v>23</v>
      </c>
      <c r="I749" s="10" t="s">
        <v>13</v>
      </c>
      <c r="J749" s="10" t="s">
        <v>38</v>
      </c>
      <c r="K749" s="10" t="s">
        <v>43</v>
      </c>
      <c r="L749" s="10" t="s">
        <v>19</v>
      </c>
    </row>
    <row r="750" customFormat="false" ht="15.75" hidden="false" customHeight="false" outlineLevel="0" collapsed="false">
      <c r="A750" s="10" t="n">
        <v>12</v>
      </c>
      <c r="B750" s="10" t="n">
        <v>651.01</v>
      </c>
      <c r="C750" s="10" t="s">
        <v>20</v>
      </c>
      <c r="D750" s="10" t="n">
        <v>0.5</v>
      </c>
      <c r="E750" s="10" t="n">
        <v>0.5</v>
      </c>
      <c r="F750" s="10" t="n">
        <v>0</v>
      </c>
      <c r="G750" s="10" t="n">
        <v>3</v>
      </c>
      <c r="H750" s="10" t="n">
        <v>37</v>
      </c>
      <c r="I750" s="10" t="s">
        <v>16</v>
      </c>
      <c r="J750" s="10" t="s">
        <v>39</v>
      </c>
      <c r="K750" s="10" t="s">
        <v>39</v>
      </c>
      <c r="L750" s="10" t="s">
        <v>42</v>
      </c>
    </row>
    <row r="751" customFormat="false" ht="15.75" hidden="false" customHeight="false" outlineLevel="0" collapsed="false">
      <c r="A751" s="10" t="n">
        <v>21</v>
      </c>
      <c r="B751" s="10" t="n">
        <v>2681.73</v>
      </c>
      <c r="C751" s="10" t="s">
        <v>15</v>
      </c>
      <c r="D751" s="10" t="n">
        <v>2.5</v>
      </c>
      <c r="E751" s="10" t="n">
        <v>2.5</v>
      </c>
      <c r="F751" s="10" t="n">
        <v>0</v>
      </c>
      <c r="G751" s="10" t="n">
        <v>1</v>
      </c>
      <c r="H751" s="10" t="n">
        <v>26</v>
      </c>
      <c r="I751" s="10" t="s">
        <v>13</v>
      </c>
      <c r="J751" s="10" t="s">
        <v>38</v>
      </c>
      <c r="K751" s="10" t="s">
        <v>43</v>
      </c>
      <c r="L751" s="10" t="s">
        <v>40</v>
      </c>
    </row>
    <row r="752" customFormat="false" ht="15.75" hidden="false" customHeight="false" outlineLevel="0" collapsed="false">
      <c r="A752" s="10" t="n">
        <v>15</v>
      </c>
      <c r="B752" s="10" t="n">
        <v>1547.82</v>
      </c>
      <c r="C752" s="10" t="s">
        <v>17</v>
      </c>
      <c r="D752" s="10" t="n">
        <v>5.5</v>
      </c>
      <c r="E752" s="10" t="n">
        <v>5.5</v>
      </c>
      <c r="F752" s="10" t="n">
        <v>0</v>
      </c>
      <c r="G752" s="10" t="n">
        <v>2</v>
      </c>
      <c r="H752" s="10" t="n">
        <v>33</v>
      </c>
      <c r="I752" s="10" t="s">
        <v>13</v>
      </c>
      <c r="J752" s="10" t="s">
        <v>39</v>
      </c>
      <c r="K752" s="10" t="s">
        <v>39</v>
      </c>
      <c r="L752" s="10" t="s">
        <v>41</v>
      </c>
    </row>
    <row r="753" customFormat="false" ht="15.75" hidden="false" customHeight="false" outlineLevel="0" collapsed="false">
      <c r="A753" s="10" t="n">
        <v>6</v>
      </c>
      <c r="B753" s="10" t="n">
        <v>218.71</v>
      </c>
      <c r="C753" s="10" t="s">
        <v>12</v>
      </c>
      <c r="D753" s="10" t="n">
        <v>8</v>
      </c>
      <c r="E753" s="10" t="n">
        <v>8</v>
      </c>
      <c r="F753" s="10" t="n">
        <v>0</v>
      </c>
      <c r="G753" s="10" t="n">
        <v>2</v>
      </c>
      <c r="H753" s="10" t="n">
        <v>49</v>
      </c>
      <c r="I753" s="10" t="s">
        <v>13</v>
      </c>
      <c r="J753" s="10" t="s">
        <v>39</v>
      </c>
      <c r="K753" s="10" t="s">
        <v>39</v>
      </c>
      <c r="L753" s="10" t="s">
        <v>37</v>
      </c>
    </row>
    <row r="754" customFormat="false" ht="15.75" hidden="false" customHeight="false" outlineLevel="0" collapsed="false">
      <c r="A754" s="10" t="n">
        <v>18</v>
      </c>
      <c r="B754" s="10" t="n">
        <v>498.74</v>
      </c>
      <c r="C754" s="10" t="s">
        <v>20</v>
      </c>
      <c r="D754" s="10" t="n">
        <v>0.5</v>
      </c>
      <c r="E754" s="10" t="n">
        <v>0.5</v>
      </c>
      <c r="F754" s="10" t="n">
        <v>0</v>
      </c>
      <c r="G754" s="10" t="n">
        <v>1</v>
      </c>
      <c r="H754" s="10" t="n">
        <v>23</v>
      </c>
      <c r="I754" s="10" t="s">
        <v>16</v>
      </c>
      <c r="J754" s="10" t="s">
        <v>38</v>
      </c>
      <c r="K754" s="10" t="s">
        <v>43</v>
      </c>
      <c r="L754" s="10" t="s">
        <v>42</v>
      </c>
    </row>
    <row r="755" customFormat="false" ht="15.75" hidden="false" customHeight="false" outlineLevel="0" collapsed="false">
      <c r="A755" s="10" t="n">
        <v>12</v>
      </c>
      <c r="B755" s="10" t="n">
        <v>429.75</v>
      </c>
      <c r="C755" s="10" t="s">
        <v>17</v>
      </c>
      <c r="D755" s="10" t="n">
        <v>5.5</v>
      </c>
      <c r="E755" s="10" t="n">
        <v>5</v>
      </c>
      <c r="F755" s="10" t="n">
        <v>1</v>
      </c>
      <c r="G755" s="10" t="n">
        <v>2</v>
      </c>
      <c r="H755" s="10" t="n">
        <v>23</v>
      </c>
      <c r="I755" s="10" t="s">
        <v>13</v>
      </c>
      <c r="J755" s="10" t="s">
        <v>38</v>
      </c>
      <c r="K755" s="10" t="s">
        <v>39</v>
      </c>
      <c r="L755" s="10" t="s">
        <v>41</v>
      </c>
    </row>
    <row r="756" customFormat="false" ht="15.75" hidden="false" customHeight="false" outlineLevel="0" collapsed="false">
      <c r="A756" s="10" t="n">
        <v>30</v>
      </c>
      <c r="B756" s="10" t="n">
        <v>2948.98</v>
      </c>
      <c r="C756" s="10" t="s">
        <v>17</v>
      </c>
      <c r="D756" s="10" t="n">
        <v>5.5</v>
      </c>
      <c r="E756" s="10" t="n">
        <v>5.5</v>
      </c>
      <c r="F756" s="10" t="n">
        <v>0</v>
      </c>
      <c r="G756" s="10" t="n">
        <v>4</v>
      </c>
      <c r="H756" s="10" t="n">
        <v>25</v>
      </c>
      <c r="I756" s="10" t="s">
        <v>13</v>
      </c>
      <c r="J756" s="10" t="s">
        <v>38</v>
      </c>
      <c r="K756" s="10" t="s">
        <v>37</v>
      </c>
      <c r="L756" s="10" t="s">
        <v>41</v>
      </c>
    </row>
    <row r="757" customFormat="false" ht="15.75" hidden="false" customHeight="false" outlineLevel="0" collapsed="false">
      <c r="A757" s="10" t="n">
        <v>12</v>
      </c>
      <c r="B757" s="10" t="n">
        <v>794.61</v>
      </c>
      <c r="C757" s="10" t="s">
        <v>12</v>
      </c>
      <c r="D757" s="10" t="n">
        <v>8</v>
      </c>
      <c r="E757" s="10" t="n">
        <v>8</v>
      </c>
      <c r="F757" s="10" t="n">
        <v>0</v>
      </c>
      <c r="G757" s="10" t="n">
        <v>4</v>
      </c>
      <c r="H757" s="10" t="n">
        <v>55</v>
      </c>
      <c r="I757" s="10" t="s">
        <v>16</v>
      </c>
      <c r="J757" s="10" t="s">
        <v>36</v>
      </c>
      <c r="K757" s="10" t="s">
        <v>37</v>
      </c>
      <c r="L757" s="10" t="s">
        <v>37</v>
      </c>
    </row>
    <row r="758" customFormat="false" ht="15.75" hidden="false" customHeight="false" outlineLevel="0" collapsed="false">
      <c r="A758" s="10" t="n">
        <v>24</v>
      </c>
      <c r="B758" s="10" t="n">
        <v>656.64</v>
      </c>
      <c r="C758" s="10" t="s">
        <v>17</v>
      </c>
      <c r="D758" s="10" t="n">
        <v>5.5</v>
      </c>
      <c r="E758" s="10" t="n">
        <v>5.5</v>
      </c>
      <c r="F758" s="10" t="n">
        <v>0</v>
      </c>
      <c r="G758" s="10" t="n">
        <v>4</v>
      </c>
      <c r="H758" s="10" t="n">
        <v>32</v>
      </c>
      <c r="I758" s="10" t="s">
        <v>16</v>
      </c>
      <c r="J758" s="10" t="s">
        <v>39</v>
      </c>
      <c r="K758" s="10" t="s">
        <v>37</v>
      </c>
      <c r="L758" s="10" t="s">
        <v>41</v>
      </c>
    </row>
    <row r="759" customFormat="false" ht="15.75" hidden="false" customHeight="false" outlineLevel="0" collapsed="false">
      <c r="A759" s="10" t="n">
        <v>6</v>
      </c>
      <c r="B759" s="10" t="n">
        <v>663.79</v>
      </c>
      <c r="C759" s="10" t="s">
        <v>15</v>
      </c>
      <c r="D759" s="10" t="n">
        <v>2.5</v>
      </c>
      <c r="E759" s="10" t="n">
        <v>2.5</v>
      </c>
      <c r="F759" s="10" t="n">
        <v>0</v>
      </c>
      <c r="G759" s="10" t="n">
        <v>1</v>
      </c>
      <c r="H759" s="10" t="n">
        <v>74</v>
      </c>
      <c r="I759" s="10" t="s">
        <v>13</v>
      </c>
      <c r="J759" s="10" t="s">
        <v>36</v>
      </c>
      <c r="K759" s="10" t="s">
        <v>43</v>
      </c>
      <c r="L759" s="10" t="s">
        <v>40</v>
      </c>
    </row>
    <row r="760" customFormat="false" ht="15.75" hidden="false" customHeight="false" outlineLevel="0" collapsed="false">
      <c r="A760" s="10" t="n">
        <v>15</v>
      </c>
      <c r="B760" s="10" t="n">
        <v>649.48</v>
      </c>
      <c r="C760" s="10" t="s">
        <v>15</v>
      </c>
      <c r="D760" s="10" t="n">
        <v>2.5</v>
      </c>
      <c r="E760" s="10" t="n">
        <v>2.5</v>
      </c>
      <c r="F760" s="10" t="n">
        <v>0</v>
      </c>
      <c r="G760" s="10" t="n">
        <v>3</v>
      </c>
      <c r="H760" s="10" t="n">
        <v>39</v>
      </c>
      <c r="I760" s="10" t="s">
        <v>16</v>
      </c>
      <c r="J760" s="10" t="s">
        <v>39</v>
      </c>
      <c r="K760" s="10" t="s">
        <v>39</v>
      </c>
      <c r="L760" s="10" t="s">
        <v>40</v>
      </c>
    </row>
    <row r="761" customFormat="false" ht="15.75" hidden="false" customHeight="false" outlineLevel="0" collapsed="false">
      <c r="A761" s="10" t="n">
        <v>24</v>
      </c>
      <c r="B761" s="10" t="n">
        <v>711.82</v>
      </c>
      <c r="C761" s="10" t="s">
        <v>15</v>
      </c>
      <c r="D761" s="10" t="n">
        <v>2.5</v>
      </c>
      <c r="E761" s="10" t="n">
        <v>2.5</v>
      </c>
      <c r="F761" s="10" t="n">
        <v>0</v>
      </c>
      <c r="G761" s="10" t="n">
        <v>2</v>
      </c>
      <c r="H761" s="10" t="n">
        <v>31</v>
      </c>
      <c r="I761" s="10" t="s">
        <v>13</v>
      </c>
      <c r="J761" s="10" t="s">
        <v>39</v>
      </c>
      <c r="K761" s="10" t="s">
        <v>39</v>
      </c>
      <c r="L761" s="10" t="s">
        <v>40</v>
      </c>
    </row>
    <row r="762" customFormat="false" ht="15.75" hidden="false" customHeight="false" outlineLevel="0" collapsed="false">
      <c r="A762" s="10" t="n">
        <v>12</v>
      </c>
      <c r="B762" s="10" t="n">
        <v>353.1</v>
      </c>
      <c r="C762" s="10" t="s">
        <v>12</v>
      </c>
      <c r="D762" s="10" t="n">
        <v>8</v>
      </c>
      <c r="E762" s="10" t="n">
        <v>8</v>
      </c>
      <c r="F762" s="10" t="n">
        <v>0</v>
      </c>
      <c r="G762" s="10" t="n">
        <v>4</v>
      </c>
      <c r="H762" s="10" t="n">
        <v>35</v>
      </c>
      <c r="I762" s="10" t="s">
        <v>16</v>
      </c>
      <c r="J762" s="10" t="s">
        <v>39</v>
      </c>
      <c r="K762" s="10" t="s">
        <v>37</v>
      </c>
      <c r="L762" s="10" t="s">
        <v>37</v>
      </c>
    </row>
    <row r="763" customFormat="false" ht="15.75" hidden="false" customHeight="false" outlineLevel="0" collapsed="false">
      <c r="A763" s="10" t="n">
        <v>15</v>
      </c>
      <c r="B763" s="10" t="n">
        <v>2578</v>
      </c>
      <c r="C763" s="10" t="s">
        <v>12</v>
      </c>
      <c r="D763" s="10" t="n">
        <v>8</v>
      </c>
      <c r="E763" s="10" t="n">
        <v>8</v>
      </c>
      <c r="F763" s="10" t="n">
        <v>0</v>
      </c>
      <c r="G763" s="10" t="n">
        <v>1</v>
      </c>
      <c r="H763" s="10" t="n">
        <v>59</v>
      </c>
      <c r="I763" s="10" t="s">
        <v>13</v>
      </c>
      <c r="J763" s="10" t="s">
        <v>36</v>
      </c>
      <c r="K763" s="10" t="s">
        <v>43</v>
      </c>
      <c r="L763" s="10" t="s">
        <v>37</v>
      </c>
    </row>
    <row r="764" customFormat="false" ht="15.75" hidden="false" customHeight="false" outlineLevel="0" collapsed="false">
      <c r="A764" s="10" t="n">
        <v>18</v>
      </c>
      <c r="B764" s="10" t="n">
        <v>1085.36</v>
      </c>
      <c r="C764" s="10" t="s">
        <v>15</v>
      </c>
      <c r="D764" s="10" t="n">
        <v>2.5</v>
      </c>
      <c r="E764" s="10" t="n">
        <v>2.5</v>
      </c>
      <c r="F764" s="10" t="n">
        <v>0</v>
      </c>
      <c r="G764" s="10" t="n">
        <v>4</v>
      </c>
      <c r="H764" s="10" t="n">
        <v>24</v>
      </c>
      <c r="I764" s="10" t="s">
        <v>16</v>
      </c>
      <c r="J764" s="10" t="s">
        <v>38</v>
      </c>
      <c r="K764" s="10" t="s">
        <v>37</v>
      </c>
      <c r="L764" s="10" t="s">
        <v>40</v>
      </c>
    </row>
    <row r="765" customFormat="false" ht="15.75" hidden="false" customHeight="false" outlineLevel="0" collapsed="false">
      <c r="A765" s="10" t="n">
        <v>12</v>
      </c>
      <c r="B765" s="10" t="n">
        <v>1131.35</v>
      </c>
      <c r="C765" s="10" t="s">
        <v>15</v>
      </c>
      <c r="D765" s="10" t="n">
        <v>2.5</v>
      </c>
      <c r="E765" s="10" t="n">
        <v>2.5</v>
      </c>
      <c r="F765" s="10" t="n">
        <v>0</v>
      </c>
      <c r="G765" s="10" t="n">
        <v>4</v>
      </c>
      <c r="H765" s="10" t="n">
        <v>24</v>
      </c>
      <c r="I765" s="10" t="s">
        <v>13</v>
      </c>
      <c r="J765" s="10" t="s">
        <v>38</v>
      </c>
      <c r="K765" s="10" t="s">
        <v>37</v>
      </c>
      <c r="L765" s="10" t="s">
        <v>40</v>
      </c>
    </row>
    <row r="766" customFormat="false" ht="15.75" hidden="false" customHeight="false" outlineLevel="0" collapsed="false">
      <c r="A766" s="10" t="n">
        <v>21</v>
      </c>
      <c r="B766" s="10" t="n">
        <v>6479.48</v>
      </c>
      <c r="C766" s="10" t="s">
        <v>12</v>
      </c>
      <c r="D766" s="10" t="n">
        <v>8</v>
      </c>
      <c r="E766" s="10" t="n">
        <v>8</v>
      </c>
      <c r="F766" s="10" t="n">
        <v>0</v>
      </c>
      <c r="G766" s="10" t="n">
        <v>4</v>
      </c>
      <c r="H766" s="10" t="n">
        <v>30</v>
      </c>
      <c r="I766" s="10" t="s">
        <v>16</v>
      </c>
      <c r="J766" s="10" t="s">
        <v>39</v>
      </c>
      <c r="K766" s="10" t="s">
        <v>37</v>
      </c>
      <c r="L766" s="10" t="s">
        <v>37</v>
      </c>
    </row>
    <row r="767" customFormat="false" ht="15.75" hidden="false" customHeight="false" outlineLevel="0" collapsed="false">
      <c r="A767" s="10" t="n">
        <v>24</v>
      </c>
      <c r="B767" s="10" t="n">
        <v>1258.59</v>
      </c>
      <c r="C767" s="10" t="s">
        <v>17</v>
      </c>
      <c r="D767" s="10" t="n">
        <v>5.5</v>
      </c>
      <c r="E767" s="10" t="n">
        <v>5.5</v>
      </c>
      <c r="F767" s="10" t="n">
        <v>0</v>
      </c>
      <c r="G767" s="10" t="n">
        <v>4</v>
      </c>
      <c r="H767" s="10" t="n">
        <v>27</v>
      </c>
      <c r="I767" s="10" t="s">
        <v>13</v>
      </c>
      <c r="J767" s="10" t="s">
        <v>38</v>
      </c>
      <c r="K767" s="10" t="s">
        <v>37</v>
      </c>
      <c r="L767" s="10" t="s">
        <v>41</v>
      </c>
    </row>
    <row r="768" customFormat="false" ht="15.75" hidden="false" customHeight="false" outlineLevel="0" collapsed="false">
      <c r="A768" s="10" t="n">
        <v>12</v>
      </c>
      <c r="B768" s="10" t="n">
        <v>590.21</v>
      </c>
      <c r="C768" s="10" t="s">
        <v>12</v>
      </c>
      <c r="D768" s="10" t="n">
        <v>8</v>
      </c>
      <c r="E768" s="10" t="n">
        <v>8</v>
      </c>
      <c r="F768" s="10" t="n">
        <v>0</v>
      </c>
      <c r="G768" s="10" t="n">
        <v>3</v>
      </c>
      <c r="H768" s="10" t="n">
        <v>40</v>
      </c>
      <c r="I768" s="10" t="s">
        <v>13</v>
      </c>
      <c r="J768" s="10" t="s">
        <v>39</v>
      </c>
      <c r="K768" s="10" t="s">
        <v>39</v>
      </c>
      <c r="L768" s="10" t="s">
        <v>37</v>
      </c>
    </row>
    <row r="769" customFormat="false" ht="15.75" hidden="false" customHeight="false" outlineLevel="0" collapsed="false">
      <c r="A769" s="10" t="n">
        <v>30</v>
      </c>
      <c r="B769" s="10" t="n">
        <v>1588.19</v>
      </c>
      <c r="C769" s="10" t="s">
        <v>20</v>
      </c>
      <c r="D769" s="10" t="n">
        <v>0.5</v>
      </c>
      <c r="E769" s="10" t="n">
        <v>0.5</v>
      </c>
      <c r="F769" s="10" t="n">
        <v>0</v>
      </c>
      <c r="G769" s="10" t="n">
        <v>2</v>
      </c>
      <c r="H769" s="10" t="n">
        <v>31</v>
      </c>
      <c r="I769" s="10" t="s">
        <v>16</v>
      </c>
      <c r="J769" s="10" t="s">
        <v>39</v>
      </c>
      <c r="K769" s="10" t="s">
        <v>39</v>
      </c>
      <c r="L769" s="10" t="s">
        <v>42</v>
      </c>
    </row>
    <row r="770" customFormat="false" ht="15.75" hidden="false" customHeight="false" outlineLevel="0" collapsed="false">
      <c r="A770" s="10" t="n">
        <v>10</v>
      </c>
      <c r="B770" s="10" t="n">
        <v>1482.41</v>
      </c>
      <c r="C770" s="10" t="s">
        <v>20</v>
      </c>
      <c r="D770" s="10" t="n">
        <v>0.5</v>
      </c>
      <c r="E770" s="10" t="n">
        <v>0.5</v>
      </c>
      <c r="F770" s="10" t="n">
        <v>0</v>
      </c>
      <c r="G770" s="10" t="n">
        <v>1</v>
      </c>
      <c r="H770" s="10" t="n">
        <v>31</v>
      </c>
      <c r="I770" s="10" t="s">
        <v>13</v>
      </c>
      <c r="J770" s="10" t="s">
        <v>39</v>
      </c>
      <c r="K770" s="10" t="s">
        <v>43</v>
      </c>
      <c r="L770" s="10" t="s">
        <v>42</v>
      </c>
    </row>
    <row r="771" customFormat="false" ht="15.75" hidden="false" customHeight="false" outlineLevel="0" collapsed="false">
      <c r="A771" s="10" t="n">
        <v>12</v>
      </c>
      <c r="B771" s="10" t="n">
        <v>1848.29</v>
      </c>
      <c r="C771" s="10" t="s">
        <v>12</v>
      </c>
      <c r="D771" s="10" t="n">
        <v>8</v>
      </c>
      <c r="E771" s="10" t="n">
        <v>8</v>
      </c>
      <c r="F771" s="10" t="n">
        <v>0</v>
      </c>
      <c r="G771" s="10" t="n">
        <v>1</v>
      </c>
      <c r="H771" s="10" t="n">
        <v>28</v>
      </c>
      <c r="I771" s="10" t="s">
        <v>13</v>
      </c>
      <c r="J771" s="10" t="s">
        <v>38</v>
      </c>
      <c r="K771" s="10" t="s">
        <v>43</v>
      </c>
      <c r="L771" s="10" t="s">
        <v>37</v>
      </c>
    </row>
    <row r="772" customFormat="false" ht="15.75" hidden="false" customHeight="false" outlineLevel="0" collapsed="false">
      <c r="A772" s="10" t="n">
        <v>12</v>
      </c>
      <c r="B772" s="10" t="n">
        <v>845.71</v>
      </c>
      <c r="C772" s="10" t="s">
        <v>12</v>
      </c>
      <c r="D772" s="10" t="n">
        <v>8</v>
      </c>
      <c r="E772" s="10" t="n">
        <v>8</v>
      </c>
      <c r="F772" s="10" t="n">
        <v>0</v>
      </c>
      <c r="G772" s="10" t="n">
        <v>2</v>
      </c>
      <c r="H772" s="10" t="n">
        <v>63</v>
      </c>
      <c r="I772" s="10" t="s">
        <v>13</v>
      </c>
      <c r="J772" s="10" t="s">
        <v>36</v>
      </c>
      <c r="K772" s="10" t="s">
        <v>39</v>
      </c>
      <c r="L772" s="10" t="s">
        <v>37</v>
      </c>
    </row>
    <row r="773" customFormat="false" ht="15.75" hidden="false" customHeight="false" outlineLevel="0" collapsed="false">
      <c r="A773" s="10" t="n">
        <v>24</v>
      </c>
      <c r="B773" s="10" t="n">
        <v>1436.93</v>
      </c>
      <c r="C773" s="10" t="s">
        <v>12</v>
      </c>
      <c r="D773" s="10" t="n">
        <v>8</v>
      </c>
      <c r="E773" s="10" t="n">
        <v>8</v>
      </c>
      <c r="F773" s="10" t="n">
        <v>0</v>
      </c>
      <c r="G773" s="10" t="n">
        <v>2</v>
      </c>
      <c r="H773" s="10" t="n">
        <v>26</v>
      </c>
      <c r="I773" s="10" t="s">
        <v>13</v>
      </c>
      <c r="J773" s="10" t="s">
        <v>38</v>
      </c>
      <c r="K773" s="10" t="s">
        <v>39</v>
      </c>
      <c r="L773" s="10" t="s">
        <v>37</v>
      </c>
    </row>
    <row r="774" customFormat="false" ht="15.75" hidden="false" customHeight="false" outlineLevel="0" collapsed="false">
      <c r="A774" s="10" t="n">
        <v>36</v>
      </c>
      <c r="B774" s="10" t="n">
        <v>4121.22</v>
      </c>
      <c r="C774" s="10" t="s">
        <v>15</v>
      </c>
      <c r="D774" s="10" t="n">
        <v>2.5</v>
      </c>
      <c r="E774" s="10" t="n">
        <v>2.5</v>
      </c>
      <c r="F774" s="10" t="n">
        <v>0</v>
      </c>
      <c r="G774" s="10" t="n">
        <v>3</v>
      </c>
      <c r="H774" s="10" t="n">
        <v>25</v>
      </c>
      <c r="I774" s="10" t="s">
        <v>16</v>
      </c>
      <c r="J774" s="10" t="s">
        <v>38</v>
      </c>
      <c r="K774" s="10" t="s">
        <v>39</v>
      </c>
      <c r="L774" s="10" t="s">
        <v>40</v>
      </c>
    </row>
    <row r="775" customFormat="false" ht="15.75" hidden="false" customHeight="false" outlineLevel="0" collapsed="false">
      <c r="A775" s="10" t="n">
        <v>21</v>
      </c>
      <c r="B775" s="10" t="n">
        <v>1673.53</v>
      </c>
      <c r="C775" s="10" t="s">
        <v>12</v>
      </c>
      <c r="D775" s="10" t="n">
        <v>8</v>
      </c>
      <c r="E775" s="10" t="n">
        <v>8</v>
      </c>
      <c r="F775" s="10" t="n">
        <v>0</v>
      </c>
      <c r="G775" s="10" t="n">
        <v>1</v>
      </c>
      <c r="H775" s="10" t="n">
        <v>36</v>
      </c>
      <c r="I775" s="10" t="s">
        <v>13</v>
      </c>
      <c r="J775" s="10" t="s">
        <v>39</v>
      </c>
      <c r="K775" s="10" t="s">
        <v>43</v>
      </c>
      <c r="L775" s="10" t="s">
        <v>37</v>
      </c>
    </row>
    <row r="776" customFormat="false" ht="15.75" hidden="false" customHeight="false" outlineLevel="0" collapsed="false">
      <c r="A776" s="10" t="n">
        <v>24</v>
      </c>
      <c r="B776" s="10" t="n">
        <v>1135.95</v>
      </c>
      <c r="C776" s="10" t="s">
        <v>12</v>
      </c>
      <c r="D776" s="10" t="n">
        <v>8</v>
      </c>
      <c r="E776" s="10" t="n">
        <v>8</v>
      </c>
      <c r="F776" s="10" t="n">
        <v>0</v>
      </c>
      <c r="G776" s="10" t="n">
        <v>4</v>
      </c>
      <c r="H776" s="10" t="n">
        <v>52</v>
      </c>
      <c r="I776" s="10" t="s">
        <v>13</v>
      </c>
      <c r="J776" s="10" t="s">
        <v>36</v>
      </c>
      <c r="K776" s="10" t="s">
        <v>37</v>
      </c>
      <c r="L776" s="10" t="s">
        <v>37</v>
      </c>
    </row>
    <row r="777" customFormat="false" ht="15.75" hidden="false" customHeight="false" outlineLevel="0" collapsed="false">
      <c r="A777" s="10" t="n">
        <v>12</v>
      </c>
      <c r="B777" s="10" t="n">
        <v>756.28</v>
      </c>
      <c r="C777" s="10" t="s">
        <v>19</v>
      </c>
      <c r="D777" s="10" t="n">
        <v>0</v>
      </c>
      <c r="E777" s="10" t="n">
        <v>0</v>
      </c>
      <c r="F777" s="10" t="n">
        <v>0</v>
      </c>
      <c r="G777" s="10" t="n">
        <v>2</v>
      </c>
      <c r="H777" s="10" t="n">
        <v>66</v>
      </c>
      <c r="I777" s="10" t="s">
        <v>13</v>
      </c>
      <c r="J777" s="10" t="s">
        <v>36</v>
      </c>
      <c r="K777" s="10" t="s">
        <v>39</v>
      </c>
      <c r="L777" s="10" t="s">
        <v>19</v>
      </c>
    </row>
    <row r="778" customFormat="false" ht="15.75" hidden="false" customHeight="false" outlineLevel="0" collapsed="false">
      <c r="A778" s="10" t="n">
        <v>24</v>
      </c>
      <c r="B778" s="10" t="n">
        <v>700.58</v>
      </c>
      <c r="C778" s="10" t="s">
        <v>15</v>
      </c>
      <c r="D778" s="10" t="n">
        <v>2.5</v>
      </c>
      <c r="E778" s="10" t="n">
        <v>2.5</v>
      </c>
      <c r="F778" s="10" t="n">
        <v>0</v>
      </c>
      <c r="G778" s="10" t="n">
        <v>4</v>
      </c>
      <c r="H778" s="10" t="n">
        <v>25</v>
      </c>
      <c r="I778" s="10" t="s">
        <v>16</v>
      </c>
      <c r="J778" s="10" t="s">
        <v>38</v>
      </c>
      <c r="K778" s="10" t="s">
        <v>37</v>
      </c>
      <c r="L778" s="10" t="s">
        <v>40</v>
      </c>
    </row>
    <row r="779" customFormat="false" ht="15.75" hidden="false" customHeight="false" outlineLevel="0" collapsed="false">
      <c r="A779" s="10" t="n">
        <v>36</v>
      </c>
      <c r="B779" s="10" t="n">
        <v>1806.39</v>
      </c>
      <c r="C779" s="10" t="s">
        <v>17</v>
      </c>
      <c r="D779" s="10" t="n">
        <v>5.5</v>
      </c>
      <c r="E779" s="10" t="n">
        <v>5.5</v>
      </c>
      <c r="F779" s="10" t="n">
        <v>0</v>
      </c>
      <c r="G779" s="10" t="n">
        <v>4</v>
      </c>
      <c r="H779" s="10" t="n">
        <v>37</v>
      </c>
      <c r="I779" s="10" t="s">
        <v>13</v>
      </c>
      <c r="J779" s="10" t="s">
        <v>39</v>
      </c>
      <c r="K779" s="10" t="s">
        <v>37</v>
      </c>
      <c r="L779" s="10" t="s">
        <v>41</v>
      </c>
    </row>
    <row r="780" customFormat="false" ht="15.75" hidden="false" customHeight="false" outlineLevel="0" collapsed="false">
      <c r="A780" s="10" t="n">
        <v>18</v>
      </c>
      <c r="B780" s="10" t="n">
        <v>1793.1</v>
      </c>
      <c r="C780" s="10" t="s">
        <v>17</v>
      </c>
      <c r="D780" s="10" t="n">
        <v>5.5</v>
      </c>
      <c r="E780" s="10" t="n">
        <v>5.5</v>
      </c>
      <c r="F780" s="10" t="n">
        <v>0</v>
      </c>
      <c r="G780" s="10" t="n">
        <v>4</v>
      </c>
      <c r="H780" s="10" t="n">
        <v>25</v>
      </c>
      <c r="I780" s="10" t="s">
        <v>13</v>
      </c>
      <c r="J780" s="10" t="s">
        <v>38</v>
      </c>
      <c r="K780" s="10" t="s">
        <v>37</v>
      </c>
      <c r="L780" s="10" t="s">
        <v>41</v>
      </c>
    </row>
    <row r="781" customFormat="false" ht="15.75" hidden="false" customHeight="false" outlineLevel="0" collapsed="false">
      <c r="A781" s="10" t="n">
        <v>36</v>
      </c>
      <c r="B781" s="10" t="n">
        <v>2918.32</v>
      </c>
      <c r="C781" s="10" t="s">
        <v>12</v>
      </c>
      <c r="D781" s="10" t="n">
        <v>8</v>
      </c>
      <c r="E781" s="10" t="n">
        <v>8</v>
      </c>
      <c r="F781" s="10" t="n">
        <v>0</v>
      </c>
      <c r="G781" s="10" t="n">
        <v>4</v>
      </c>
      <c r="H781" s="10" t="n">
        <v>38</v>
      </c>
      <c r="I781" s="10" t="s">
        <v>13</v>
      </c>
      <c r="J781" s="10" t="s">
        <v>39</v>
      </c>
      <c r="K781" s="10" t="s">
        <v>37</v>
      </c>
      <c r="L781" s="10" t="s">
        <v>37</v>
      </c>
    </row>
    <row r="782" customFormat="false" ht="15.75" hidden="false" customHeight="false" outlineLevel="0" collapsed="false">
      <c r="A782" s="10" t="n">
        <v>18</v>
      </c>
      <c r="B782" s="10" t="n">
        <v>1978.59</v>
      </c>
      <c r="C782" s="10" t="s">
        <v>19</v>
      </c>
      <c r="D782" s="10" t="n">
        <v>0</v>
      </c>
      <c r="E782" s="10" t="n">
        <v>0</v>
      </c>
      <c r="F782" s="10" t="n">
        <v>0</v>
      </c>
      <c r="G782" s="10" t="n">
        <v>2</v>
      </c>
      <c r="H782" s="10" t="n">
        <v>67</v>
      </c>
      <c r="I782" s="10" t="s">
        <v>13</v>
      </c>
      <c r="J782" s="10" t="s">
        <v>36</v>
      </c>
      <c r="K782" s="10" t="s">
        <v>39</v>
      </c>
      <c r="L782" s="10" t="s">
        <v>19</v>
      </c>
    </row>
    <row r="783" customFormat="false" ht="15.75" hidden="false" customHeight="false" outlineLevel="0" collapsed="false">
      <c r="A783" s="10" t="n">
        <v>39</v>
      </c>
      <c r="B783" s="10" t="n">
        <v>2520.76</v>
      </c>
      <c r="C783" s="10" t="s">
        <v>17</v>
      </c>
      <c r="D783" s="10" t="n">
        <v>5.5</v>
      </c>
      <c r="E783" s="10" t="n">
        <v>5.5</v>
      </c>
      <c r="F783" s="10" t="n">
        <v>0</v>
      </c>
      <c r="G783" s="10" t="n">
        <v>2</v>
      </c>
      <c r="H783" s="10" t="n">
        <v>25</v>
      </c>
      <c r="I783" s="10" t="s">
        <v>16</v>
      </c>
      <c r="J783" s="10" t="s">
        <v>38</v>
      </c>
      <c r="K783" s="10" t="s">
        <v>39</v>
      </c>
      <c r="L783" s="10" t="s">
        <v>41</v>
      </c>
    </row>
    <row r="784" customFormat="false" ht="15.75" hidden="false" customHeight="false" outlineLevel="0" collapsed="false">
      <c r="A784" s="10" t="n">
        <v>24</v>
      </c>
      <c r="B784" s="10" t="n">
        <v>991.34</v>
      </c>
      <c r="C784" s="10" t="s">
        <v>12</v>
      </c>
      <c r="D784" s="10" t="n">
        <v>8</v>
      </c>
      <c r="E784" s="10" t="n">
        <v>8</v>
      </c>
      <c r="F784" s="10" t="n">
        <v>0</v>
      </c>
      <c r="G784" s="10" t="n">
        <v>4</v>
      </c>
      <c r="H784" s="10" t="n">
        <v>60</v>
      </c>
      <c r="I784" s="10" t="s">
        <v>13</v>
      </c>
      <c r="J784" s="10" t="s">
        <v>36</v>
      </c>
      <c r="K784" s="10" t="s">
        <v>37</v>
      </c>
      <c r="L784" s="10" t="s">
        <v>37</v>
      </c>
    </row>
    <row r="785" customFormat="false" ht="15.75" hidden="false" customHeight="false" outlineLevel="0" collapsed="false">
      <c r="A785" s="10" t="n">
        <v>12</v>
      </c>
      <c r="B785" s="10" t="n">
        <v>720.51</v>
      </c>
      <c r="C785" s="10" t="s">
        <v>15</v>
      </c>
      <c r="D785" s="10" t="n">
        <v>2.5</v>
      </c>
      <c r="E785" s="10" t="n">
        <v>2.5</v>
      </c>
      <c r="F785" s="10" t="n">
        <v>0</v>
      </c>
      <c r="G785" s="10" t="n">
        <v>2</v>
      </c>
      <c r="H785" s="10" t="n">
        <v>31</v>
      </c>
      <c r="I785" s="10" t="s">
        <v>13</v>
      </c>
      <c r="J785" s="10" t="s">
        <v>39</v>
      </c>
      <c r="K785" s="10" t="s">
        <v>39</v>
      </c>
      <c r="L785" s="10" t="s">
        <v>40</v>
      </c>
    </row>
    <row r="786" customFormat="false" ht="15.75" hidden="false" customHeight="false" outlineLevel="0" collapsed="false">
      <c r="A786" s="10" t="n">
        <v>12</v>
      </c>
      <c r="B786" s="10" t="n">
        <v>427.2</v>
      </c>
      <c r="C786" s="10" t="s">
        <v>20</v>
      </c>
      <c r="D786" s="10" t="n">
        <v>0.5</v>
      </c>
      <c r="E786" s="10" t="n">
        <v>0.5</v>
      </c>
      <c r="F786" s="10" t="n">
        <v>0</v>
      </c>
      <c r="G786" s="10" t="n">
        <v>4</v>
      </c>
      <c r="H786" s="10" t="n">
        <v>23</v>
      </c>
      <c r="I786" s="10" t="s">
        <v>16</v>
      </c>
      <c r="J786" s="10" t="s">
        <v>38</v>
      </c>
      <c r="K786" s="10" t="s">
        <v>37</v>
      </c>
      <c r="L786" s="10" t="s">
        <v>42</v>
      </c>
    </row>
    <row r="787" customFormat="false" ht="15.75" hidden="false" customHeight="false" outlineLevel="0" collapsed="false">
      <c r="A787" s="10" t="n">
        <v>20</v>
      </c>
      <c r="B787" s="10" t="n">
        <v>3305.15</v>
      </c>
      <c r="C787" s="10" t="s">
        <v>19</v>
      </c>
      <c r="D787" s="10" t="n">
        <v>0</v>
      </c>
      <c r="E787" s="10" t="n">
        <v>0</v>
      </c>
      <c r="F787" s="10" t="n">
        <v>0</v>
      </c>
      <c r="G787" s="10" t="n">
        <v>1</v>
      </c>
      <c r="H787" s="10" t="n">
        <v>60</v>
      </c>
      <c r="I787" s="10" t="s">
        <v>13</v>
      </c>
      <c r="J787" s="10" t="s">
        <v>36</v>
      </c>
      <c r="K787" s="10" t="s">
        <v>43</v>
      </c>
      <c r="L787" s="10" t="s">
        <v>19</v>
      </c>
    </row>
    <row r="788" customFormat="false" ht="15.75" hidden="false" customHeight="false" outlineLevel="0" collapsed="false">
      <c r="A788" s="10" t="n">
        <v>18</v>
      </c>
      <c r="B788" s="10" t="n">
        <v>991.85</v>
      </c>
      <c r="C788" s="10" t="s">
        <v>15</v>
      </c>
      <c r="D788" s="10" t="n">
        <v>2.5</v>
      </c>
      <c r="E788" s="10" t="n">
        <v>2.5</v>
      </c>
      <c r="F788" s="10" t="n">
        <v>0</v>
      </c>
      <c r="G788" s="10" t="n">
        <v>4</v>
      </c>
      <c r="H788" s="10" t="n">
        <v>35</v>
      </c>
      <c r="I788" s="10" t="s">
        <v>13</v>
      </c>
      <c r="J788" s="10" t="s">
        <v>39</v>
      </c>
      <c r="K788" s="10" t="s">
        <v>37</v>
      </c>
      <c r="L788" s="10" t="s">
        <v>40</v>
      </c>
    </row>
    <row r="789" customFormat="false" ht="15.75" hidden="false" customHeight="false" outlineLevel="0" collapsed="false">
      <c r="A789" s="10" t="n">
        <v>22</v>
      </c>
      <c r="B789" s="10" t="n">
        <v>1366.93</v>
      </c>
      <c r="C789" s="10" t="s">
        <v>12</v>
      </c>
      <c r="D789" s="10" t="n">
        <v>8</v>
      </c>
      <c r="E789" s="10" t="n">
        <v>8</v>
      </c>
      <c r="F789" s="10" t="n">
        <v>0</v>
      </c>
      <c r="G789" s="10" t="n">
        <v>3</v>
      </c>
      <c r="H789" s="10" t="n">
        <v>40</v>
      </c>
      <c r="I789" s="10" t="s">
        <v>13</v>
      </c>
      <c r="J789" s="10" t="s">
        <v>39</v>
      </c>
      <c r="K789" s="10" t="s">
        <v>39</v>
      </c>
      <c r="L789" s="10" t="s">
        <v>37</v>
      </c>
    </row>
    <row r="790" customFormat="false" ht="15.75" hidden="false" customHeight="false" outlineLevel="0" collapsed="false">
      <c r="A790" s="10" t="n">
        <v>48</v>
      </c>
      <c r="B790" s="10" t="n">
        <v>1405.76</v>
      </c>
      <c r="C790" s="10" t="s">
        <v>12</v>
      </c>
      <c r="D790" s="10" t="n">
        <v>8</v>
      </c>
      <c r="E790" s="10" t="n">
        <v>8</v>
      </c>
      <c r="F790" s="10" t="n">
        <v>0</v>
      </c>
      <c r="G790" s="10" t="n">
        <v>4</v>
      </c>
      <c r="H790" s="10" t="n">
        <v>38</v>
      </c>
      <c r="I790" s="10" t="s">
        <v>13</v>
      </c>
      <c r="J790" s="10" t="s">
        <v>39</v>
      </c>
      <c r="K790" s="10" t="s">
        <v>37</v>
      </c>
      <c r="L790" s="10" t="s">
        <v>37</v>
      </c>
    </row>
    <row r="791" customFormat="false" ht="15.75" hidden="false" customHeight="false" outlineLevel="0" collapsed="false">
      <c r="A791" s="10" t="n">
        <v>48</v>
      </c>
      <c r="B791" s="10" t="n">
        <v>3180.46</v>
      </c>
      <c r="C791" s="10" t="s">
        <v>12</v>
      </c>
      <c r="D791" s="10" t="n">
        <v>8</v>
      </c>
      <c r="E791" s="10" t="n">
        <v>8</v>
      </c>
      <c r="F791" s="10" t="n">
        <v>0</v>
      </c>
      <c r="G791" s="10" t="n">
        <v>4</v>
      </c>
      <c r="H791" s="10" t="n">
        <v>50</v>
      </c>
      <c r="I791" s="10" t="s">
        <v>16</v>
      </c>
      <c r="J791" s="10" t="s">
        <v>39</v>
      </c>
      <c r="K791" s="10" t="s">
        <v>37</v>
      </c>
      <c r="L791" s="10" t="s">
        <v>37</v>
      </c>
    </row>
    <row r="792" customFormat="false" ht="15.75" hidden="false" customHeight="false" outlineLevel="0" collapsed="false">
      <c r="A792" s="10" t="n">
        <v>40</v>
      </c>
      <c r="B792" s="10" t="n">
        <v>3064.98</v>
      </c>
      <c r="C792" s="10" t="s">
        <v>15</v>
      </c>
      <c r="D792" s="10" t="n">
        <v>2.5</v>
      </c>
      <c r="E792" s="10" t="n">
        <v>2.5</v>
      </c>
      <c r="F792" s="10" t="n">
        <v>0</v>
      </c>
      <c r="G792" s="10" t="n">
        <v>4</v>
      </c>
      <c r="H792" s="10" t="n">
        <v>27</v>
      </c>
      <c r="I792" s="10" t="s">
        <v>16</v>
      </c>
      <c r="J792" s="10" t="s">
        <v>38</v>
      </c>
      <c r="K792" s="10" t="s">
        <v>37</v>
      </c>
      <c r="L792" s="10" t="s">
        <v>40</v>
      </c>
    </row>
    <row r="793" customFormat="false" ht="15.75" hidden="false" customHeight="false" outlineLevel="0" collapsed="false">
      <c r="A793" s="10" t="n">
        <v>21</v>
      </c>
      <c r="B793" s="10" t="n">
        <v>607.07</v>
      </c>
      <c r="C793" s="10" t="s">
        <v>12</v>
      </c>
      <c r="D793" s="10" t="n">
        <v>8</v>
      </c>
      <c r="E793" s="10" t="n">
        <v>8</v>
      </c>
      <c r="F793" s="10" t="n">
        <v>0</v>
      </c>
      <c r="G793" s="10" t="n">
        <v>2</v>
      </c>
      <c r="H793" s="10" t="n">
        <v>39</v>
      </c>
      <c r="I793" s="10" t="s">
        <v>16</v>
      </c>
      <c r="J793" s="10" t="s">
        <v>39</v>
      </c>
      <c r="K793" s="10" t="s">
        <v>39</v>
      </c>
      <c r="L793" s="10" t="s">
        <v>37</v>
      </c>
    </row>
    <row r="794" customFormat="false" ht="15.75" hidden="false" customHeight="false" outlineLevel="0" collapsed="false">
      <c r="A794" s="10" t="n">
        <v>24</v>
      </c>
      <c r="B794" s="10" t="n">
        <v>3225.94</v>
      </c>
      <c r="C794" s="10" t="s">
        <v>12</v>
      </c>
      <c r="D794" s="10" t="n">
        <v>8</v>
      </c>
      <c r="E794" s="10" t="n">
        <v>8</v>
      </c>
      <c r="F794" s="10" t="n">
        <v>0</v>
      </c>
      <c r="G794" s="10" t="n">
        <v>3</v>
      </c>
      <c r="H794" s="10" t="n">
        <v>41</v>
      </c>
      <c r="I794" s="10" t="s">
        <v>13</v>
      </c>
      <c r="J794" s="10" t="s">
        <v>39</v>
      </c>
      <c r="K794" s="10" t="s">
        <v>39</v>
      </c>
      <c r="L794" s="10" t="s">
        <v>37</v>
      </c>
    </row>
    <row r="795" customFormat="false" ht="15.75" hidden="false" customHeight="false" outlineLevel="0" collapsed="false">
      <c r="A795" s="10" t="n">
        <v>6</v>
      </c>
      <c r="B795" s="10" t="n">
        <v>623.93</v>
      </c>
      <c r="C795" s="10" t="s">
        <v>15</v>
      </c>
      <c r="D795" s="10" t="n">
        <v>2.5</v>
      </c>
      <c r="E795" s="10" t="n">
        <v>2.5</v>
      </c>
      <c r="F795" s="10" t="n">
        <v>0</v>
      </c>
      <c r="G795" s="10" t="n">
        <v>1</v>
      </c>
      <c r="H795" s="10" t="n">
        <v>27</v>
      </c>
      <c r="I795" s="10" t="s">
        <v>13</v>
      </c>
      <c r="J795" s="10" t="s">
        <v>38</v>
      </c>
      <c r="K795" s="10" t="s">
        <v>43</v>
      </c>
      <c r="L795" s="10" t="s">
        <v>40</v>
      </c>
    </row>
    <row r="796" customFormat="false" ht="15.75" hidden="false" customHeight="false" outlineLevel="0" collapsed="false">
      <c r="A796" s="10" t="n">
        <v>24</v>
      </c>
      <c r="B796" s="10" t="n">
        <v>1477.81</v>
      </c>
      <c r="C796" s="10" t="s">
        <v>12</v>
      </c>
      <c r="D796" s="10" t="n">
        <v>8</v>
      </c>
      <c r="E796" s="10" t="n">
        <v>8</v>
      </c>
      <c r="F796" s="10" t="n">
        <v>0</v>
      </c>
      <c r="G796" s="10" t="n">
        <v>3</v>
      </c>
      <c r="H796" s="10" t="n">
        <v>51</v>
      </c>
      <c r="I796" s="10" t="s">
        <v>13</v>
      </c>
      <c r="J796" s="10" t="s">
        <v>36</v>
      </c>
      <c r="K796" s="10" t="s">
        <v>39</v>
      </c>
      <c r="L796" s="10" t="s">
        <v>37</v>
      </c>
    </row>
    <row r="797" customFormat="false" ht="15.75" hidden="false" customHeight="false" outlineLevel="0" collapsed="false">
      <c r="A797" s="10" t="n">
        <v>24</v>
      </c>
      <c r="B797" s="10" t="n">
        <v>1564.68</v>
      </c>
      <c r="C797" s="10" t="s">
        <v>12</v>
      </c>
      <c r="D797" s="10" t="n">
        <v>8</v>
      </c>
      <c r="E797" s="10" t="n">
        <v>8</v>
      </c>
      <c r="F797" s="10" t="n">
        <v>0</v>
      </c>
      <c r="G797" s="10" t="n">
        <v>4</v>
      </c>
      <c r="H797" s="10" t="n">
        <v>32</v>
      </c>
      <c r="I797" s="10" t="s">
        <v>13</v>
      </c>
      <c r="J797" s="10" t="s">
        <v>39</v>
      </c>
      <c r="K797" s="10" t="s">
        <v>37</v>
      </c>
      <c r="L797" s="10" t="s">
        <v>37</v>
      </c>
    </row>
    <row r="798" customFormat="false" ht="15.75" hidden="false" customHeight="false" outlineLevel="0" collapsed="false">
      <c r="A798" s="10" t="n">
        <v>9</v>
      </c>
      <c r="B798" s="10" t="n">
        <v>1175.81</v>
      </c>
      <c r="C798" s="10" t="s">
        <v>20</v>
      </c>
      <c r="D798" s="10" t="n">
        <v>0.5</v>
      </c>
      <c r="E798" s="10" t="n">
        <v>0.5</v>
      </c>
      <c r="F798" s="10" t="n">
        <v>0</v>
      </c>
      <c r="G798" s="10" t="n">
        <v>2</v>
      </c>
      <c r="H798" s="10" t="n">
        <v>22</v>
      </c>
      <c r="I798" s="10" t="s">
        <v>13</v>
      </c>
      <c r="J798" s="10" t="s">
        <v>38</v>
      </c>
      <c r="K798" s="10" t="s">
        <v>39</v>
      </c>
      <c r="L798" s="10" t="s">
        <v>42</v>
      </c>
    </row>
    <row r="799" customFormat="false" ht="15.75" hidden="false" customHeight="false" outlineLevel="0" collapsed="false">
      <c r="A799" s="10" t="n">
        <v>18</v>
      </c>
      <c r="B799" s="10" t="n">
        <v>3838.12</v>
      </c>
      <c r="C799" s="10" t="s">
        <v>12</v>
      </c>
      <c r="D799" s="10" t="n">
        <v>8</v>
      </c>
      <c r="E799" s="10" t="n">
        <v>8</v>
      </c>
      <c r="F799" s="10" t="n">
        <v>0</v>
      </c>
      <c r="G799" s="10" t="n">
        <v>1</v>
      </c>
      <c r="H799" s="10" t="n">
        <v>51</v>
      </c>
      <c r="I799" s="10" t="s">
        <v>16</v>
      </c>
      <c r="J799" s="10" t="s">
        <v>36</v>
      </c>
      <c r="K799" s="10" t="s">
        <v>43</v>
      </c>
      <c r="L799" s="10" t="s">
        <v>37</v>
      </c>
    </row>
    <row r="800" customFormat="false" ht="15.75" hidden="false" customHeight="false" outlineLevel="0" collapsed="false">
      <c r="A800" s="10" t="n">
        <v>12</v>
      </c>
      <c r="B800" s="10" t="n">
        <v>642.84</v>
      </c>
      <c r="C800" s="10" t="s">
        <v>20</v>
      </c>
      <c r="D800" s="10" t="n">
        <v>0.5</v>
      </c>
      <c r="E800" s="10" t="n">
        <v>0.5</v>
      </c>
      <c r="F800" s="10" t="n">
        <v>0</v>
      </c>
      <c r="G800" s="10" t="n">
        <v>2</v>
      </c>
      <c r="H800" s="10" t="n">
        <v>22</v>
      </c>
      <c r="I800" s="10" t="s">
        <v>13</v>
      </c>
      <c r="J800" s="10" t="s">
        <v>38</v>
      </c>
      <c r="K800" s="10" t="s">
        <v>39</v>
      </c>
      <c r="L800" s="10" t="s">
        <v>42</v>
      </c>
    </row>
    <row r="801" customFormat="false" ht="15.75" hidden="false" customHeight="false" outlineLevel="0" collapsed="false">
      <c r="A801" s="10" t="n">
        <v>24</v>
      </c>
      <c r="B801" s="10" t="n">
        <v>366.39</v>
      </c>
      <c r="C801" s="10" t="s">
        <v>12</v>
      </c>
      <c r="D801" s="10" t="n">
        <v>8</v>
      </c>
      <c r="E801" s="10" t="n">
        <v>8</v>
      </c>
      <c r="F801" s="10" t="n">
        <v>0</v>
      </c>
      <c r="G801" s="10" t="n">
        <v>4</v>
      </c>
      <c r="H801" s="10" t="n">
        <v>54</v>
      </c>
      <c r="I801" s="10" t="s">
        <v>13</v>
      </c>
      <c r="J801" s="10" t="s">
        <v>36</v>
      </c>
      <c r="K801" s="10" t="s">
        <v>37</v>
      </c>
      <c r="L801" s="10" t="s">
        <v>37</v>
      </c>
    </row>
    <row r="802" customFormat="false" ht="15.75" hidden="false" customHeight="false" outlineLevel="0" collapsed="false">
      <c r="A802" s="10" t="n">
        <v>9</v>
      </c>
      <c r="B802" s="10" t="n">
        <v>791.54</v>
      </c>
      <c r="C802" s="10" t="s">
        <v>20</v>
      </c>
      <c r="D802" s="10" t="n">
        <v>0.5</v>
      </c>
      <c r="E802" s="10" t="n">
        <v>0.5</v>
      </c>
      <c r="F802" s="10" t="n">
        <v>0</v>
      </c>
      <c r="G802" s="10" t="n">
        <v>4</v>
      </c>
      <c r="H802" s="10" t="n">
        <v>35</v>
      </c>
      <c r="I802" s="10" t="s">
        <v>13</v>
      </c>
      <c r="J802" s="10" t="s">
        <v>39</v>
      </c>
      <c r="K802" s="10" t="s">
        <v>37</v>
      </c>
      <c r="L802" s="10" t="s">
        <v>42</v>
      </c>
    </row>
    <row r="803" customFormat="false" ht="15.75" hidden="false" customHeight="false" outlineLevel="0" collapsed="false">
      <c r="A803" s="10" t="n">
        <v>24</v>
      </c>
      <c r="B803" s="10" t="n">
        <v>816.07</v>
      </c>
      <c r="C803" s="10" t="s">
        <v>12</v>
      </c>
      <c r="D803" s="10" t="n">
        <v>8</v>
      </c>
      <c r="E803" s="10" t="n">
        <v>8</v>
      </c>
      <c r="F803" s="10" t="n">
        <v>0</v>
      </c>
      <c r="G803" s="10" t="n">
        <v>4</v>
      </c>
      <c r="H803" s="10" t="n">
        <v>54</v>
      </c>
      <c r="I803" s="10" t="s">
        <v>13</v>
      </c>
      <c r="J803" s="10" t="s">
        <v>36</v>
      </c>
      <c r="K803" s="10" t="s">
        <v>37</v>
      </c>
      <c r="L803" s="10" t="s">
        <v>37</v>
      </c>
    </row>
    <row r="804" customFormat="false" ht="15.75" hidden="false" customHeight="false" outlineLevel="0" collapsed="false">
      <c r="A804" s="10" t="n">
        <v>18</v>
      </c>
      <c r="B804" s="10" t="n">
        <v>917.25</v>
      </c>
      <c r="C804" s="10" t="s">
        <v>12</v>
      </c>
      <c r="D804" s="10" t="n">
        <v>8</v>
      </c>
      <c r="E804" s="10" t="n">
        <v>8</v>
      </c>
      <c r="F804" s="10" t="n">
        <v>0</v>
      </c>
      <c r="G804" s="10" t="n">
        <v>3</v>
      </c>
      <c r="H804" s="10" t="n">
        <v>48</v>
      </c>
      <c r="I804" s="10" t="s">
        <v>13</v>
      </c>
      <c r="J804" s="10" t="s">
        <v>39</v>
      </c>
      <c r="K804" s="10" t="s">
        <v>39</v>
      </c>
      <c r="L804" s="10" t="s">
        <v>37</v>
      </c>
    </row>
    <row r="805" customFormat="false" ht="15.75" hidden="false" customHeight="false" outlineLevel="0" collapsed="false">
      <c r="A805" s="10" t="n">
        <v>20</v>
      </c>
      <c r="B805" s="10" t="n">
        <v>2182.99</v>
      </c>
      <c r="C805" s="10" t="s">
        <v>12</v>
      </c>
      <c r="D805" s="10" t="n">
        <v>8</v>
      </c>
      <c r="E805" s="10" t="n">
        <v>6</v>
      </c>
      <c r="F805" s="10" t="n">
        <v>1</v>
      </c>
      <c r="G805" s="10" t="n">
        <v>1</v>
      </c>
      <c r="H805" s="10" t="n">
        <v>24</v>
      </c>
      <c r="I805" s="10" t="s">
        <v>13</v>
      </c>
      <c r="J805" s="10" t="s">
        <v>38</v>
      </c>
      <c r="K805" s="10" t="s">
        <v>43</v>
      </c>
      <c r="L805" s="10" t="s">
        <v>41</v>
      </c>
    </row>
    <row r="806" customFormat="false" ht="15.75" hidden="false" customHeight="false" outlineLevel="0" collapsed="false">
      <c r="A806" s="10" t="n">
        <v>12</v>
      </c>
      <c r="B806" s="10" t="n">
        <v>498.74</v>
      </c>
      <c r="C806" s="10" t="s">
        <v>12</v>
      </c>
      <c r="D806" s="10" t="n">
        <v>8</v>
      </c>
      <c r="E806" s="10" t="n">
        <v>8</v>
      </c>
      <c r="F806" s="10" t="n">
        <v>0</v>
      </c>
      <c r="G806" s="10" t="n">
        <v>4</v>
      </c>
      <c r="H806" s="10" t="n">
        <v>35</v>
      </c>
      <c r="I806" s="10" t="s">
        <v>13</v>
      </c>
      <c r="J806" s="10" t="s">
        <v>39</v>
      </c>
      <c r="K806" s="10" t="s">
        <v>37</v>
      </c>
      <c r="L806" s="10" t="s">
        <v>37</v>
      </c>
    </row>
    <row r="807" customFormat="false" ht="15.75" hidden="false" customHeight="false" outlineLevel="0" collapsed="false">
      <c r="A807" s="10" t="n">
        <v>12</v>
      </c>
      <c r="B807" s="10" t="n">
        <v>3818.19</v>
      </c>
      <c r="C807" s="10" t="s">
        <v>19</v>
      </c>
      <c r="D807" s="10" t="n">
        <v>0</v>
      </c>
      <c r="E807" s="10" t="n">
        <v>0</v>
      </c>
      <c r="F807" s="10" t="n">
        <v>0</v>
      </c>
      <c r="G807" s="10" t="n">
        <v>1</v>
      </c>
      <c r="H807" s="10" t="n">
        <v>24</v>
      </c>
      <c r="I807" s="10" t="s">
        <v>13</v>
      </c>
      <c r="J807" s="10" t="s">
        <v>38</v>
      </c>
      <c r="K807" s="10" t="s">
        <v>43</v>
      </c>
      <c r="L807" s="10" t="s">
        <v>19</v>
      </c>
    </row>
    <row r="808" customFormat="false" ht="15.75" hidden="false" customHeight="false" outlineLevel="0" collapsed="false">
      <c r="A808" s="10" t="n">
        <v>36</v>
      </c>
      <c r="B808" s="10" t="n">
        <v>4737.48</v>
      </c>
      <c r="C808" s="10" t="s">
        <v>17</v>
      </c>
      <c r="D808" s="10" t="n">
        <v>5.5</v>
      </c>
      <c r="E808" s="10" t="n">
        <v>5.5</v>
      </c>
      <c r="F808" s="10" t="n">
        <v>0</v>
      </c>
      <c r="G808" s="10" t="n">
        <v>2</v>
      </c>
      <c r="H808" s="10" t="n">
        <v>24</v>
      </c>
      <c r="I808" s="10" t="s">
        <v>16</v>
      </c>
      <c r="J808" s="10" t="s">
        <v>38</v>
      </c>
      <c r="K808" s="10" t="s">
        <v>39</v>
      </c>
      <c r="L808" s="10" t="s">
        <v>41</v>
      </c>
    </row>
    <row r="809" customFormat="false" ht="15.75" hidden="false" customHeight="false" outlineLevel="0" collapsed="false">
      <c r="A809" s="10" t="n">
        <v>6</v>
      </c>
      <c r="B809" s="10" t="n">
        <v>301.49</v>
      </c>
      <c r="C809" s="10" t="s">
        <v>20</v>
      </c>
      <c r="D809" s="10" t="n">
        <v>0.5</v>
      </c>
      <c r="E809" s="10" t="n">
        <v>0.5</v>
      </c>
      <c r="F809" s="10" t="n">
        <v>0</v>
      </c>
      <c r="G809" s="10" t="n">
        <v>3</v>
      </c>
      <c r="H809" s="10" t="n">
        <v>26</v>
      </c>
      <c r="I809" s="10" t="s">
        <v>13</v>
      </c>
      <c r="J809" s="10" t="s">
        <v>38</v>
      </c>
      <c r="K809" s="10" t="s">
        <v>39</v>
      </c>
      <c r="L809" s="10" t="s">
        <v>42</v>
      </c>
    </row>
    <row r="810" customFormat="false" ht="15.75" hidden="false" customHeight="false" outlineLevel="0" collapsed="false">
      <c r="A810" s="10" t="n">
        <v>12</v>
      </c>
      <c r="B810" s="10" t="n">
        <v>475.23</v>
      </c>
      <c r="C810" s="10" t="s">
        <v>12</v>
      </c>
      <c r="D810" s="10" t="n">
        <v>8</v>
      </c>
      <c r="E810" s="10" t="n">
        <v>8</v>
      </c>
      <c r="F810" s="10" t="n">
        <v>0</v>
      </c>
      <c r="G810" s="10" t="n">
        <v>4</v>
      </c>
      <c r="H810" s="10" t="n">
        <v>65</v>
      </c>
      <c r="I810" s="10" t="s">
        <v>13</v>
      </c>
      <c r="J810" s="10" t="s">
        <v>36</v>
      </c>
      <c r="K810" s="10" t="s">
        <v>37</v>
      </c>
      <c r="L810" s="10" t="s">
        <v>37</v>
      </c>
    </row>
    <row r="811" customFormat="false" ht="15.75" hidden="false" customHeight="false" outlineLevel="0" collapsed="false">
      <c r="A811" s="10" t="n">
        <v>42</v>
      </c>
      <c r="B811" s="10" t="n">
        <v>4743.61</v>
      </c>
      <c r="C811" s="10" t="s">
        <v>19</v>
      </c>
      <c r="D811" s="10" t="n">
        <v>0</v>
      </c>
      <c r="E811" s="10" t="n">
        <v>0</v>
      </c>
      <c r="F811" s="10" t="n">
        <v>0</v>
      </c>
      <c r="G811" s="10" t="n">
        <v>1</v>
      </c>
      <c r="H811" s="10" t="n">
        <v>55</v>
      </c>
      <c r="I811" s="10" t="s">
        <v>13</v>
      </c>
      <c r="J811" s="10" t="s">
        <v>36</v>
      </c>
      <c r="K811" s="10" t="s">
        <v>43</v>
      </c>
      <c r="L811" s="10" t="s">
        <v>19</v>
      </c>
    </row>
    <row r="812" customFormat="false" ht="15.75" hidden="false" customHeight="false" outlineLevel="0" collapsed="false">
      <c r="A812" s="10" t="n">
        <v>15</v>
      </c>
      <c r="B812" s="10" t="n">
        <v>908.56</v>
      </c>
      <c r="C812" s="10" t="s">
        <v>20</v>
      </c>
      <c r="D812" s="10" t="n">
        <v>0.5</v>
      </c>
      <c r="E812" s="10" t="n">
        <v>0.5</v>
      </c>
      <c r="F812" s="10" t="n">
        <v>0</v>
      </c>
      <c r="G812" s="10" t="n">
        <v>2</v>
      </c>
      <c r="H812" s="10" t="n">
        <v>26</v>
      </c>
      <c r="I812" s="10" t="s">
        <v>16</v>
      </c>
      <c r="J812" s="10" t="s">
        <v>38</v>
      </c>
      <c r="K812" s="10" t="s">
        <v>39</v>
      </c>
      <c r="L812" s="10" t="s">
        <v>42</v>
      </c>
    </row>
    <row r="813" customFormat="false" ht="15.75" hidden="false" customHeight="false" outlineLevel="0" collapsed="false">
      <c r="A813" s="10" t="n">
        <v>8</v>
      </c>
      <c r="B813" s="10" t="n">
        <v>463.48</v>
      </c>
      <c r="C813" s="10" t="s">
        <v>20</v>
      </c>
      <c r="D813" s="10" t="n">
        <v>0.5</v>
      </c>
      <c r="E813" s="10" t="n">
        <v>0.5</v>
      </c>
      <c r="F813" s="10" t="n">
        <v>0</v>
      </c>
      <c r="G813" s="10" t="n">
        <v>3</v>
      </c>
      <c r="H813" s="10" t="n">
        <v>26</v>
      </c>
      <c r="I813" s="10" t="s">
        <v>13</v>
      </c>
      <c r="J813" s="10" t="s">
        <v>38</v>
      </c>
      <c r="K813" s="10" t="s">
        <v>39</v>
      </c>
      <c r="L813" s="10" t="s">
        <v>42</v>
      </c>
    </row>
    <row r="814" customFormat="false" ht="15.75" hidden="false" customHeight="false" outlineLevel="0" collapsed="false">
      <c r="A814" s="10" t="n">
        <v>6</v>
      </c>
      <c r="B814" s="10" t="n">
        <v>247.32</v>
      </c>
      <c r="C814" s="10" t="s">
        <v>17</v>
      </c>
      <c r="D814" s="10" t="n">
        <v>5.5</v>
      </c>
      <c r="E814" s="10" t="n">
        <v>5.5</v>
      </c>
      <c r="F814" s="10" t="n">
        <v>0</v>
      </c>
      <c r="G814" s="10" t="n">
        <v>3</v>
      </c>
      <c r="H814" s="10" t="n">
        <v>28</v>
      </c>
      <c r="I814" s="10" t="s">
        <v>13</v>
      </c>
      <c r="J814" s="10" t="s">
        <v>38</v>
      </c>
      <c r="K814" s="10" t="s">
        <v>39</v>
      </c>
      <c r="L814" s="10" t="s">
        <v>41</v>
      </c>
    </row>
    <row r="815" customFormat="false" ht="15.75" hidden="false" customHeight="false" outlineLevel="0" collapsed="false">
      <c r="A815" s="10" t="n">
        <v>36</v>
      </c>
      <c r="B815" s="10" t="n">
        <v>4920.42</v>
      </c>
      <c r="C815" s="10" t="s">
        <v>17</v>
      </c>
      <c r="D815" s="10" t="n">
        <v>5.5</v>
      </c>
      <c r="E815" s="10" t="n">
        <v>5.5</v>
      </c>
      <c r="F815" s="10" t="n">
        <v>0</v>
      </c>
      <c r="G815" s="10" t="n">
        <v>4</v>
      </c>
      <c r="H815" s="10" t="n">
        <v>24</v>
      </c>
      <c r="I815" s="10" t="s">
        <v>16</v>
      </c>
      <c r="J815" s="10" t="s">
        <v>38</v>
      </c>
      <c r="K815" s="10" t="s">
        <v>37</v>
      </c>
      <c r="L815" s="10" t="s">
        <v>41</v>
      </c>
    </row>
    <row r="816" customFormat="false" ht="15.75" hidden="false" customHeight="false" outlineLevel="0" collapsed="false">
      <c r="A816" s="10" t="n">
        <v>48</v>
      </c>
      <c r="B816" s="10" t="n">
        <v>1559.06</v>
      </c>
      <c r="C816" s="10" t="s">
        <v>15</v>
      </c>
      <c r="D816" s="10" t="n">
        <v>2.5</v>
      </c>
      <c r="E816" s="10" t="n">
        <v>2.5</v>
      </c>
      <c r="F816" s="10" t="n">
        <v>0</v>
      </c>
      <c r="G816" s="10" t="n">
        <v>3</v>
      </c>
      <c r="H816" s="10" t="n">
        <v>54</v>
      </c>
      <c r="I816" s="10" t="s">
        <v>16</v>
      </c>
      <c r="J816" s="10" t="s">
        <v>36</v>
      </c>
      <c r="K816" s="10" t="s">
        <v>39</v>
      </c>
      <c r="L816" s="10" t="s">
        <v>40</v>
      </c>
    </row>
    <row r="817" customFormat="false" ht="15.75" hidden="false" customHeight="false" outlineLevel="0" collapsed="false">
      <c r="A817" s="10" t="n">
        <v>48</v>
      </c>
      <c r="B817" s="10" t="n">
        <v>2008.74</v>
      </c>
      <c r="C817" s="10" t="s">
        <v>17</v>
      </c>
      <c r="D817" s="10" t="n">
        <v>5.5</v>
      </c>
      <c r="E817" s="10" t="n">
        <v>5.5</v>
      </c>
      <c r="F817" s="10" t="n">
        <v>0</v>
      </c>
      <c r="G817" s="10" t="n">
        <v>4</v>
      </c>
      <c r="H817" s="10" t="n">
        <v>46</v>
      </c>
      <c r="I817" s="10" t="s">
        <v>16</v>
      </c>
      <c r="J817" s="10" t="s">
        <v>39</v>
      </c>
      <c r="K817" s="10" t="s">
        <v>37</v>
      </c>
      <c r="L817" s="10" t="s">
        <v>41</v>
      </c>
    </row>
    <row r="818" customFormat="false" ht="15.75" hidden="false" customHeight="false" outlineLevel="0" collapsed="false">
      <c r="A818" s="10" t="n">
        <v>36</v>
      </c>
      <c r="B818" s="10" t="n">
        <v>3797.75</v>
      </c>
      <c r="C818" s="10" t="s">
        <v>15</v>
      </c>
      <c r="D818" s="10" t="n">
        <v>2.5</v>
      </c>
      <c r="E818" s="10" t="n">
        <v>2.5</v>
      </c>
      <c r="F818" s="10" t="n">
        <v>0</v>
      </c>
      <c r="G818" s="10" t="n">
        <v>2</v>
      </c>
      <c r="H818" s="10" t="n">
        <v>54</v>
      </c>
      <c r="I818" s="10" t="s">
        <v>13</v>
      </c>
      <c r="J818" s="10" t="s">
        <v>36</v>
      </c>
      <c r="K818" s="10" t="s">
        <v>39</v>
      </c>
      <c r="L818" s="10" t="s">
        <v>40</v>
      </c>
    </row>
    <row r="819" customFormat="false" ht="15.75" hidden="false" customHeight="false" outlineLevel="0" collapsed="false">
      <c r="A819" s="10" t="n">
        <v>6</v>
      </c>
      <c r="B819" s="10" t="n">
        <v>683.72</v>
      </c>
      <c r="C819" s="10" t="s">
        <v>15</v>
      </c>
      <c r="D819" s="10" t="n">
        <v>2.5</v>
      </c>
      <c r="E819" s="10" t="n">
        <v>2.5</v>
      </c>
      <c r="F819" s="10" t="n">
        <v>0</v>
      </c>
      <c r="G819" s="10" t="n">
        <v>1</v>
      </c>
      <c r="H819" s="10" t="n">
        <v>62</v>
      </c>
      <c r="I819" s="10" t="s">
        <v>13</v>
      </c>
      <c r="J819" s="10" t="s">
        <v>36</v>
      </c>
      <c r="K819" s="10" t="s">
        <v>43</v>
      </c>
      <c r="L819" s="10" t="s">
        <v>40</v>
      </c>
    </row>
    <row r="820" customFormat="false" ht="15.75" hidden="false" customHeight="false" outlineLevel="0" collapsed="false">
      <c r="A820" s="10" t="n">
        <v>6</v>
      </c>
      <c r="B820" s="10" t="n">
        <v>794.09</v>
      </c>
      <c r="C820" s="10" t="s">
        <v>17</v>
      </c>
      <c r="D820" s="10" t="n">
        <v>5.5</v>
      </c>
      <c r="E820" s="10" t="n">
        <v>5.5</v>
      </c>
      <c r="F820" s="10" t="n">
        <v>0</v>
      </c>
      <c r="G820" s="10" t="n">
        <v>1</v>
      </c>
      <c r="H820" s="10" t="n">
        <v>24</v>
      </c>
      <c r="I820" s="10" t="s">
        <v>13</v>
      </c>
      <c r="J820" s="10" t="s">
        <v>38</v>
      </c>
      <c r="K820" s="10" t="s">
        <v>43</v>
      </c>
      <c r="L820" s="10" t="s">
        <v>41</v>
      </c>
    </row>
    <row r="821" customFormat="false" ht="15.75" hidden="false" customHeight="false" outlineLevel="0" collapsed="false">
      <c r="A821" s="10" t="n">
        <v>36</v>
      </c>
      <c r="B821" s="10" t="n">
        <v>8102.93</v>
      </c>
      <c r="C821" s="10" t="s">
        <v>19</v>
      </c>
      <c r="D821" s="10" t="n">
        <v>0</v>
      </c>
      <c r="E821" s="10" t="n">
        <v>0</v>
      </c>
      <c r="F821" s="10" t="n">
        <v>0</v>
      </c>
      <c r="G821" s="10" t="n">
        <v>2</v>
      </c>
      <c r="H821" s="10" t="n">
        <v>43</v>
      </c>
      <c r="I821" s="10" t="s">
        <v>13</v>
      </c>
      <c r="J821" s="10" t="s">
        <v>39</v>
      </c>
      <c r="K821" s="10" t="s">
        <v>39</v>
      </c>
      <c r="L821" s="10" t="s">
        <v>19</v>
      </c>
    </row>
    <row r="822" customFormat="false" ht="15.75" hidden="false" customHeight="false" outlineLevel="0" collapsed="false">
      <c r="A822" s="10" t="n">
        <v>18</v>
      </c>
      <c r="B822" s="10" t="n">
        <v>687.3</v>
      </c>
      <c r="C822" s="10" t="s">
        <v>15</v>
      </c>
      <c r="D822" s="10" t="n">
        <v>2.5</v>
      </c>
      <c r="E822" s="10" t="n">
        <v>2.5</v>
      </c>
      <c r="F822" s="10" t="n">
        <v>0</v>
      </c>
      <c r="G822" s="10" t="n">
        <v>4</v>
      </c>
      <c r="H822" s="10" t="n">
        <v>26</v>
      </c>
      <c r="I822" s="10" t="s">
        <v>16</v>
      </c>
      <c r="J822" s="10" t="s">
        <v>38</v>
      </c>
      <c r="K822" s="10" t="s">
        <v>37</v>
      </c>
      <c r="L822" s="10" t="s">
        <v>40</v>
      </c>
    </row>
    <row r="823" customFormat="false" ht="15.75" hidden="false" customHeight="false" outlineLevel="0" collapsed="false">
      <c r="A823" s="10" t="n">
        <v>12</v>
      </c>
      <c r="B823" s="10" t="n">
        <v>562.61</v>
      </c>
      <c r="C823" s="10" t="s">
        <v>15</v>
      </c>
      <c r="D823" s="10" t="n">
        <v>2.5</v>
      </c>
      <c r="E823" s="10" t="n">
        <v>2.5</v>
      </c>
      <c r="F823" s="10" t="n">
        <v>0</v>
      </c>
      <c r="G823" s="10" t="n">
        <v>3</v>
      </c>
      <c r="H823" s="10" t="n">
        <v>27</v>
      </c>
      <c r="I823" s="10" t="s">
        <v>13</v>
      </c>
      <c r="J823" s="10" t="s">
        <v>38</v>
      </c>
      <c r="K823" s="10" t="s">
        <v>39</v>
      </c>
      <c r="L823" s="10" t="s">
        <v>40</v>
      </c>
    </row>
    <row r="824" customFormat="false" ht="15.75" hidden="false" customHeight="false" outlineLevel="0" collapsed="false">
      <c r="A824" s="10" t="n">
        <v>12</v>
      </c>
      <c r="B824" s="10" t="n">
        <v>1541.18</v>
      </c>
      <c r="C824" s="10" t="s">
        <v>15</v>
      </c>
      <c r="D824" s="10" t="n">
        <v>2.5</v>
      </c>
      <c r="E824" s="10" t="n">
        <v>2.5</v>
      </c>
      <c r="F824" s="10" t="n">
        <v>0</v>
      </c>
      <c r="G824" s="10" t="n">
        <v>3</v>
      </c>
      <c r="H824" s="10" t="n">
        <v>24</v>
      </c>
      <c r="I824" s="10" t="s">
        <v>13</v>
      </c>
      <c r="J824" s="10" t="s">
        <v>38</v>
      </c>
      <c r="K824" s="10" t="s">
        <v>39</v>
      </c>
      <c r="L824" s="10" t="s">
        <v>40</v>
      </c>
    </row>
    <row r="825" customFormat="false" ht="15.75" hidden="false" customHeight="false" outlineLevel="0" collapsed="false">
      <c r="A825" s="10" t="n">
        <v>36</v>
      </c>
      <c r="B825" s="10" t="n">
        <v>1385.83</v>
      </c>
      <c r="C825" s="10" t="s">
        <v>12</v>
      </c>
      <c r="D825" s="10" t="n">
        <v>8</v>
      </c>
      <c r="E825" s="10" t="n">
        <v>8</v>
      </c>
      <c r="F825" s="10" t="n">
        <v>0</v>
      </c>
      <c r="G825" s="10" t="n">
        <v>2</v>
      </c>
      <c r="H825" s="10" t="n">
        <v>41</v>
      </c>
      <c r="I825" s="10" t="s">
        <v>16</v>
      </c>
      <c r="J825" s="10" t="s">
        <v>39</v>
      </c>
      <c r="K825" s="10" t="s">
        <v>39</v>
      </c>
      <c r="L825" s="10" t="s">
        <v>37</v>
      </c>
    </row>
    <row r="826" customFormat="false" ht="15.75" hidden="false" customHeight="false" outlineLevel="0" collapsed="false">
      <c r="A826" s="10" t="n">
        <v>8</v>
      </c>
      <c r="B826" s="10" t="n">
        <v>373.54</v>
      </c>
      <c r="C826" s="10" t="s">
        <v>12</v>
      </c>
      <c r="D826" s="10" t="n">
        <v>8</v>
      </c>
      <c r="E826" s="10" t="n">
        <v>8</v>
      </c>
      <c r="F826" s="10" t="n">
        <v>0</v>
      </c>
      <c r="G826" s="10" t="n">
        <v>4</v>
      </c>
      <c r="H826" s="10" t="n">
        <v>47</v>
      </c>
      <c r="I826" s="10" t="s">
        <v>13</v>
      </c>
      <c r="J826" s="10" t="s">
        <v>39</v>
      </c>
      <c r="K826" s="10" t="s">
        <v>37</v>
      </c>
      <c r="L826" s="10" t="s">
        <v>37</v>
      </c>
    </row>
    <row r="827" customFormat="false" ht="15.75" hidden="false" customHeight="false" outlineLevel="0" collapsed="false">
      <c r="A827" s="10" t="n">
        <v>18</v>
      </c>
      <c r="B827" s="10" t="n">
        <v>1931.58</v>
      </c>
      <c r="C827" s="10" t="s">
        <v>20</v>
      </c>
      <c r="D827" s="10" t="n">
        <v>0.5</v>
      </c>
      <c r="E827" s="10" t="n">
        <v>0.5</v>
      </c>
      <c r="F827" s="10" t="n">
        <v>0</v>
      </c>
      <c r="G827" s="10" t="n">
        <v>3</v>
      </c>
      <c r="H827" s="10" t="n">
        <v>35</v>
      </c>
      <c r="I827" s="10" t="s">
        <v>13</v>
      </c>
      <c r="J827" s="10" t="s">
        <v>39</v>
      </c>
      <c r="K827" s="10" t="s">
        <v>39</v>
      </c>
      <c r="L827" s="10" t="s">
        <v>42</v>
      </c>
    </row>
    <row r="828" customFormat="false" ht="15.75" hidden="false" customHeight="false" outlineLevel="0" collapsed="false">
      <c r="A828" s="10" t="n">
        <v>21</v>
      </c>
      <c r="B828" s="10" t="n">
        <v>818.62</v>
      </c>
      <c r="C828" s="10" t="s">
        <v>12</v>
      </c>
      <c r="D828" s="10" t="n">
        <v>8</v>
      </c>
      <c r="E828" s="10" t="n">
        <v>8</v>
      </c>
      <c r="F828" s="10" t="n">
        <v>0</v>
      </c>
      <c r="G828" s="10" t="n">
        <v>4</v>
      </c>
      <c r="H828" s="10" t="n">
        <v>30</v>
      </c>
      <c r="I828" s="10" t="s">
        <v>13</v>
      </c>
      <c r="J828" s="10" t="s">
        <v>39</v>
      </c>
      <c r="K828" s="10" t="s">
        <v>37</v>
      </c>
      <c r="L828" s="10" t="s">
        <v>37</v>
      </c>
    </row>
    <row r="829" customFormat="false" ht="15.75" hidden="false" customHeight="false" outlineLevel="0" collapsed="false">
      <c r="A829" s="10" t="n">
        <v>18</v>
      </c>
      <c r="B829" s="10" t="n">
        <v>2026.63</v>
      </c>
      <c r="C829" s="10" t="s">
        <v>12</v>
      </c>
      <c r="D829" s="10" t="n">
        <v>8</v>
      </c>
      <c r="E829" s="10" t="n">
        <v>8</v>
      </c>
      <c r="F829" s="10" t="n">
        <v>0</v>
      </c>
      <c r="G829" s="10" t="n">
        <v>1</v>
      </c>
      <c r="H829" s="10" t="n">
        <v>33</v>
      </c>
      <c r="I829" s="10" t="s">
        <v>16</v>
      </c>
      <c r="J829" s="10" t="s">
        <v>39</v>
      </c>
      <c r="K829" s="10" t="s">
        <v>43</v>
      </c>
      <c r="L829" s="10" t="s">
        <v>37</v>
      </c>
    </row>
    <row r="830" customFormat="false" ht="15.75" hidden="false" customHeight="false" outlineLevel="0" collapsed="false">
      <c r="A830" s="10" t="n">
        <v>18</v>
      </c>
      <c r="B830" s="10" t="n">
        <v>2128.32</v>
      </c>
      <c r="C830" s="10" t="s">
        <v>15</v>
      </c>
      <c r="D830" s="10" t="n">
        <v>2.5</v>
      </c>
      <c r="E830" s="10" t="n">
        <v>2.5</v>
      </c>
      <c r="F830" s="10" t="n">
        <v>0</v>
      </c>
      <c r="G830" s="10" t="n">
        <v>2</v>
      </c>
      <c r="H830" s="10" t="n">
        <v>36</v>
      </c>
      <c r="I830" s="10" t="s">
        <v>16</v>
      </c>
      <c r="J830" s="10" t="s">
        <v>39</v>
      </c>
      <c r="K830" s="10" t="s">
        <v>39</v>
      </c>
      <c r="L830" s="10" t="s">
        <v>40</v>
      </c>
    </row>
    <row r="831" customFormat="false" ht="15.75" hidden="false" customHeight="false" outlineLevel="0" collapsed="false">
      <c r="A831" s="10" t="n">
        <v>36</v>
      </c>
      <c r="B831" s="10" t="n">
        <v>4259.19</v>
      </c>
      <c r="C831" s="10" t="s">
        <v>12</v>
      </c>
      <c r="D831" s="10" t="n">
        <v>8</v>
      </c>
      <c r="E831" s="10" t="n">
        <v>8</v>
      </c>
      <c r="F831" s="10" t="n">
        <v>0</v>
      </c>
      <c r="G831" s="10" t="n">
        <v>3</v>
      </c>
      <c r="H831" s="10" t="n">
        <v>47</v>
      </c>
      <c r="I831" s="10" t="s">
        <v>16</v>
      </c>
      <c r="J831" s="10" t="s">
        <v>39</v>
      </c>
      <c r="K831" s="10" t="s">
        <v>39</v>
      </c>
      <c r="L831" s="10" t="s">
        <v>37</v>
      </c>
    </row>
    <row r="832" customFormat="false" ht="15.75" hidden="false" customHeight="false" outlineLevel="0" collapsed="false">
      <c r="A832" s="10" t="n">
        <v>48</v>
      </c>
      <c r="B832" s="10" t="n">
        <v>3413.99</v>
      </c>
      <c r="C832" s="10" t="s">
        <v>15</v>
      </c>
      <c r="D832" s="10" t="n">
        <v>2.5</v>
      </c>
      <c r="E832" s="10" t="n">
        <v>2.5</v>
      </c>
      <c r="F832" s="10" t="n">
        <v>0</v>
      </c>
      <c r="G832" s="10" t="n">
        <v>4</v>
      </c>
      <c r="H832" s="10" t="n">
        <v>38</v>
      </c>
      <c r="I832" s="10" t="s">
        <v>13</v>
      </c>
      <c r="J832" s="10" t="s">
        <v>39</v>
      </c>
      <c r="K832" s="10" t="s">
        <v>37</v>
      </c>
      <c r="L832" s="10" t="s">
        <v>40</v>
      </c>
    </row>
    <row r="833" customFormat="false" ht="15.75" hidden="false" customHeight="false" outlineLevel="0" collapsed="false">
      <c r="A833" s="10" t="n">
        <v>24</v>
      </c>
      <c r="B833" s="10" t="n">
        <v>1213.63</v>
      </c>
      <c r="C833" s="10" t="s">
        <v>15</v>
      </c>
      <c r="D833" s="10" t="n">
        <v>2.5</v>
      </c>
      <c r="E833" s="10" t="n">
        <v>2.5</v>
      </c>
      <c r="F833" s="10" t="n">
        <v>0</v>
      </c>
      <c r="G833" s="10" t="n">
        <v>4</v>
      </c>
      <c r="H833" s="10" t="n">
        <v>44</v>
      </c>
      <c r="I833" s="10" t="s">
        <v>13</v>
      </c>
      <c r="J833" s="10" t="s">
        <v>39</v>
      </c>
      <c r="K833" s="10" t="s">
        <v>37</v>
      </c>
      <c r="L833" s="10" t="s">
        <v>40</v>
      </c>
    </row>
    <row r="834" customFormat="false" ht="15.75" hidden="false" customHeight="false" outlineLevel="0" collapsed="false">
      <c r="A834" s="10" t="n">
        <v>18</v>
      </c>
      <c r="B834" s="10" t="n">
        <v>621.38</v>
      </c>
      <c r="C834" s="10" t="s">
        <v>20</v>
      </c>
      <c r="D834" s="10" t="n">
        <v>0.5</v>
      </c>
      <c r="E834" s="10" t="n">
        <v>0.5</v>
      </c>
      <c r="F834" s="10" t="n">
        <v>0</v>
      </c>
      <c r="G834" s="10" t="n">
        <v>4</v>
      </c>
      <c r="H834" s="10" t="n">
        <v>23</v>
      </c>
      <c r="I834" s="10" t="s">
        <v>16</v>
      </c>
      <c r="J834" s="10" t="s">
        <v>38</v>
      </c>
      <c r="K834" s="10" t="s">
        <v>37</v>
      </c>
      <c r="L834" s="10" t="s">
        <v>42</v>
      </c>
    </row>
    <row r="835" customFormat="false" ht="15.75" hidden="false" customHeight="false" outlineLevel="0" collapsed="false">
      <c r="A835" s="10" t="n">
        <v>45</v>
      </c>
      <c r="B835" s="10" t="n">
        <v>6037.98</v>
      </c>
      <c r="C835" s="10" t="s">
        <v>12</v>
      </c>
      <c r="D835" s="10" t="n">
        <v>8</v>
      </c>
      <c r="E835" s="10" t="n">
        <v>8</v>
      </c>
      <c r="F835" s="10" t="n">
        <v>0</v>
      </c>
      <c r="G835" s="10" t="n">
        <v>2</v>
      </c>
      <c r="H835" s="10" t="n">
        <v>29</v>
      </c>
      <c r="I835" s="10" t="s">
        <v>16</v>
      </c>
      <c r="J835" s="10" t="s">
        <v>38</v>
      </c>
      <c r="K835" s="10" t="s">
        <v>39</v>
      </c>
      <c r="L835" s="10" t="s">
        <v>37</v>
      </c>
    </row>
    <row r="836" customFormat="false" ht="15.75" hidden="false" customHeight="false" outlineLevel="0" collapsed="false">
      <c r="A836" s="10" t="n">
        <v>24</v>
      </c>
      <c r="B836" s="10" t="n">
        <v>2597.92</v>
      </c>
      <c r="C836" s="10" t="s">
        <v>12</v>
      </c>
      <c r="D836" s="10" t="n">
        <v>8</v>
      </c>
      <c r="E836" s="10" t="n">
        <v>8</v>
      </c>
      <c r="F836" s="10" t="n">
        <v>0</v>
      </c>
      <c r="G836" s="10" t="n">
        <v>2</v>
      </c>
      <c r="H836" s="10" t="n">
        <v>42</v>
      </c>
      <c r="I836" s="10" t="s">
        <v>13</v>
      </c>
      <c r="J836" s="10" t="s">
        <v>39</v>
      </c>
      <c r="K836" s="10" t="s">
        <v>39</v>
      </c>
      <c r="L836" s="10" t="s">
        <v>37</v>
      </c>
    </row>
    <row r="837" customFormat="false" ht="15.75" hidden="false" customHeight="false" outlineLevel="0" collapsed="false">
      <c r="A837" s="10" t="n">
        <v>15</v>
      </c>
      <c r="B837" s="10" t="n">
        <v>1189.1</v>
      </c>
      <c r="C837" s="10" t="s">
        <v>20</v>
      </c>
      <c r="D837" s="10" t="n">
        <v>0.5</v>
      </c>
      <c r="E837" s="10" t="n">
        <v>0.5</v>
      </c>
      <c r="F837" s="10" t="n">
        <v>0</v>
      </c>
      <c r="G837" s="10" t="n">
        <v>2</v>
      </c>
      <c r="H837" s="10" t="n">
        <v>25</v>
      </c>
      <c r="I837" s="10" t="s">
        <v>16</v>
      </c>
      <c r="J837" s="10" t="s">
        <v>38</v>
      </c>
      <c r="K837" s="10" t="s">
        <v>39</v>
      </c>
      <c r="L837" s="10" t="s">
        <v>42</v>
      </c>
    </row>
    <row r="838" customFormat="false" ht="15.75" hidden="false" customHeight="false" outlineLevel="0" collapsed="false">
      <c r="A838" s="10" t="n">
        <v>12</v>
      </c>
      <c r="B838" s="10" t="n">
        <v>552.9</v>
      </c>
      <c r="C838" s="10" t="s">
        <v>15</v>
      </c>
      <c r="D838" s="10" t="n">
        <v>2.5</v>
      </c>
      <c r="E838" s="10" t="n">
        <v>2.5</v>
      </c>
      <c r="F838" s="10" t="n">
        <v>0</v>
      </c>
      <c r="G838" s="10" t="n">
        <v>4</v>
      </c>
      <c r="H838" s="10" t="n">
        <v>48</v>
      </c>
      <c r="I838" s="10" t="s">
        <v>16</v>
      </c>
      <c r="J838" s="10" t="s">
        <v>39</v>
      </c>
      <c r="K838" s="10" t="s">
        <v>37</v>
      </c>
      <c r="L838" s="10" t="s">
        <v>40</v>
      </c>
    </row>
    <row r="839" customFormat="false" ht="15.75" hidden="false" customHeight="false" outlineLevel="0" collapsed="false">
      <c r="A839" s="10" t="n">
        <v>12</v>
      </c>
      <c r="B839" s="10" t="n">
        <v>452.75</v>
      </c>
      <c r="C839" s="10" t="s">
        <v>15</v>
      </c>
      <c r="D839" s="10" t="n">
        <v>2.5</v>
      </c>
      <c r="E839" s="10" t="n">
        <v>2.5</v>
      </c>
      <c r="F839" s="10" t="n">
        <v>0</v>
      </c>
      <c r="G839" s="10" t="n">
        <v>4</v>
      </c>
      <c r="H839" s="10" t="n">
        <v>21</v>
      </c>
      <c r="I839" s="10" t="s">
        <v>13</v>
      </c>
      <c r="J839" s="10" t="s">
        <v>38</v>
      </c>
      <c r="K839" s="10" t="s">
        <v>37</v>
      </c>
      <c r="L839" s="10" t="s">
        <v>40</v>
      </c>
    </row>
    <row r="840" customFormat="false" ht="15.75" hidden="false" customHeight="false" outlineLevel="0" collapsed="false">
      <c r="A840" s="10" t="n">
        <v>4</v>
      </c>
      <c r="B840" s="10" t="n">
        <v>307.11</v>
      </c>
      <c r="C840" s="10" t="s">
        <v>20</v>
      </c>
      <c r="D840" s="10" t="n">
        <v>0.5</v>
      </c>
      <c r="E840" s="10" t="n">
        <v>0.5</v>
      </c>
      <c r="F840" s="10" t="n">
        <v>0</v>
      </c>
      <c r="G840" s="10" t="n">
        <v>1</v>
      </c>
      <c r="H840" s="10" t="n">
        <v>23</v>
      </c>
      <c r="I840" s="10" t="s">
        <v>13</v>
      </c>
      <c r="J840" s="10" t="s">
        <v>38</v>
      </c>
      <c r="K840" s="10" t="s">
        <v>43</v>
      </c>
      <c r="L840" s="10" t="s">
        <v>42</v>
      </c>
    </row>
    <row r="841" customFormat="false" ht="15.75" hidden="false" customHeight="false" outlineLevel="0" collapsed="false">
      <c r="A841" s="10" t="n">
        <v>24</v>
      </c>
      <c r="B841" s="10" t="n">
        <v>1511.03</v>
      </c>
      <c r="C841" s="10" t="s">
        <v>12</v>
      </c>
      <c r="D841" s="10" t="n">
        <v>8</v>
      </c>
      <c r="E841" s="10" t="n">
        <v>8</v>
      </c>
      <c r="F841" s="10" t="n">
        <v>0</v>
      </c>
      <c r="G841" s="10" t="n">
        <v>4</v>
      </c>
      <c r="H841" s="10" t="n">
        <v>63</v>
      </c>
      <c r="I841" s="10" t="s">
        <v>13</v>
      </c>
      <c r="J841" s="10" t="s">
        <v>36</v>
      </c>
      <c r="K841" s="10" t="s">
        <v>37</v>
      </c>
      <c r="L841" s="10" t="s">
        <v>37</v>
      </c>
    </row>
    <row r="842" customFormat="false" ht="15.75" hidden="false" customHeight="false" outlineLevel="0" collapsed="false">
      <c r="A842" s="10" t="n">
        <v>24</v>
      </c>
      <c r="B842" s="10" t="n">
        <v>1334.22</v>
      </c>
      <c r="C842" s="10" t="s">
        <v>12</v>
      </c>
      <c r="D842" s="10" t="n">
        <v>8</v>
      </c>
      <c r="E842" s="10" t="n">
        <v>8</v>
      </c>
      <c r="F842" s="10" t="n">
        <v>0</v>
      </c>
      <c r="G842" s="10" t="n">
        <v>4</v>
      </c>
      <c r="H842" s="10" t="n">
        <v>46</v>
      </c>
      <c r="I842" s="10" t="s">
        <v>13</v>
      </c>
      <c r="J842" s="10" t="s">
        <v>39</v>
      </c>
      <c r="K842" s="10" t="s">
        <v>37</v>
      </c>
      <c r="L842" s="10" t="s">
        <v>37</v>
      </c>
    </row>
    <row r="843" customFormat="false" ht="15.75" hidden="false" customHeight="false" outlineLevel="0" collapsed="false">
      <c r="A843" s="10" t="n">
        <v>36</v>
      </c>
      <c r="B843" s="10" t="n">
        <v>2646.47</v>
      </c>
      <c r="C843" s="10" t="s">
        <v>17</v>
      </c>
      <c r="D843" s="10" t="n">
        <v>5.5</v>
      </c>
      <c r="E843" s="10" t="n">
        <v>5.5</v>
      </c>
      <c r="F843" s="10" t="n">
        <v>0</v>
      </c>
      <c r="G843" s="10" t="n">
        <v>4</v>
      </c>
      <c r="H843" s="10" t="n">
        <v>29</v>
      </c>
      <c r="I843" s="10" t="s">
        <v>16</v>
      </c>
      <c r="J843" s="10" t="s">
        <v>38</v>
      </c>
      <c r="K843" s="10" t="s">
        <v>37</v>
      </c>
      <c r="L843" s="10" t="s">
        <v>41</v>
      </c>
    </row>
    <row r="844" customFormat="false" ht="15.75" hidden="false" customHeight="false" outlineLevel="0" collapsed="false">
      <c r="A844" s="10" t="n">
        <v>21</v>
      </c>
      <c r="B844" s="10" t="n">
        <v>1529.42</v>
      </c>
      <c r="C844" s="10" t="s">
        <v>15</v>
      </c>
      <c r="D844" s="10" t="n">
        <v>2.5</v>
      </c>
      <c r="E844" s="10" t="n">
        <v>2.5</v>
      </c>
      <c r="F844" s="10" t="n">
        <v>0</v>
      </c>
      <c r="G844" s="10" t="n">
        <v>3</v>
      </c>
      <c r="H844" s="10" t="n">
        <v>28</v>
      </c>
      <c r="I844" s="10" t="s">
        <v>13</v>
      </c>
      <c r="J844" s="10" t="s">
        <v>38</v>
      </c>
      <c r="K844" s="10" t="s">
        <v>39</v>
      </c>
      <c r="L844" s="10" t="s">
        <v>40</v>
      </c>
    </row>
    <row r="845" customFormat="false" ht="15.75" hidden="false" customHeight="false" outlineLevel="0" collapsed="false">
      <c r="A845" s="10" t="n">
        <v>18</v>
      </c>
      <c r="B845" s="10" t="n">
        <v>992.87</v>
      </c>
      <c r="C845" s="10" t="s">
        <v>20</v>
      </c>
      <c r="D845" s="10" t="n">
        <v>0.5</v>
      </c>
      <c r="E845" s="10" t="n">
        <v>0.5</v>
      </c>
      <c r="F845" s="10" t="n">
        <v>0</v>
      </c>
      <c r="G845" s="10" t="n">
        <v>4</v>
      </c>
      <c r="H845" s="10" t="n">
        <v>23</v>
      </c>
      <c r="I845" s="10" t="s">
        <v>16</v>
      </c>
      <c r="J845" s="10" t="s">
        <v>38</v>
      </c>
      <c r="K845" s="10" t="s">
        <v>37</v>
      </c>
      <c r="L845" s="10" t="s">
        <v>42</v>
      </c>
    </row>
    <row r="846" customFormat="false" ht="15.75" hidden="false" customHeight="false" outlineLevel="0" collapsed="false">
      <c r="A846" s="10" t="n">
        <v>24</v>
      </c>
      <c r="B846" s="10" t="n">
        <v>796.65</v>
      </c>
      <c r="C846" s="10" t="s">
        <v>17</v>
      </c>
      <c r="D846" s="10" t="n">
        <v>5.5</v>
      </c>
      <c r="E846" s="10" t="n">
        <v>5.5</v>
      </c>
      <c r="F846" s="10" t="n">
        <v>0</v>
      </c>
      <c r="G846" s="10" t="n">
        <v>4</v>
      </c>
      <c r="H846" s="10" t="n">
        <v>50</v>
      </c>
      <c r="I846" s="10" t="s">
        <v>13</v>
      </c>
      <c r="J846" s="10" t="s">
        <v>39</v>
      </c>
      <c r="K846" s="10" t="s">
        <v>37</v>
      </c>
      <c r="L846" s="10" t="s">
        <v>41</v>
      </c>
    </row>
    <row r="847" customFormat="false" ht="15.75" hidden="false" customHeight="false" outlineLevel="0" collapsed="false">
      <c r="A847" s="10" t="n">
        <v>18</v>
      </c>
      <c r="B847" s="10" t="n">
        <v>1748.64</v>
      </c>
      <c r="C847" s="10" t="s">
        <v>12</v>
      </c>
      <c r="D847" s="10" t="n">
        <v>8</v>
      </c>
      <c r="E847" s="10" t="n">
        <v>8</v>
      </c>
      <c r="F847" s="10" t="n">
        <v>0</v>
      </c>
      <c r="G847" s="10" t="n">
        <v>4</v>
      </c>
      <c r="H847" s="10" t="n">
        <v>47</v>
      </c>
      <c r="I847" s="10" t="s">
        <v>13</v>
      </c>
      <c r="J847" s="10" t="s">
        <v>39</v>
      </c>
      <c r="K847" s="10" t="s">
        <v>37</v>
      </c>
      <c r="L847" s="10" t="s">
        <v>37</v>
      </c>
    </row>
    <row r="848" customFormat="false" ht="15.75" hidden="false" customHeight="false" outlineLevel="0" collapsed="false">
      <c r="A848" s="10" t="n">
        <v>21</v>
      </c>
      <c r="B848" s="10" t="n">
        <v>2031.74</v>
      </c>
      <c r="C848" s="10" t="s">
        <v>17</v>
      </c>
      <c r="D848" s="10" t="n">
        <v>5.5</v>
      </c>
      <c r="E848" s="10" t="n">
        <v>5.5</v>
      </c>
      <c r="F848" s="10" t="n">
        <v>0</v>
      </c>
      <c r="G848" s="10" t="n">
        <v>2</v>
      </c>
      <c r="H848" s="10" t="n">
        <v>35</v>
      </c>
      <c r="I848" s="10" t="s">
        <v>13</v>
      </c>
      <c r="J848" s="10" t="s">
        <v>39</v>
      </c>
      <c r="K848" s="10" t="s">
        <v>39</v>
      </c>
      <c r="L848" s="10" t="s">
        <v>41</v>
      </c>
    </row>
    <row r="849" customFormat="false" ht="15.75" hidden="false" customHeight="false" outlineLevel="0" collapsed="false">
      <c r="A849" s="10" t="n">
        <v>18</v>
      </c>
      <c r="B849" s="10" t="n">
        <v>3454.87</v>
      </c>
      <c r="C849" s="10" t="s">
        <v>15</v>
      </c>
      <c r="D849" s="10" t="n">
        <v>2.5</v>
      </c>
      <c r="E849" s="10" t="n">
        <v>2.5</v>
      </c>
      <c r="F849" s="10" t="n">
        <v>0</v>
      </c>
      <c r="G849" s="10" t="n">
        <v>2</v>
      </c>
      <c r="H849" s="10" t="n">
        <v>68</v>
      </c>
      <c r="I849" s="10" t="s">
        <v>16</v>
      </c>
      <c r="J849" s="10" t="s">
        <v>36</v>
      </c>
      <c r="K849" s="10" t="s">
        <v>39</v>
      </c>
      <c r="L849" s="10" t="s">
        <v>40</v>
      </c>
    </row>
    <row r="850" customFormat="false" ht="15.75" hidden="false" customHeight="false" outlineLevel="0" collapsed="false">
      <c r="A850" s="10" t="n">
        <v>24</v>
      </c>
      <c r="B850" s="10" t="n">
        <v>638.24</v>
      </c>
      <c r="C850" s="10" t="s">
        <v>20</v>
      </c>
      <c r="D850" s="10" t="n">
        <v>0.5</v>
      </c>
      <c r="E850" s="10" t="n">
        <v>0.5</v>
      </c>
      <c r="F850" s="10" t="n">
        <v>0</v>
      </c>
      <c r="G850" s="10" t="n">
        <v>4</v>
      </c>
      <c r="H850" s="10" t="n">
        <v>28</v>
      </c>
      <c r="I850" s="10" t="s">
        <v>13</v>
      </c>
      <c r="J850" s="10" t="s">
        <v>38</v>
      </c>
      <c r="K850" s="10" t="s">
        <v>37</v>
      </c>
      <c r="L850" s="10" t="s">
        <v>42</v>
      </c>
    </row>
    <row r="851" customFormat="false" ht="15.75" hidden="false" customHeight="false" outlineLevel="0" collapsed="false">
      <c r="A851" s="10" t="n">
        <v>9</v>
      </c>
      <c r="B851" s="10" t="n">
        <v>697</v>
      </c>
      <c r="C851" s="10" t="s">
        <v>17</v>
      </c>
      <c r="D851" s="10" t="n">
        <v>5.5</v>
      </c>
      <c r="E851" s="10" t="n">
        <v>5.5</v>
      </c>
      <c r="F851" s="10" t="n">
        <v>0</v>
      </c>
      <c r="G851" s="10" t="n">
        <v>3</v>
      </c>
      <c r="H851" s="10" t="n">
        <v>59</v>
      </c>
      <c r="I851" s="10" t="s">
        <v>13</v>
      </c>
      <c r="J851" s="10" t="s">
        <v>36</v>
      </c>
      <c r="K851" s="10" t="s">
        <v>39</v>
      </c>
      <c r="L851" s="10" t="s">
        <v>41</v>
      </c>
    </row>
    <row r="852" customFormat="false" ht="15.75" hidden="false" customHeight="false" outlineLevel="0" collapsed="false">
      <c r="A852" s="10" t="n">
        <v>12</v>
      </c>
      <c r="B852" s="10" t="n">
        <v>362.3</v>
      </c>
      <c r="C852" s="10" t="s">
        <v>12</v>
      </c>
      <c r="D852" s="10" t="n">
        <v>8</v>
      </c>
      <c r="E852" s="10" t="n">
        <v>8</v>
      </c>
      <c r="F852" s="10" t="n">
        <v>0</v>
      </c>
      <c r="G852" s="10" t="n">
        <v>4</v>
      </c>
      <c r="H852" s="10" t="n">
        <v>57</v>
      </c>
      <c r="I852" s="10" t="s">
        <v>16</v>
      </c>
      <c r="J852" s="10" t="s">
        <v>36</v>
      </c>
      <c r="K852" s="10" t="s">
        <v>37</v>
      </c>
      <c r="L852" s="10" t="s">
        <v>37</v>
      </c>
    </row>
    <row r="853" customFormat="false" ht="15.75" hidden="false" customHeight="false" outlineLevel="0" collapsed="false">
      <c r="A853" s="10" t="n">
        <v>20</v>
      </c>
      <c r="B853" s="10" t="n">
        <v>1142.09</v>
      </c>
      <c r="C853" s="10" t="s">
        <v>15</v>
      </c>
      <c r="D853" s="10" t="n">
        <v>2.5</v>
      </c>
      <c r="E853" s="10" t="n">
        <v>2.5</v>
      </c>
      <c r="F853" s="10" t="n">
        <v>0</v>
      </c>
      <c r="G853" s="10" t="n">
        <v>4</v>
      </c>
      <c r="H853" s="10" t="n">
        <v>33</v>
      </c>
      <c r="I853" s="10" t="s">
        <v>16</v>
      </c>
      <c r="J853" s="10" t="s">
        <v>39</v>
      </c>
      <c r="K853" s="10" t="s">
        <v>37</v>
      </c>
      <c r="L853" s="10" t="s">
        <v>40</v>
      </c>
    </row>
    <row r="854" customFormat="false" ht="15.75" hidden="false" customHeight="false" outlineLevel="0" collapsed="false">
      <c r="A854" s="10" t="n">
        <v>24</v>
      </c>
      <c r="B854" s="10" t="n">
        <v>2065.46</v>
      </c>
      <c r="C854" s="10" t="s">
        <v>17</v>
      </c>
      <c r="D854" s="10" t="n">
        <v>5.5</v>
      </c>
      <c r="E854" s="10" t="n">
        <v>5.5</v>
      </c>
      <c r="F854" s="10" t="n">
        <v>0</v>
      </c>
      <c r="G854" s="10" t="n">
        <v>3</v>
      </c>
      <c r="H854" s="10" t="n">
        <v>43</v>
      </c>
      <c r="I854" s="10" t="s">
        <v>13</v>
      </c>
      <c r="J854" s="10" t="s">
        <v>39</v>
      </c>
      <c r="K854" s="10" t="s">
        <v>39</v>
      </c>
      <c r="L854" s="10" t="s">
        <v>41</v>
      </c>
    </row>
    <row r="855" customFormat="false" ht="15.75" hidden="false" customHeight="false" outlineLevel="0" collapsed="false">
      <c r="A855" s="10" t="n">
        <v>15</v>
      </c>
      <c r="B855" s="10" t="n">
        <v>751.68</v>
      </c>
      <c r="C855" s="10" t="s">
        <v>15</v>
      </c>
      <c r="D855" s="10" t="n">
        <v>2.5</v>
      </c>
      <c r="E855" s="10" t="n">
        <v>2.5</v>
      </c>
      <c r="F855" s="10" t="n">
        <v>0</v>
      </c>
      <c r="G855" s="10" t="n">
        <v>4</v>
      </c>
      <c r="H855" s="10" t="n">
        <v>35</v>
      </c>
      <c r="I855" s="10" t="s">
        <v>13</v>
      </c>
      <c r="J855" s="10" t="s">
        <v>39</v>
      </c>
      <c r="K855" s="10" t="s">
        <v>37</v>
      </c>
      <c r="L855" s="10" t="s">
        <v>40</v>
      </c>
    </row>
    <row r="856" customFormat="false" ht="15.75" hidden="false" customHeight="false" outlineLevel="0" collapsed="false">
      <c r="A856" s="10" t="n">
        <v>18</v>
      </c>
      <c r="B856" s="10" t="n">
        <v>736.86</v>
      </c>
      <c r="C856" s="10" t="s">
        <v>17</v>
      </c>
      <c r="D856" s="10" t="n">
        <v>5.5</v>
      </c>
      <c r="E856" s="10" t="n">
        <v>5.5</v>
      </c>
      <c r="F856" s="10" t="n">
        <v>0</v>
      </c>
      <c r="G856" s="10" t="n">
        <v>4</v>
      </c>
      <c r="H856" s="10" t="n">
        <v>32</v>
      </c>
      <c r="I856" s="10" t="s">
        <v>16</v>
      </c>
      <c r="J856" s="10" t="s">
        <v>39</v>
      </c>
      <c r="K856" s="10" t="s">
        <v>37</v>
      </c>
      <c r="L856" s="10" t="s">
        <v>41</v>
      </c>
    </row>
    <row r="857" customFormat="false" ht="15.75" hidden="false" customHeight="false" outlineLevel="0" collapsed="false">
      <c r="A857" s="10" t="n">
        <v>36</v>
      </c>
      <c r="B857" s="10" t="n">
        <v>5557.13</v>
      </c>
      <c r="C857" s="10" t="s">
        <v>12</v>
      </c>
      <c r="D857" s="10" t="n">
        <v>8</v>
      </c>
      <c r="E857" s="10" t="n">
        <v>8</v>
      </c>
      <c r="F857" s="10" t="n">
        <v>0</v>
      </c>
      <c r="G857" s="10" t="n">
        <v>2</v>
      </c>
      <c r="H857" s="10" t="n">
        <v>45</v>
      </c>
      <c r="I857" s="10" t="s">
        <v>13</v>
      </c>
      <c r="J857" s="10" t="s">
        <v>39</v>
      </c>
      <c r="K857" s="10" t="s">
        <v>39</v>
      </c>
      <c r="L857" s="10" t="s">
        <v>37</v>
      </c>
    </row>
    <row r="858" customFormat="false" ht="15.75" hidden="false" customHeight="false" outlineLevel="0" collapsed="false">
      <c r="A858" s="10" t="n">
        <v>24</v>
      </c>
      <c r="B858" s="10" t="n">
        <v>753.21</v>
      </c>
      <c r="C858" s="10" t="s">
        <v>20</v>
      </c>
      <c r="D858" s="10" t="n">
        <v>0.5</v>
      </c>
      <c r="E858" s="10" t="n">
        <v>0.5</v>
      </c>
      <c r="F858" s="10" t="n">
        <v>0</v>
      </c>
      <c r="G858" s="10" t="n">
        <v>4</v>
      </c>
      <c r="H858" s="10" t="n">
        <v>33</v>
      </c>
      <c r="I858" s="10" t="s">
        <v>13</v>
      </c>
      <c r="J858" s="10" t="s">
        <v>39</v>
      </c>
      <c r="K858" s="10" t="s">
        <v>37</v>
      </c>
      <c r="L858" s="10" t="s">
        <v>42</v>
      </c>
    </row>
    <row r="859" customFormat="false" ht="15.75" hidden="false" customHeight="false" outlineLevel="0" collapsed="false">
      <c r="A859" s="10" t="n">
        <v>10</v>
      </c>
      <c r="B859" s="10" t="n">
        <v>456.83</v>
      </c>
      <c r="C859" s="10" t="s">
        <v>17</v>
      </c>
      <c r="D859" s="10" t="n">
        <v>5.5</v>
      </c>
      <c r="E859" s="10" t="n">
        <v>5.5</v>
      </c>
      <c r="F859" s="10" t="n">
        <v>0</v>
      </c>
      <c r="G859" s="10" t="n">
        <v>4</v>
      </c>
      <c r="H859" s="10" t="n">
        <v>40</v>
      </c>
      <c r="I859" s="10" t="s">
        <v>13</v>
      </c>
      <c r="J859" s="10" t="s">
        <v>39</v>
      </c>
      <c r="K859" s="10" t="s">
        <v>37</v>
      </c>
      <c r="L859" s="10" t="s">
        <v>41</v>
      </c>
    </row>
    <row r="860" customFormat="false" ht="15.75" hidden="false" customHeight="false" outlineLevel="0" collapsed="false">
      <c r="A860" s="10" t="n">
        <v>15</v>
      </c>
      <c r="B860" s="10" t="n">
        <v>1708.27</v>
      </c>
      <c r="C860" s="10" t="s">
        <v>15</v>
      </c>
      <c r="D860" s="10" t="n">
        <v>2.5</v>
      </c>
      <c r="E860" s="10" t="n">
        <v>2.5</v>
      </c>
      <c r="F860" s="10" t="n">
        <v>0</v>
      </c>
      <c r="G860" s="10" t="n">
        <v>4</v>
      </c>
      <c r="H860" s="10" t="n">
        <v>28</v>
      </c>
      <c r="I860" s="10" t="s">
        <v>13</v>
      </c>
      <c r="J860" s="10" t="s">
        <v>38</v>
      </c>
      <c r="K860" s="10" t="s">
        <v>37</v>
      </c>
      <c r="L860" s="10" t="s">
        <v>40</v>
      </c>
    </row>
    <row r="861" customFormat="false" ht="15.75" hidden="false" customHeight="false" outlineLevel="0" collapsed="false">
      <c r="A861" s="10" t="n">
        <v>15</v>
      </c>
      <c r="B861" s="10" t="n">
        <v>2023.05</v>
      </c>
      <c r="C861" s="10" t="s">
        <v>15</v>
      </c>
      <c r="D861" s="10" t="n">
        <v>2.5</v>
      </c>
      <c r="E861" s="10" t="n">
        <v>2.5</v>
      </c>
      <c r="F861" s="10" t="n">
        <v>0</v>
      </c>
      <c r="G861" s="10" t="n">
        <v>3</v>
      </c>
      <c r="H861" s="10" t="n">
        <v>29</v>
      </c>
      <c r="I861" s="10" t="s">
        <v>16</v>
      </c>
      <c r="J861" s="10" t="s">
        <v>38</v>
      </c>
      <c r="K861" s="10" t="s">
        <v>39</v>
      </c>
      <c r="L861" s="10" t="s">
        <v>40</v>
      </c>
    </row>
    <row r="862" customFormat="false" ht="15.75" hidden="false" customHeight="false" outlineLevel="0" collapsed="false">
      <c r="A862" s="10" t="n">
        <v>9</v>
      </c>
      <c r="B862" s="10" t="n">
        <v>1827.85</v>
      </c>
      <c r="C862" s="10" t="s">
        <v>15</v>
      </c>
      <c r="D862" s="10" t="n">
        <v>2.5</v>
      </c>
      <c r="E862" s="10" t="n">
        <v>2.5</v>
      </c>
      <c r="F862" s="10" t="n">
        <v>0</v>
      </c>
      <c r="G862" s="10" t="n">
        <v>1</v>
      </c>
      <c r="H862" s="10" t="n">
        <v>26</v>
      </c>
      <c r="I862" s="10" t="s">
        <v>13</v>
      </c>
      <c r="J862" s="10" t="s">
        <v>38</v>
      </c>
      <c r="K862" s="10" t="s">
        <v>43</v>
      </c>
      <c r="L862" s="10" t="s">
        <v>40</v>
      </c>
    </row>
    <row r="863" customFormat="false" ht="15.75" hidden="false" customHeight="false" outlineLevel="0" collapsed="false">
      <c r="A863" s="10" t="n">
        <v>24</v>
      </c>
      <c r="B863" s="10" t="n">
        <v>2965.84</v>
      </c>
      <c r="C863" s="10" t="s">
        <v>15</v>
      </c>
      <c r="D863" s="10" t="n">
        <v>2.5</v>
      </c>
      <c r="E863" s="10" t="n">
        <v>2.5</v>
      </c>
      <c r="F863" s="10" t="n">
        <v>0</v>
      </c>
      <c r="G863" s="10" t="n">
        <v>4</v>
      </c>
      <c r="H863" s="10" t="n">
        <v>27</v>
      </c>
      <c r="I863" s="10" t="s">
        <v>13</v>
      </c>
      <c r="J863" s="10" t="s">
        <v>38</v>
      </c>
      <c r="K863" s="10" t="s">
        <v>37</v>
      </c>
      <c r="L863" s="10" t="s">
        <v>40</v>
      </c>
    </row>
    <row r="864" customFormat="false" ht="15.75" hidden="false" customHeight="false" outlineLevel="0" collapsed="false">
      <c r="A864" s="10" t="n">
        <v>18</v>
      </c>
      <c r="B864" s="10" t="n">
        <v>1108.36</v>
      </c>
      <c r="C864" s="10" t="s">
        <v>15</v>
      </c>
      <c r="D864" s="10" t="n">
        <v>2.5</v>
      </c>
      <c r="E864" s="10" t="n">
        <v>2.5</v>
      </c>
      <c r="F864" s="10" t="n">
        <v>0</v>
      </c>
      <c r="G864" s="10" t="n">
        <v>4</v>
      </c>
      <c r="H864" s="10" t="n">
        <v>28</v>
      </c>
      <c r="I864" s="10" t="s">
        <v>16</v>
      </c>
      <c r="J864" s="10" t="s">
        <v>38</v>
      </c>
      <c r="K864" s="10" t="s">
        <v>37</v>
      </c>
      <c r="L864" s="10" t="s">
        <v>40</v>
      </c>
    </row>
    <row r="865" customFormat="false" ht="15.75" hidden="false" customHeight="false" outlineLevel="0" collapsed="false">
      <c r="A865" s="10" t="n">
        <v>24</v>
      </c>
      <c r="B865" s="10" t="n">
        <v>1246.33</v>
      </c>
      <c r="C865" s="10" t="s">
        <v>20</v>
      </c>
      <c r="D865" s="10" t="n">
        <v>0.5</v>
      </c>
      <c r="E865" s="10" t="n">
        <v>0.5</v>
      </c>
      <c r="F865" s="10" t="n">
        <v>0</v>
      </c>
      <c r="G865" s="10" t="n">
        <v>4</v>
      </c>
      <c r="H865" s="10" t="n">
        <v>35</v>
      </c>
      <c r="I865" s="10" t="s">
        <v>16</v>
      </c>
      <c r="J865" s="10" t="s">
        <v>39</v>
      </c>
      <c r="K865" s="10" t="s">
        <v>37</v>
      </c>
      <c r="L865" s="10" t="s">
        <v>42</v>
      </c>
    </row>
    <row r="866" customFormat="false" ht="15.75" hidden="false" customHeight="false" outlineLevel="0" collapsed="false">
      <c r="A866" s="10" t="n">
        <v>27</v>
      </c>
      <c r="B866" s="10" t="n">
        <v>2312.79</v>
      </c>
      <c r="C866" s="10" t="s">
        <v>20</v>
      </c>
      <c r="D866" s="10" t="n">
        <v>0.5</v>
      </c>
      <c r="E866" s="10" t="n">
        <v>0.5</v>
      </c>
      <c r="F866" s="10" t="n">
        <v>0</v>
      </c>
      <c r="G866" s="10" t="n">
        <v>4</v>
      </c>
      <c r="H866" s="10" t="n">
        <v>32</v>
      </c>
      <c r="I866" s="10" t="s">
        <v>13</v>
      </c>
      <c r="J866" s="10" t="s">
        <v>39</v>
      </c>
      <c r="K866" s="10" t="s">
        <v>37</v>
      </c>
      <c r="L866" s="10" t="s">
        <v>42</v>
      </c>
    </row>
    <row r="867" customFormat="false" ht="15.75" hidden="false" customHeight="false" outlineLevel="0" collapsed="false">
      <c r="A867" s="10" t="n">
        <v>10</v>
      </c>
      <c r="B867" s="10" t="n">
        <v>1129.31</v>
      </c>
      <c r="C867" s="10" t="s">
        <v>15</v>
      </c>
      <c r="D867" s="10" t="n">
        <v>2.5</v>
      </c>
      <c r="E867" s="10" t="n">
        <v>2.5</v>
      </c>
      <c r="F867" s="10" t="n">
        <v>0</v>
      </c>
      <c r="G867" s="10" t="n">
        <v>2</v>
      </c>
      <c r="H867" s="10" t="n">
        <v>25</v>
      </c>
      <c r="I867" s="10" t="s">
        <v>16</v>
      </c>
      <c r="J867" s="10" t="s">
        <v>38</v>
      </c>
      <c r="K867" s="10" t="s">
        <v>39</v>
      </c>
      <c r="L867" s="10" t="s">
        <v>40</v>
      </c>
    </row>
    <row r="868" customFormat="false" ht="15.75" hidden="false" customHeight="false" outlineLevel="0" collapsed="false">
      <c r="A868" s="10" t="n">
        <v>15</v>
      </c>
      <c r="B868" s="10" t="n">
        <v>1134.93</v>
      </c>
      <c r="C868" s="10" t="s">
        <v>15</v>
      </c>
      <c r="D868" s="10" t="n">
        <v>2.5</v>
      </c>
      <c r="E868" s="10" t="n">
        <v>2</v>
      </c>
      <c r="F868" s="10" t="n">
        <v>1</v>
      </c>
      <c r="G868" s="10" t="n">
        <v>2</v>
      </c>
      <c r="H868" s="10" t="n">
        <v>20</v>
      </c>
      <c r="I868" s="10" t="s">
        <v>13</v>
      </c>
      <c r="J868" s="10" t="s">
        <v>38</v>
      </c>
      <c r="K868" s="10" t="s">
        <v>39</v>
      </c>
      <c r="L868" s="10" t="s">
        <v>42</v>
      </c>
    </row>
    <row r="869" customFormat="false" ht="15.75" hidden="false" customHeight="false" outlineLevel="0" collapsed="false">
      <c r="A869" s="10" t="n">
        <v>18</v>
      </c>
      <c r="B869" s="10" t="n">
        <v>1220.78</v>
      </c>
      <c r="C869" s="10" t="s">
        <v>20</v>
      </c>
      <c r="D869" s="10" t="n">
        <v>0.5</v>
      </c>
      <c r="E869" s="10" t="n">
        <v>0.5</v>
      </c>
      <c r="F869" s="10" t="n">
        <v>0</v>
      </c>
      <c r="G869" s="10" t="n">
        <v>4</v>
      </c>
      <c r="H869" s="10" t="n">
        <v>27</v>
      </c>
      <c r="I869" s="10" t="s">
        <v>13</v>
      </c>
      <c r="J869" s="10" t="s">
        <v>38</v>
      </c>
      <c r="K869" s="10" t="s">
        <v>37</v>
      </c>
      <c r="L869" s="10" t="s">
        <v>42</v>
      </c>
    </row>
    <row r="870" customFormat="false" ht="15.75" hidden="false" customHeight="false" outlineLevel="0" collapsed="false">
      <c r="A870" s="10" t="n">
        <v>12</v>
      </c>
      <c r="B870" s="10" t="n">
        <v>1702.14</v>
      </c>
      <c r="C870" s="10" t="s">
        <v>12</v>
      </c>
      <c r="D870" s="10" t="n">
        <v>8</v>
      </c>
      <c r="E870" s="10" t="n">
        <v>8</v>
      </c>
      <c r="F870" s="10" t="n">
        <v>0</v>
      </c>
      <c r="G870" s="10" t="n">
        <v>2</v>
      </c>
      <c r="H870" s="10" t="n">
        <v>42</v>
      </c>
      <c r="I870" s="10" t="s">
        <v>13</v>
      </c>
      <c r="J870" s="10" t="s">
        <v>39</v>
      </c>
      <c r="K870" s="10" t="s">
        <v>39</v>
      </c>
      <c r="L870" s="10" t="s">
        <v>37</v>
      </c>
    </row>
    <row r="871" customFormat="false" ht="15.75" hidden="false" customHeight="false" outlineLevel="0" collapsed="false">
      <c r="A871" s="10" t="n">
        <v>36</v>
      </c>
      <c r="B871" s="10" t="n">
        <v>3786</v>
      </c>
      <c r="C871" s="10" t="s">
        <v>12</v>
      </c>
      <c r="D871" s="10" t="n">
        <v>8</v>
      </c>
      <c r="E871" s="10" t="n">
        <v>8</v>
      </c>
      <c r="F871" s="10" t="n">
        <v>0</v>
      </c>
      <c r="G871" s="10" t="n">
        <v>3</v>
      </c>
      <c r="H871" s="10" t="n">
        <v>37</v>
      </c>
      <c r="I871" s="10" t="s">
        <v>13</v>
      </c>
      <c r="J871" s="10" t="s">
        <v>39</v>
      </c>
      <c r="K871" s="10" t="s">
        <v>39</v>
      </c>
      <c r="L871" s="10" t="s">
        <v>37</v>
      </c>
    </row>
    <row r="872" customFormat="false" ht="15.75" hidden="false" customHeight="false" outlineLevel="0" collapsed="false">
      <c r="A872" s="10" t="n">
        <v>12</v>
      </c>
      <c r="B872" s="10" t="n">
        <v>333.17</v>
      </c>
      <c r="C872" s="10" t="s">
        <v>12</v>
      </c>
      <c r="D872" s="10" t="n">
        <v>8</v>
      </c>
      <c r="E872" s="10" t="n">
        <v>6</v>
      </c>
      <c r="F872" s="10" t="n">
        <v>1</v>
      </c>
      <c r="G872" s="10" t="n">
        <v>4</v>
      </c>
      <c r="H872" s="10" t="n">
        <v>24</v>
      </c>
      <c r="I872" s="10" t="s">
        <v>13</v>
      </c>
      <c r="J872" s="10" t="s">
        <v>38</v>
      </c>
      <c r="K872" s="10" t="s">
        <v>37</v>
      </c>
      <c r="L872" s="10" t="s">
        <v>41</v>
      </c>
    </row>
    <row r="873" customFormat="false" ht="15.75" hidden="false" customHeight="false" outlineLevel="0" collapsed="false">
      <c r="A873" s="10" t="n">
        <v>36</v>
      </c>
      <c r="B873" s="10" t="n">
        <v>3923.46</v>
      </c>
      <c r="C873" s="10" t="s">
        <v>17</v>
      </c>
      <c r="D873" s="10" t="n">
        <v>5.5</v>
      </c>
      <c r="E873" s="10" t="n">
        <v>5.5</v>
      </c>
      <c r="F873" s="10" t="n">
        <v>0</v>
      </c>
      <c r="G873" s="10" t="n">
        <v>2</v>
      </c>
      <c r="H873" s="10" t="n">
        <v>40</v>
      </c>
      <c r="I873" s="10" t="s">
        <v>13</v>
      </c>
      <c r="J873" s="10" t="s">
        <v>39</v>
      </c>
      <c r="K873" s="10" t="s">
        <v>39</v>
      </c>
      <c r="L873" s="10" t="s">
        <v>41</v>
      </c>
    </row>
    <row r="874" customFormat="false" ht="15.75" hidden="false" customHeight="false" outlineLevel="0" collapsed="false">
      <c r="A874" s="10" t="n">
        <v>6</v>
      </c>
      <c r="B874" s="10" t="n">
        <v>686.27</v>
      </c>
      <c r="C874" s="10" t="s">
        <v>12</v>
      </c>
      <c r="D874" s="10" t="n">
        <v>8</v>
      </c>
      <c r="E874" s="10" t="n">
        <v>8</v>
      </c>
      <c r="F874" s="10" t="n">
        <v>0</v>
      </c>
      <c r="G874" s="10" t="n">
        <v>1</v>
      </c>
      <c r="H874" s="10" t="n">
        <v>46</v>
      </c>
      <c r="I874" s="10" t="s">
        <v>13</v>
      </c>
      <c r="J874" s="10" t="s">
        <v>39</v>
      </c>
      <c r="K874" s="10" t="s">
        <v>43</v>
      </c>
      <c r="L874" s="10" t="s">
        <v>37</v>
      </c>
    </row>
    <row r="875" customFormat="false" ht="15.75" hidden="false" customHeight="false" outlineLevel="0" collapsed="false">
      <c r="A875" s="10" t="n">
        <v>24</v>
      </c>
      <c r="B875" s="10" t="n">
        <v>706.2</v>
      </c>
      <c r="C875" s="10" t="s">
        <v>17</v>
      </c>
      <c r="D875" s="10" t="n">
        <v>5.5</v>
      </c>
      <c r="E875" s="10" t="n">
        <v>5.5</v>
      </c>
      <c r="F875" s="10" t="n">
        <v>0</v>
      </c>
      <c r="G875" s="10" t="n">
        <v>4</v>
      </c>
      <c r="H875" s="10" t="n">
        <v>26</v>
      </c>
      <c r="I875" s="10" t="s">
        <v>13</v>
      </c>
      <c r="J875" s="10" t="s">
        <v>38</v>
      </c>
      <c r="K875" s="10" t="s">
        <v>37</v>
      </c>
      <c r="L875" s="10" t="s">
        <v>41</v>
      </c>
    </row>
    <row r="876" customFormat="false" ht="15.75" hidden="false" customHeight="false" outlineLevel="0" collapsed="false">
      <c r="A876" s="10" t="n">
        <v>15</v>
      </c>
      <c r="B876" s="10" t="n">
        <v>446.61</v>
      </c>
      <c r="C876" s="10" t="s">
        <v>20</v>
      </c>
      <c r="D876" s="10" t="n">
        <v>0.5</v>
      </c>
      <c r="E876" s="10" t="n">
        <v>0.5</v>
      </c>
      <c r="F876" s="10" t="n">
        <v>0</v>
      </c>
      <c r="G876" s="10" t="n">
        <v>4</v>
      </c>
      <c r="H876" s="10" t="n">
        <v>24</v>
      </c>
      <c r="I876" s="10" t="s">
        <v>13</v>
      </c>
      <c r="J876" s="10" t="s">
        <v>38</v>
      </c>
      <c r="K876" s="10" t="s">
        <v>37</v>
      </c>
      <c r="L876" s="10" t="s">
        <v>42</v>
      </c>
    </row>
    <row r="877" customFormat="false" ht="15.75" hidden="false" customHeight="false" outlineLevel="0" collapsed="false">
      <c r="A877" s="10" t="n">
        <v>12</v>
      </c>
      <c r="B877" s="10" t="n">
        <v>1834.49</v>
      </c>
      <c r="C877" s="10" t="s">
        <v>15</v>
      </c>
      <c r="D877" s="10" t="n">
        <v>2.5</v>
      </c>
      <c r="E877" s="10" t="n">
        <v>2.5</v>
      </c>
      <c r="F877" s="10" t="n">
        <v>0</v>
      </c>
      <c r="G877" s="10" t="n">
        <v>2</v>
      </c>
      <c r="H877" s="10" t="n">
        <v>29</v>
      </c>
      <c r="I877" s="10" t="s">
        <v>13</v>
      </c>
      <c r="J877" s="10" t="s">
        <v>38</v>
      </c>
      <c r="K877" s="10" t="s">
        <v>39</v>
      </c>
      <c r="L877" s="10" t="s">
        <v>40</v>
      </c>
    </row>
    <row r="878" customFormat="false" ht="15.75" hidden="false" customHeight="false" outlineLevel="0" collapsed="false">
      <c r="A878" s="10" t="n">
        <v>11</v>
      </c>
      <c r="B878" s="10" t="n">
        <v>675.54</v>
      </c>
      <c r="C878" s="10" t="s">
        <v>15</v>
      </c>
      <c r="D878" s="10" t="n">
        <v>2.5</v>
      </c>
      <c r="E878" s="10" t="n">
        <v>2.5</v>
      </c>
      <c r="F878" s="10" t="n">
        <v>0</v>
      </c>
      <c r="G878" s="10" t="n">
        <v>4</v>
      </c>
      <c r="H878" s="10" t="n">
        <v>40</v>
      </c>
      <c r="I878" s="10" t="s">
        <v>13</v>
      </c>
      <c r="J878" s="10" t="s">
        <v>39</v>
      </c>
      <c r="K878" s="10" t="s">
        <v>37</v>
      </c>
      <c r="L878" s="10" t="s">
        <v>40</v>
      </c>
    </row>
    <row r="879" customFormat="false" ht="15.75" hidden="false" customHeight="false" outlineLevel="0" collapsed="false">
      <c r="A879" s="10" t="n">
        <v>18</v>
      </c>
      <c r="B879" s="10" t="n">
        <v>991.34</v>
      </c>
      <c r="C879" s="10" t="s">
        <v>20</v>
      </c>
      <c r="D879" s="10" t="n">
        <v>0.5</v>
      </c>
      <c r="E879" s="10" t="n">
        <v>0.5</v>
      </c>
      <c r="F879" s="10" t="n">
        <v>0</v>
      </c>
      <c r="G879" s="10" t="n">
        <v>3</v>
      </c>
      <c r="H879" s="10" t="n">
        <v>36</v>
      </c>
      <c r="I879" s="10" t="s">
        <v>13</v>
      </c>
      <c r="J879" s="10" t="s">
        <v>39</v>
      </c>
      <c r="K879" s="10" t="s">
        <v>39</v>
      </c>
      <c r="L879" s="10" t="s">
        <v>42</v>
      </c>
    </row>
    <row r="880" customFormat="false" ht="15.75" hidden="false" customHeight="false" outlineLevel="0" collapsed="false">
      <c r="A880" s="10" t="n">
        <v>36</v>
      </c>
      <c r="B880" s="10" t="n">
        <v>1837.05</v>
      </c>
      <c r="C880" s="10" t="s">
        <v>12</v>
      </c>
      <c r="D880" s="10" t="n">
        <v>8</v>
      </c>
      <c r="E880" s="10" t="n">
        <v>8</v>
      </c>
      <c r="F880" s="10" t="n">
        <v>0</v>
      </c>
      <c r="G880" s="10" t="n">
        <v>4</v>
      </c>
      <c r="H880" s="10" t="n">
        <v>28</v>
      </c>
      <c r="I880" s="10" t="s">
        <v>13</v>
      </c>
      <c r="J880" s="10" t="s">
        <v>38</v>
      </c>
      <c r="K880" s="10" t="s">
        <v>37</v>
      </c>
      <c r="L880" s="10" t="s">
        <v>37</v>
      </c>
    </row>
    <row r="881" customFormat="false" ht="15.75" hidden="false" customHeight="false" outlineLevel="0" collapsed="false">
      <c r="A881" s="10" t="n">
        <v>9</v>
      </c>
      <c r="B881" s="10" t="n">
        <v>726.64</v>
      </c>
      <c r="C881" s="10" t="s">
        <v>20</v>
      </c>
      <c r="D881" s="10" t="n">
        <v>0.5</v>
      </c>
      <c r="E881" s="10" t="n">
        <v>0.5</v>
      </c>
      <c r="F881" s="10" t="n">
        <v>0</v>
      </c>
      <c r="G881" s="10" t="n">
        <v>3</v>
      </c>
      <c r="H881" s="10" t="n">
        <v>27</v>
      </c>
      <c r="I881" s="10" t="s">
        <v>16</v>
      </c>
      <c r="J881" s="10" t="s">
        <v>38</v>
      </c>
      <c r="K881" s="10" t="s">
        <v>39</v>
      </c>
      <c r="L881" s="10" t="s">
        <v>42</v>
      </c>
    </row>
    <row r="882" customFormat="false" ht="15.75" hidden="false" customHeight="false" outlineLevel="0" collapsed="false">
      <c r="A882" s="10" t="n">
        <v>30</v>
      </c>
      <c r="B882" s="10" t="n">
        <v>3445.16</v>
      </c>
      <c r="C882" s="10" t="s">
        <v>17</v>
      </c>
      <c r="D882" s="10" t="n">
        <v>5.5</v>
      </c>
      <c r="E882" s="10" t="n">
        <v>5.5</v>
      </c>
      <c r="F882" s="10" t="n">
        <v>0</v>
      </c>
      <c r="G882" s="10" t="n">
        <v>2</v>
      </c>
      <c r="H882" s="10" t="n">
        <v>36</v>
      </c>
      <c r="I882" s="10" t="s">
        <v>13</v>
      </c>
      <c r="J882" s="10" t="s">
        <v>39</v>
      </c>
      <c r="K882" s="10" t="s">
        <v>39</v>
      </c>
      <c r="L882" s="10" t="s">
        <v>41</v>
      </c>
    </row>
    <row r="883" customFormat="false" ht="15.75" hidden="false" customHeight="false" outlineLevel="0" collapsed="false">
      <c r="A883" s="10" t="n">
        <v>24</v>
      </c>
      <c r="B883" s="10" t="n">
        <v>3992.95</v>
      </c>
      <c r="C883" s="10" t="s">
        <v>17</v>
      </c>
      <c r="D883" s="10" t="n">
        <v>5.5</v>
      </c>
      <c r="E883" s="10" t="n">
        <v>5.5</v>
      </c>
      <c r="F883" s="10" t="n">
        <v>0</v>
      </c>
      <c r="G883" s="10" t="n">
        <v>3</v>
      </c>
      <c r="H883" s="10" t="n">
        <v>38</v>
      </c>
      <c r="I883" s="10" t="s">
        <v>13</v>
      </c>
      <c r="J883" s="10" t="s">
        <v>39</v>
      </c>
      <c r="K883" s="10" t="s">
        <v>39</v>
      </c>
      <c r="L883" s="10" t="s">
        <v>41</v>
      </c>
    </row>
    <row r="884" customFormat="false" ht="15.75" hidden="false" customHeight="false" outlineLevel="0" collapsed="false">
      <c r="A884" s="10" t="n">
        <v>24</v>
      </c>
      <c r="B884" s="10" t="n">
        <v>4740.55</v>
      </c>
      <c r="C884" s="10" t="s">
        <v>15</v>
      </c>
      <c r="D884" s="10" t="n">
        <v>2.5</v>
      </c>
      <c r="E884" s="10" t="n">
        <v>2.5</v>
      </c>
      <c r="F884" s="10" t="n">
        <v>0</v>
      </c>
      <c r="G884" s="10" t="n">
        <v>2</v>
      </c>
      <c r="H884" s="10" t="n">
        <v>48</v>
      </c>
      <c r="I884" s="10" t="s">
        <v>13</v>
      </c>
      <c r="J884" s="10" t="s">
        <v>39</v>
      </c>
      <c r="K884" s="10" t="s">
        <v>39</v>
      </c>
      <c r="L884" s="10" t="s">
        <v>40</v>
      </c>
    </row>
    <row r="885" customFormat="false" ht="15.75" hidden="false" customHeight="false" outlineLevel="0" collapsed="false">
      <c r="A885" s="10" t="n">
        <v>30</v>
      </c>
      <c r="B885" s="10" t="n">
        <v>1114.49</v>
      </c>
      <c r="C885" s="10" t="s">
        <v>12</v>
      </c>
      <c r="D885" s="10" t="n">
        <v>8</v>
      </c>
      <c r="E885" s="10" t="n">
        <v>8</v>
      </c>
      <c r="F885" s="10" t="n">
        <v>0</v>
      </c>
      <c r="G885" s="10" t="n">
        <v>4</v>
      </c>
      <c r="H885" s="10" t="n">
        <v>36</v>
      </c>
      <c r="I885" s="10" t="s">
        <v>13</v>
      </c>
      <c r="J885" s="10" t="s">
        <v>39</v>
      </c>
      <c r="K885" s="10" t="s">
        <v>37</v>
      </c>
      <c r="L885" s="10" t="s">
        <v>37</v>
      </c>
    </row>
    <row r="886" customFormat="false" ht="15.75" hidden="false" customHeight="false" outlineLevel="0" collapsed="false">
      <c r="A886" s="10" t="n">
        <v>18</v>
      </c>
      <c r="B886" s="10" t="n">
        <v>561.08</v>
      </c>
      <c r="C886" s="10" t="s">
        <v>19</v>
      </c>
      <c r="D886" s="10" t="n">
        <v>0</v>
      </c>
      <c r="E886" s="10" t="n">
        <v>0</v>
      </c>
      <c r="F886" s="10" t="n">
        <v>0</v>
      </c>
      <c r="G886" s="10" t="n">
        <v>4</v>
      </c>
      <c r="H886" s="10" t="n">
        <v>65</v>
      </c>
      <c r="I886" s="10" t="s">
        <v>13</v>
      </c>
      <c r="J886" s="10" t="s">
        <v>36</v>
      </c>
      <c r="K886" s="10" t="s">
        <v>37</v>
      </c>
      <c r="L886" s="10" t="s">
        <v>19</v>
      </c>
    </row>
    <row r="887" customFormat="false" ht="15.75" hidden="false" customHeight="false" outlineLevel="0" collapsed="false">
      <c r="A887" s="10" t="n">
        <v>24</v>
      </c>
      <c r="B887" s="10" t="n">
        <v>2073.13</v>
      </c>
      <c r="C887" s="10" t="s">
        <v>17</v>
      </c>
      <c r="D887" s="10" t="n">
        <v>5.5</v>
      </c>
      <c r="E887" s="10" t="n">
        <v>5.5</v>
      </c>
      <c r="F887" s="10" t="n">
        <v>0</v>
      </c>
      <c r="G887" s="10" t="n">
        <v>3</v>
      </c>
      <c r="H887" s="10" t="n">
        <v>43</v>
      </c>
      <c r="I887" s="10" t="s">
        <v>16</v>
      </c>
      <c r="J887" s="10" t="s">
        <v>39</v>
      </c>
      <c r="K887" s="10" t="s">
        <v>39</v>
      </c>
      <c r="L887" s="10" t="s">
        <v>41</v>
      </c>
    </row>
    <row r="888" customFormat="false" ht="15.75" hidden="false" customHeight="false" outlineLevel="0" collapsed="false">
      <c r="A888" s="10" t="n">
        <v>12</v>
      </c>
      <c r="B888" s="10" t="n">
        <v>406.25</v>
      </c>
      <c r="C888" s="10" t="s">
        <v>20</v>
      </c>
      <c r="D888" s="10" t="n">
        <v>0.5</v>
      </c>
      <c r="E888" s="10" t="n">
        <v>0.5</v>
      </c>
      <c r="F888" s="10" t="n">
        <v>0</v>
      </c>
      <c r="G888" s="10" t="n">
        <v>4</v>
      </c>
      <c r="H888" s="10" t="n">
        <v>53</v>
      </c>
      <c r="I888" s="10" t="s">
        <v>16</v>
      </c>
      <c r="J888" s="10" t="s">
        <v>36</v>
      </c>
      <c r="K888" s="10" t="s">
        <v>37</v>
      </c>
      <c r="L888" s="10" t="s">
        <v>42</v>
      </c>
    </row>
    <row r="889" customFormat="false" ht="15.75" hidden="false" customHeight="false" outlineLevel="0" collapsed="false">
      <c r="A889" s="10" t="n">
        <v>24</v>
      </c>
      <c r="B889" s="10" t="n">
        <v>1443.58</v>
      </c>
      <c r="C889" s="10" t="s">
        <v>17</v>
      </c>
      <c r="D889" s="10" t="n">
        <v>5.5</v>
      </c>
      <c r="E889" s="10" t="n">
        <v>5.5</v>
      </c>
      <c r="F889" s="10" t="n">
        <v>0</v>
      </c>
      <c r="G889" s="10" t="n">
        <v>4</v>
      </c>
      <c r="H889" s="10" t="n">
        <v>34</v>
      </c>
      <c r="I889" s="10" t="s">
        <v>13</v>
      </c>
      <c r="J889" s="10" t="s">
        <v>39</v>
      </c>
      <c r="K889" s="10" t="s">
        <v>37</v>
      </c>
      <c r="L889" s="10" t="s">
        <v>41</v>
      </c>
    </row>
    <row r="890" customFormat="false" ht="15.75" hidden="false" customHeight="false" outlineLevel="0" collapsed="false">
      <c r="A890" s="10" t="n">
        <v>48</v>
      </c>
      <c r="B890" s="10" t="n">
        <v>8008.39</v>
      </c>
      <c r="C890" s="10" t="s">
        <v>15</v>
      </c>
      <c r="D890" s="10" t="n">
        <v>2.5</v>
      </c>
      <c r="E890" s="10" t="n">
        <v>2.5</v>
      </c>
      <c r="F890" s="10" t="n">
        <v>0</v>
      </c>
      <c r="G890" s="10" t="n">
        <v>2</v>
      </c>
      <c r="H890" s="10" t="n">
        <v>23</v>
      </c>
      <c r="I890" s="10" t="s">
        <v>16</v>
      </c>
      <c r="J890" s="10" t="s">
        <v>38</v>
      </c>
      <c r="K890" s="10" t="s">
        <v>39</v>
      </c>
      <c r="L890" s="10" t="s">
        <v>40</v>
      </c>
    </row>
    <row r="891" customFormat="false" ht="15.75" hidden="false" customHeight="false" outlineLevel="0" collapsed="false">
      <c r="A891" s="10" t="n">
        <v>36</v>
      </c>
      <c r="B891" s="10" t="n">
        <v>3379.75</v>
      </c>
      <c r="C891" s="10" t="s">
        <v>12</v>
      </c>
      <c r="D891" s="10" t="n">
        <v>8</v>
      </c>
      <c r="E891" s="10" t="n">
        <v>8</v>
      </c>
      <c r="F891" s="10" t="n">
        <v>0</v>
      </c>
      <c r="G891" s="10" t="n">
        <v>4</v>
      </c>
      <c r="H891" s="10" t="n">
        <v>34</v>
      </c>
      <c r="I891" s="10" t="s">
        <v>13</v>
      </c>
      <c r="J891" s="10" t="s">
        <v>39</v>
      </c>
      <c r="K891" s="10" t="s">
        <v>37</v>
      </c>
      <c r="L891" s="10" t="s">
        <v>37</v>
      </c>
    </row>
    <row r="892" customFormat="false" ht="15.75" hidden="false" customHeight="false" outlineLevel="0" collapsed="false">
      <c r="A892" s="10" t="n">
        <v>28</v>
      </c>
      <c r="B892" s="10" t="n">
        <v>3998.06</v>
      </c>
      <c r="C892" s="10" t="s">
        <v>20</v>
      </c>
      <c r="D892" s="10" t="n">
        <v>0.5</v>
      </c>
      <c r="E892" s="10" t="n">
        <v>0.5</v>
      </c>
      <c r="F892" s="10" t="n">
        <v>0</v>
      </c>
      <c r="G892" s="10" t="n">
        <v>3</v>
      </c>
      <c r="H892" s="10" t="n">
        <v>40</v>
      </c>
      <c r="I892" s="10" t="s">
        <v>13</v>
      </c>
      <c r="J892" s="10" t="s">
        <v>39</v>
      </c>
      <c r="K892" s="10" t="s">
        <v>39</v>
      </c>
      <c r="L892" s="10" t="s">
        <v>42</v>
      </c>
    </row>
    <row r="893" customFormat="false" ht="15.75" hidden="false" customHeight="false" outlineLevel="0" collapsed="false">
      <c r="A893" s="10" t="n">
        <v>27</v>
      </c>
      <c r="B893" s="10" t="n">
        <v>1247.86</v>
      </c>
      <c r="C893" s="10" t="s">
        <v>12</v>
      </c>
      <c r="D893" s="10" t="n">
        <v>8</v>
      </c>
      <c r="E893" s="10" t="n">
        <v>8</v>
      </c>
      <c r="F893" s="10" t="n">
        <v>0</v>
      </c>
      <c r="G893" s="10" t="n">
        <v>4</v>
      </c>
      <c r="H893" s="10" t="n">
        <v>43</v>
      </c>
      <c r="I893" s="10" t="s">
        <v>13</v>
      </c>
      <c r="J893" s="10" t="s">
        <v>39</v>
      </c>
      <c r="K893" s="10" t="s">
        <v>37</v>
      </c>
      <c r="L893" s="10" t="s">
        <v>37</v>
      </c>
    </row>
    <row r="894" customFormat="false" ht="15.75" hidden="false" customHeight="false" outlineLevel="0" collapsed="false">
      <c r="A894" s="10" t="n">
        <v>15</v>
      </c>
      <c r="B894" s="10" t="n">
        <v>934.62</v>
      </c>
      <c r="C894" s="10" t="s">
        <v>12</v>
      </c>
      <c r="D894" s="10" t="n">
        <v>8</v>
      </c>
      <c r="E894" s="10" t="n">
        <v>8</v>
      </c>
      <c r="F894" s="10" t="n">
        <v>0</v>
      </c>
      <c r="G894" s="10" t="n">
        <v>4</v>
      </c>
      <c r="H894" s="10" t="n">
        <v>46</v>
      </c>
      <c r="I894" s="10" t="s">
        <v>13</v>
      </c>
      <c r="J894" s="10" t="s">
        <v>39</v>
      </c>
      <c r="K894" s="10" t="s">
        <v>37</v>
      </c>
      <c r="L894" s="10" t="s">
        <v>37</v>
      </c>
    </row>
    <row r="895" customFormat="false" ht="15.75" hidden="false" customHeight="false" outlineLevel="0" collapsed="false">
      <c r="A895" s="10" t="n">
        <v>12</v>
      </c>
      <c r="B895" s="10" t="n">
        <v>1109.38</v>
      </c>
      <c r="C895" s="10" t="s">
        <v>15</v>
      </c>
      <c r="D895" s="10" t="n">
        <v>2.5</v>
      </c>
      <c r="E895" s="10" t="n">
        <v>2.5</v>
      </c>
      <c r="F895" s="10" t="n">
        <v>0</v>
      </c>
      <c r="G895" s="10" t="n">
        <v>4</v>
      </c>
      <c r="H895" s="10" t="n">
        <v>38</v>
      </c>
      <c r="I895" s="10" t="s">
        <v>13</v>
      </c>
      <c r="J895" s="10" t="s">
        <v>39</v>
      </c>
      <c r="K895" s="10" t="s">
        <v>37</v>
      </c>
      <c r="L895" s="10" t="s">
        <v>40</v>
      </c>
    </row>
    <row r="896" customFormat="false" ht="15.75" hidden="false" customHeight="false" outlineLevel="0" collapsed="false">
      <c r="A896" s="10" t="n">
        <v>36</v>
      </c>
      <c r="B896" s="10" t="n">
        <v>2963.8</v>
      </c>
      <c r="C896" s="10" t="s">
        <v>15</v>
      </c>
      <c r="D896" s="10" t="n">
        <v>2.5</v>
      </c>
      <c r="E896" s="10" t="n">
        <v>2.5</v>
      </c>
      <c r="F896" s="10" t="n">
        <v>0</v>
      </c>
      <c r="G896" s="10" t="n">
        <v>3</v>
      </c>
      <c r="H896" s="10" t="n">
        <v>34</v>
      </c>
      <c r="I896" s="10" t="s">
        <v>13</v>
      </c>
      <c r="J896" s="10" t="s">
        <v>39</v>
      </c>
      <c r="K896" s="10" t="s">
        <v>39</v>
      </c>
      <c r="L896" s="10" t="s">
        <v>40</v>
      </c>
    </row>
    <row r="897" customFormat="false" ht="15.75" hidden="false" customHeight="false" outlineLevel="0" collapsed="false">
      <c r="A897" s="10" t="n">
        <v>18</v>
      </c>
      <c r="B897" s="10" t="n">
        <v>597.36</v>
      </c>
      <c r="C897" s="10" t="s">
        <v>15</v>
      </c>
      <c r="D897" s="10" t="n">
        <v>2.5</v>
      </c>
      <c r="E897" s="10" t="n">
        <v>2.5</v>
      </c>
      <c r="F897" s="10" t="n">
        <v>0</v>
      </c>
      <c r="G897" s="10" t="n">
        <v>4</v>
      </c>
      <c r="H897" s="10" t="n">
        <v>29</v>
      </c>
      <c r="I897" s="10" t="s">
        <v>13</v>
      </c>
      <c r="J897" s="10" t="s">
        <v>38</v>
      </c>
      <c r="K897" s="10" t="s">
        <v>37</v>
      </c>
      <c r="L897" s="10" t="s">
        <v>40</v>
      </c>
    </row>
    <row r="898" customFormat="false" ht="15.75" hidden="false" customHeight="false" outlineLevel="0" collapsed="false">
      <c r="A898" s="10" t="n">
        <v>36</v>
      </c>
      <c r="B898" s="10" t="n">
        <v>4571.92</v>
      </c>
      <c r="C898" s="10" t="s">
        <v>17</v>
      </c>
      <c r="D898" s="10" t="n">
        <v>5.5</v>
      </c>
      <c r="E898" s="10" t="n">
        <v>5.5</v>
      </c>
      <c r="F898" s="10" t="n">
        <v>0</v>
      </c>
      <c r="G898" s="10" t="n">
        <v>3</v>
      </c>
      <c r="H898" s="10" t="n">
        <v>31</v>
      </c>
      <c r="I898" s="10" t="s">
        <v>13</v>
      </c>
      <c r="J898" s="10" t="s">
        <v>39</v>
      </c>
      <c r="K898" s="10" t="s">
        <v>39</v>
      </c>
      <c r="L898" s="10" t="s">
        <v>41</v>
      </c>
    </row>
    <row r="899" customFormat="false" ht="15.75" hidden="false" customHeight="false" outlineLevel="0" collapsed="false">
      <c r="A899" s="10" t="n">
        <v>21</v>
      </c>
      <c r="B899" s="10" t="n">
        <v>1331.67</v>
      </c>
      <c r="C899" s="10" t="s">
        <v>20</v>
      </c>
      <c r="D899" s="10" t="n">
        <v>0.5</v>
      </c>
      <c r="E899" s="10" t="n">
        <v>0.5</v>
      </c>
      <c r="F899" s="10" t="n">
        <v>0</v>
      </c>
      <c r="G899" s="10" t="n">
        <v>4</v>
      </c>
      <c r="H899" s="10" t="n">
        <v>28</v>
      </c>
      <c r="I899" s="10" t="s">
        <v>13</v>
      </c>
      <c r="J899" s="10" t="s">
        <v>38</v>
      </c>
      <c r="K899" s="10" t="s">
        <v>37</v>
      </c>
      <c r="L899" s="10" t="s">
        <v>42</v>
      </c>
    </row>
    <row r="900" customFormat="false" ht="15.75" hidden="false" customHeight="false" outlineLevel="0" collapsed="false">
      <c r="A900" s="10" t="n">
        <v>12</v>
      </c>
      <c r="B900" s="10" t="n">
        <v>813.51</v>
      </c>
      <c r="C900" s="10" t="s">
        <v>17</v>
      </c>
      <c r="D900" s="10" t="n">
        <v>5.5</v>
      </c>
      <c r="E900" s="10" t="n">
        <v>5.5</v>
      </c>
      <c r="F900" s="10" t="n">
        <v>0</v>
      </c>
      <c r="G900" s="10" t="n">
        <v>3</v>
      </c>
      <c r="H900" s="10" t="n">
        <v>35</v>
      </c>
      <c r="I900" s="10" t="s">
        <v>13</v>
      </c>
      <c r="J900" s="10" t="s">
        <v>39</v>
      </c>
      <c r="K900" s="10" t="s">
        <v>39</v>
      </c>
      <c r="L900" s="10" t="s">
        <v>41</v>
      </c>
    </row>
    <row r="901" customFormat="false" ht="15.75" hidden="false" customHeight="false" outlineLevel="0" collapsed="false">
      <c r="A901" s="10" t="n">
        <v>15</v>
      </c>
      <c r="B901" s="10" t="n">
        <v>1117.05</v>
      </c>
      <c r="C901" s="10" t="s">
        <v>17</v>
      </c>
      <c r="D901" s="10" t="n">
        <v>5.5</v>
      </c>
      <c r="E901" s="10" t="n">
        <v>5.5</v>
      </c>
      <c r="F901" s="10" t="n">
        <v>0</v>
      </c>
      <c r="G901" s="10" t="n">
        <v>1</v>
      </c>
      <c r="H901" s="10" t="n">
        <v>33</v>
      </c>
      <c r="I901" s="10" t="s">
        <v>13</v>
      </c>
      <c r="J901" s="10" t="s">
        <v>39</v>
      </c>
      <c r="K901" s="10" t="s">
        <v>43</v>
      </c>
      <c r="L901" s="10" t="s">
        <v>41</v>
      </c>
    </row>
    <row r="902" customFormat="false" ht="15.75" hidden="false" customHeight="false" outlineLevel="0" collapsed="false">
      <c r="A902" s="10" t="n">
        <v>18</v>
      </c>
      <c r="B902" s="10" t="n">
        <v>2122.18</v>
      </c>
      <c r="C902" s="10" t="s">
        <v>15</v>
      </c>
      <c r="D902" s="10" t="n">
        <v>2.5</v>
      </c>
      <c r="E902" s="10" t="n">
        <v>2.5</v>
      </c>
      <c r="F902" s="10" t="n">
        <v>0</v>
      </c>
      <c r="G902" s="10" t="n">
        <v>2</v>
      </c>
      <c r="H902" s="10" t="n">
        <v>42</v>
      </c>
      <c r="I902" s="10" t="s">
        <v>16</v>
      </c>
      <c r="J902" s="10" t="s">
        <v>39</v>
      </c>
      <c r="K902" s="10" t="s">
        <v>39</v>
      </c>
      <c r="L902" s="10" t="s">
        <v>40</v>
      </c>
    </row>
    <row r="903" customFormat="false" ht="15.75" hidden="false" customHeight="false" outlineLevel="0" collapsed="false">
      <c r="A903" s="10" t="n">
        <v>16</v>
      </c>
      <c r="B903" s="10" t="n">
        <v>1341.38</v>
      </c>
      <c r="C903" s="10" t="s">
        <v>12</v>
      </c>
      <c r="D903" s="10" t="n">
        <v>8</v>
      </c>
      <c r="E903" s="10" t="n">
        <v>8</v>
      </c>
      <c r="F903" s="10" t="n">
        <v>0</v>
      </c>
      <c r="G903" s="10" t="n">
        <v>2</v>
      </c>
      <c r="H903" s="10" t="n">
        <v>43</v>
      </c>
      <c r="I903" s="10" t="s">
        <v>16</v>
      </c>
      <c r="J903" s="10" t="s">
        <v>39</v>
      </c>
      <c r="K903" s="10" t="s">
        <v>39</v>
      </c>
      <c r="L903" s="10" t="s">
        <v>37</v>
      </c>
    </row>
    <row r="904" customFormat="false" ht="15.75" hidden="false" customHeight="false" outlineLevel="0" collapsed="false">
      <c r="A904" s="10" t="n">
        <v>20</v>
      </c>
      <c r="B904" s="10" t="n">
        <v>1780.84</v>
      </c>
      <c r="C904" s="10" t="s">
        <v>20</v>
      </c>
      <c r="D904" s="10" t="n">
        <v>0.5</v>
      </c>
      <c r="E904" s="10" t="n">
        <v>0.5</v>
      </c>
      <c r="F904" s="10" t="n">
        <v>0</v>
      </c>
      <c r="G904" s="10" t="n">
        <v>2</v>
      </c>
      <c r="H904" s="10" t="n">
        <v>44</v>
      </c>
      <c r="I904" s="10" t="s">
        <v>13</v>
      </c>
      <c r="J904" s="10" t="s">
        <v>39</v>
      </c>
      <c r="K904" s="10" t="s">
        <v>39</v>
      </c>
      <c r="L904" s="10" t="s">
        <v>42</v>
      </c>
    </row>
    <row r="905" customFormat="false" ht="15.75" hidden="false" customHeight="false" outlineLevel="0" collapsed="false">
      <c r="A905" s="10" t="n">
        <v>36</v>
      </c>
      <c r="B905" s="10" t="n">
        <v>5353.75</v>
      </c>
      <c r="C905" s="10" t="s">
        <v>12</v>
      </c>
      <c r="D905" s="10" t="n">
        <v>8</v>
      </c>
      <c r="E905" s="10" t="n">
        <v>8</v>
      </c>
      <c r="F905" s="10" t="n">
        <v>0</v>
      </c>
      <c r="G905" s="10" t="n">
        <v>2</v>
      </c>
      <c r="H905" s="10" t="n">
        <v>42</v>
      </c>
      <c r="I905" s="10" t="s">
        <v>13</v>
      </c>
      <c r="J905" s="10" t="s">
        <v>39</v>
      </c>
      <c r="K905" s="10" t="s">
        <v>39</v>
      </c>
      <c r="L905" s="10" t="s">
        <v>37</v>
      </c>
    </row>
    <row r="906" customFormat="false" ht="15.75" hidden="false" customHeight="false" outlineLevel="0" collapsed="false">
      <c r="A906" s="10" t="n">
        <v>15</v>
      </c>
      <c r="B906" s="10" t="n">
        <v>708.25</v>
      </c>
      <c r="C906" s="10" t="s">
        <v>15</v>
      </c>
      <c r="D906" s="10" t="n">
        <v>2.5</v>
      </c>
      <c r="E906" s="10" t="n">
        <v>2.5</v>
      </c>
      <c r="F906" s="10" t="n">
        <v>0</v>
      </c>
      <c r="G906" s="10" t="n">
        <v>4</v>
      </c>
      <c r="H906" s="10" t="n">
        <v>40</v>
      </c>
      <c r="I906" s="10" t="s">
        <v>13</v>
      </c>
      <c r="J906" s="10" t="s">
        <v>39</v>
      </c>
      <c r="K906" s="10" t="s">
        <v>37</v>
      </c>
      <c r="L906" s="10" t="s">
        <v>40</v>
      </c>
    </row>
    <row r="907" customFormat="false" ht="15.75" hidden="false" customHeight="false" outlineLevel="0" collapsed="false">
      <c r="A907" s="10" t="n">
        <v>24</v>
      </c>
      <c r="B907" s="10" t="n">
        <v>653.06</v>
      </c>
      <c r="C907" s="10" t="s">
        <v>12</v>
      </c>
      <c r="D907" s="10" t="n">
        <v>8</v>
      </c>
      <c r="E907" s="10" t="n">
        <v>8</v>
      </c>
      <c r="F907" s="10" t="n">
        <v>0</v>
      </c>
      <c r="G907" s="10" t="n">
        <v>4</v>
      </c>
      <c r="H907" s="10" t="n">
        <v>36</v>
      </c>
      <c r="I907" s="10" t="s">
        <v>13</v>
      </c>
      <c r="J907" s="10" t="s">
        <v>39</v>
      </c>
      <c r="K907" s="10" t="s">
        <v>37</v>
      </c>
      <c r="L907" s="10" t="s">
        <v>37</v>
      </c>
    </row>
    <row r="908" customFormat="false" ht="15.75" hidden="false" customHeight="false" outlineLevel="0" collapsed="false">
      <c r="A908" s="10" t="n">
        <v>12</v>
      </c>
      <c r="B908" s="10" t="n">
        <v>565.68</v>
      </c>
      <c r="C908" s="10" t="s">
        <v>15</v>
      </c>
      <c r="D908" s="10" t="n">
        <v>2.5</v>
      </c>
      <c r="E908" s="10" t="n">
        <v>2</v>
      </c>
      <c r="F908" s="10" t="n">
        <v>1</v>
      </c>
      <c r="G908" s="10" t="n">
        <v>2</v>
      </c>
      <c r="H908" s="10" t="n">
        <v>20</v>
      </c>
      <c r="I908" s="10" t="s">
        <v>13</v>
      </c>
      <c r="J908" s="10" t="s">
        <v>38</v>
      </c>
      <c r="K908" s="10" t="s">
        <v>39</v>
      </c>
      <c r="L908" s="10" t="s">
        <v>42</v>
      </c>
    </row>
    <row r="909" customFormat="false" ht="15.75" hidden="false" customHeight="false" outlineLevel="0" collapsed="false">
      <c r="A909" s="10" t="n">
        <v>21</v>
      </c>
      <c r="B909" s="10" t="n">
        <v>1922.89</v>
      </c>
      <c r="C909" s="10" t="s">
        <v>17</v>
      </c>
      <c r="D909" s="10" t="n">
        <v>5.5</v>
      </c>
      <c r="E909" s="10" t="n">
        <v>5.5</v>
      </c>
      <c r="F909" s="10" t="n">
        <v>0</v>
      </c>
      <c r="G909" s="10" t="n">
        <v>2</v>
      </c>
      <c r="H909" s="10" t="n">
        <v>24</v>
      </c>
      <c r="I909" s="10" t="s">
        <v>13</v>
      </c>
      <c r="J909" s="10" t="s">
        <v>38</v>
      </c>
      <c r="K909" s="10" t="s">
        <v>39</v>
      </c>
      <c r="L909" s="10" t="s">
        <v>41</v>
      </c>
    </row>
    <row r="910" customFormat="false" ht="15.75" hidden="false" customHeight="false" outlineLevel="0" collapsed="false">
      <c r="A910" s="10" t="n">
        <v>36</v>
      </c>
      <c r="B910" s="10" t="n">
        <v>1896.32</v>
      </c>
      <c r="C910" s="10" t="s">
        <v>15</v>
      </c>
      <c r="D910" s="10" t="n">
        <v>2.5</v>
      </c>
      <c r="E910" s="10" t="n">
        <v>2.5</v>
      </c>
      <c r="F910" s="10" t="n">
        <v>0</v>
      </c>
      <c r="G910" s="10" t="n">
        <v>2</v>
      </c>
      <c r="H910" s="10" t="n">
        <v>27</v>
      </c>
      <c r="I910" s="10" t="s">
        <v>13</v>
      </c>
      <c r="J910" s="10" t="s">
        <v>38</v>
      </c>
      <c r="K910" s="10" t="s">
        <v>39</v>
      </c>
      <c r="L910" s="10" t="s">
        <v>40</v>
      </c>
    </row>
    <row r="911" customFormat="false" ht="15.75" hidden="false" customHeight="false" outlineLevel="0" collapsed="false">
      <c r="A911" s="10" t="n">
        <v>15</v>
      </c>
      <c r="B911" s="10" t="n">
        <v>1836.53</v>
      </c>
      <c r="C911" s="10" t="s">
        <v>20</v>
      </c>
      <c r="D911" s="10" t="n">
        <v>0.5</v>
      </c>
      <c r="E911" s="10" t="n">
        <v>0.5</v>
      </c>
      <c r="F911" s="10" t="n">
        <v>0</v>
      </c>
      <c r="G911" s="10" t="n">
        <v>1</v>
      </c>
      <c r="H911" s="10" t="n">
        <v>46</v>
      </c>
      <c r="I911" s="10" t="s">
        <v>13</v>
      </c>
      <c r="J911" s="10" t="s">
        <v>39</v>
      </c>
      <c r="K911" s="10" t="s">
        <v>43</v>
      </c>
      <c r="L911" s="10" t="s">
        <v>42</v>
      </c>
    </row>
    <row r="912" customFormat="false" ht="15.75" hidden="false" customHeight="false" outlineLevel="0" collapsed="false">
      <c r="A912" s="10" t="n">
        <v>9</v>
      </c>
      <c r="B912" s="10" t="n">
        <v>1632.65</v>
      </c>
      <c r="C912" s="10" t="s">
        <v>15</v>
      </c>
      <c r="D912" s="10" t="n">
        <v>2.5</v>
      </c>
      <c r="E912" s="10" t="n">
        <v>2.5</v>
      </c>
      <c r="F912" s="10" t="n">
        <v>0</v>
      </c>
      <c r="G912" s="10" t="n">
        <v>1</v>
      </c>
      <c r="H912" s="10" t="n">
        <v>33</v>
      </c>
      <c r="I912" s="10" t="s">
        <v>13</v>
      </c>
      <c r="J912" s="10" t="s">
        <v>39</v>
      </c>
      <c r="K912" s="10" t="s">
        <v>43</v>
      </c>
      <c r="L912" s="10" t="s">
        <v>40</v>
      </c>
    </row>
    <row r="913" customFormat="false" ht="15.75" hidden="false" customHeight="false" outlineLevel="0" collapsed="false">
      <c r="A913" s="10" t="n">
        <v>36</v>
      </c>
      <c r="B913" s="10" t="n">
        <v>2275.99</v>
      </c>
      <c r="C913" s="10" t="s">
        <v>15</v>
      </c>
      <c r="D913" s="10" t="n">
        <v>2.5</v>
      </c>
      <c r="E913" s="10" t="n">
        <v>2.5</v>
      </c>
      <c r="F913" s="10" t="n">
        <v>0</v>
      </c>
      <c r="G913" s="10" t="n">
        <v>4</v>
      </c>
      <c r="H913" s="10" t="n">
        <v>34</v>
      </c>
      <c r="I913" s="10" t="s">
        <v>13</v>
      </c>
      <c r="J913" s="10" t="s">
        <v>39</v>
      </c>
      <c r="K913" s="10" t="s">
        <v>37</v>
      </c>
      <c r="L913" s="10" t="s">
        <v>40</v>
      </c>
    </row>
    <row r="914" customFormat="false" ht="15.75" hidden="false" customHeight="false" outlineLevel="0" collapsed="false">
      <c r="A914" s="10" t="n">
        <v>24</v>
      </c>
      <c r="B914" s="10" t="n">
        <v>2420.1</v>
      </c>
      <c r="C914" s="10" t="s">
        <v>20</v>
      </c>
      <c r="D914" s="10" t="n">
        <v>0.5</v>
      </c>
      <c r="E914" s="10" t="n">
        <v>0.5</v>
      </c>
      <c r="F914" s="10" t="n">
        <v>0</v>
      </c>
      <c r="G914" s="10" t="n">
        <v>2</v>
      </c>
      <c r="H914" s="10" t="n">
        <v>25</v>
      </c>
      <c r="I914" s="10" t="s">
        <v>16</v>
      </c>
      <c r="J914" s="10" t="s">
        <v>38</v>
      </c>
      <c r="K914" s="10" t="s">
        <v>39</v>
      </c>
      <c r="L914" s="10" t="s">
        <v>42</v>
      </c>
    </row>
    <row r="915" customFormat="false" ht="15.75" hidden="false" customHeight="false" outlineLevel="0" collapsed="false">
      <c r="A915" s="10" t="n">
        <v>30</v>
      </c>
      <c r="B915" s="10" t="n">
        <v>1528.4</v>
      </c>
      <c r="C915" s="10" t="s">
        <v>12</v>
      </c>
      <c r="D915" s="10" t="n">
        <v>8</v>
      </c>
      <c r="E915" s="10" t="n">
        <v>7</v>
      </c>
      <c r="F915" s="10" t="n">
        <v>1</v>
      </c>
      <c r="G915" s="10" t="n">
        <v>2</v>
      </c>
      <c r="H915" s="10" t="n">
        <v>25</v>
      </c>
      <c r="I915" s="10" t="s">
        <v>13</v>
      </c>
      <c r="J915" s="10" t="s">
        <v>38</v>
      </c>
      <c r="K915" s="10" t="s">
        <v>39</v>
      </c>
      <c r="L915" s="10" t="s">
        <v>37</v>
      </c>
    </row>
    <row r="916" customFormat="false" ht="15.75" hidden="false" customHeight="false" outlineLevel="0" collapsed="false">
      <c r="A916" s="10" t="n">
        <v>11</v>
      </c>
      <c r="B916" s="10" t="n">
        <v>1094.56</v>
      </c>
      <c r="C916" s="10" t="s">
        <v>12</v>
      </c>
      <c r="D916" s="10" t="n">
        <v>8</v>
      </c>
      <c r="E916" s="10" t="n">
        <v>8</v>
      </c>
      <c r="F916" s="10" t="n">
        <v>0</v>
      </c>
      <c r="G916" s="10" t="n">
        <v>1</v>
      </c>
      <c r="H916" s="10" t="n">
        <v>28</v>
      </c>
      <c r="I916" s="10" t="s">
        <v>13</v>
      </c>
      <c r="J916" s="10" t="s">
        <v>38</v>
      </c>
      <c r="K916" s="10" t="s">
        <v>43</v>
      </c>
      <c r="L916" s="10" t="s">
        <v>37</v>
      </c>
    </row>
    <row r="917" customFormat="false" ht="15.75" hidden="false" customHeight="false" outlineLevel="0" collapsed="false">
      <c r="A917" s="10" t="n">
        <v>24</v>
      </c>
      <c r="B917" s="10" t="n">
        <v>1615.27</v>
      </c>
      <c r="C917" s="10" t="s">
        <v>15</v>
      </c>
      <c r="D917" s="10" t="n">
        <v>2.5</v>
      </c>
      <c r="E917" s="10" t="n">
        <v>2.5</v>
      </c>
      <c r="F917" s="10" t="n">
        <v>0</v>
      </c>
      <c r="G917" s="10" t="n">
        <v>4</v>
      </c>
      <c r="H917" s="10" t="n">
        <v>31</v>
      </c>
      <c r="I917" s="10" t="s">
        <v>16</v>
      </c>
      <c r="J917" s="10" t="s">
        <v>39</v>
      </c>
      <c r="K917" s="10" t="s">
        <v>37</v>
      </c>
      <c r="L917" s="10" t="s">
        <v>40</v>
      </c>
    </row>
    <row r="918" customFormat="false" ht="15.75" hidden="false" customHeight="false" outlineLevel="0" collapsed="false">
      <c r="A918" s="10" t="n">
        <v>48</v>
      </c>
      <c r="B918" s="10" t="n">
        <v>9414.66</v>
      </c>
      <c r="C918" s="10" t="s">
        <v>15</v>
      </c>
      <c r="D918" s="10" t="n">
        <v>2.5</v>
      </c>
      <c r="E918" s="10" t="n">
        <v>2.5</v>
      </c>
      <c r="F918" s="10" t="n">
        <v>0</v>
      </c>
      <c r="G918" s="10" t="n">
        <v>1</v>
      </c>
      <c r="H918" s="10" t="n">
        <v>32</v>
      </c>
      <c r="I918" s="10" t="s">
        <v>16</v>
      </c>
      <c r="J918" s="10" t="s">
        <v>39</v>
      </c>
      <c r="K918" s="10" t="s">
        <v>43</v>
      </c>
      <c r="L918" s="10" t="s">
        <v>40</v>
      </c>
    </row>
    <row r="919" customFormat="false" ht="15.75" hidden="false" customHeight="false" outlineLevel="0" collapsed="false">
      <c r="A919" s="10" t="n">
        <v>10</v>
      </c>
      <c r="B919" s="10" t="n">
        <v>1455.33</v>
      </c>
      <c r="C919" s="10" t="s">
        <v>15</v>
      </c>
      <c r="D919" s="10" t="n">
        <v>2.5</v>
      </c>
      <c r="E919" s="10" t="n">
        <v>2.5</v>
      </c>
      <c r="F919" s="10" t="n">
        <v>0</v>
      </c>
      <c r="G919" s="10" t="n">
        <v>1</v>
      </c>
      <c r="H919" s="10" t="n">
        <v>32</v>
      </c>
      <c r="I919" s="10" t="s">
        <v>13</v>
      </c>
      <c r="J919" s="10" t="s">
        <v>39</v>
      </c>
      <c r="K919" s="10" t="s">
        <v>43</v>
      </c>
      <c r="L919" s="10" t="s">
        <v>40</v>
      </c>
    </row>
    <row r="920" customFormat="false" ht="15.75" hidden="false" customHeight="false" outlineLevel="0" collapsed="false">
      <c r="A920" s="10" t="n">
        <v>6</v>
      </c>
      <c r="B920" s="10" t="n">
        <v>7611.86</v>
      </c>
      <c r="C920" s="10" t="s">
        <v>12</v>
      </c>
      <c r="D920" s="10" t="n">
        <v>8</v>
      </c>
      <c r="E920" s="10" t="n">
        <v>8</v>
      </c>
      <c r="F920" s="10" t="n">
        <v>0</v>
      </c>
      <c r="G920" s="10" t="n">
        <v>1</v>
      </c>
      <c r="H920" s="10" t="n">
        <v>68</v>
      </c>
      <c r="I920" s="10" t="s">
        <v>16</v>
      </c>
      <c r="J920" s="10" t="s">
        <v>36</v>
      </c>
      <c r="K920" s="10" t="s">
        <v>43</v>
      </c>
      <c r="L920" s="10" t="s">
        <v>37</v>
      </c>
    </row>
    <row r="921" customFormat="false" ht="15.75" hidden="false" customHeight="false" outlineLevel="0" collapsed="false">
      <c r="A921" s="10" t="n">
        <v>24</v>
      </c>
      <c r="B921" s="10" t="n">
        <v>1205.45</v>
      </c>
      <c r="C921" s="10" t="s">
        <v>19</v>
      </c>
      <c r="D921" s="10" t="n">
        <v>0</v>
      </c>
      <c r="E921" s="10" t="n">
        <v>0</v>
      </c>
      <c r="F921" s="10" t="n">
        <v>0</v>
      </c>
      <c r="G921" s="10" t="n">
        <v>1</v>
      </c>
      <c r="H921" s="10" t="n">
        <v>33</v>
      </c>
      <c r="I921" s="10" t="s">
        <v>16</v>
      </c>
      <c r="J921" s="10" t="s">
        <v>39</v>
      </c>
      <c r="K921" s="10" t="s">
        <v>43</v>
      </c>
      <c r="L921" s="10" t="s">
        <v>19</v>
      </c>
    </row>
    <row r="922" customFormat="false" ht="15.75" hidden="false" customHeight="false" outlineLevel="0" collapsed="false">
      <c r="A922" s="10" t="n">
        <v>24</v>
      </c>
      <c r="B922" s="10" t="n">
        <v>1709.3</v>
      </c>
      <c r="C922" s="10" t="s">
        <v>12</v>
      </c>
      <c r="D922" s="10" t="n">
        <v>8</v>
      </c>
      <c r="E922" s="10" t="n">
        <v>8</v>
      </c>
      <c r="F922" s="10" t="n">
        <v>0</v>
      </c>
      <c r="G922" s="10" t="n">
        <v>4</v>
      </c>
      <c r="H922" s="10" t="n">
        <v>39</v>
      </c>
      <c r="I922" s="10" t="s">
        <v>16</v>
      </c>
      <c r="J922" s="10" t="s">
        <v>39</v>
      </c>
      <c r="K922" s="10" t="s">
        <v>37</v>
      </c>
      <c r="L922" s="10" t="s">
        <v>37</v>
      </c>
    </row>
    <row r="923" customFormat="false" ht="15.75" hidden="false" customHeight="false" outlineLevel="0" collapsed="false">
      <c r="A923" s="10" t="n">
        <v>18</v>
      </c>
      <c r="B923" s="10" t="n">
        <v>928.49</v>
      </c>
      <c r="C923" s="10" t="s">
        <v>15</v>
      </c>
      <c r="D923" s="10" t="n">
        <v>2.5</v>
      </c>
      <c r="E923" s="10" t="n">
        <v>2.5</v>
      </c>
      <c r="F923" s="10" t="n">
        <v>0</v>
      </c>
      <c r="G923" s="10" t="n">
        <v>4</v>
      </c>
      <c r="H923" s="10" t="n">
        <v>28</v>
      </c>
      <c r="I923" s="10" t="s">
        <v>13</v>
      </c>
      <c r="J923" s="10" t="s">
        <v>38</v>
      </c>
      <c r="K923" s="10" t="s">
        <v>37</v>
      </c>
      <c r="L923" s="10" t="s">
        <v>40</v>
      </c>
    </row>
    <row r="924" customFormat="false" ht="15.75" hidden="false" customHeight="false" outlineLevel="0" collapsed="false">
      <c r="A924" s="10" t="n">
        <v>48</v>
      </c>
      <c r="B924" s="10" t="n">
        <v>6514.74</v>
      </c>
      <c r="C924" s="10" t="s">
        <v>17</v>
      </c>
      <c r="D924" s="10" t="n">
        <v>5.5</v>
      </c>
      <c r="E924" s="10" t="n">
        <v>5.5</v>
      </c>
      <c r="F924" s="10" t="n">
        <v>0</v>
      </c>
      <c r="G924" s="10" t="n">
        <v>4</v>
      </c>
      <c r="H924" s="10" t="n">
        <v>37</v>
      </c>
      <c r="I924" s="10" t="s">
        <v>13</v>
      </c>
      <c r="J924" s="10" t="s">
        <v>39</v>
      </c>
      <c r="K924" s="10" t="s">
        <v>37</v>
      </c>
      <c r="L924" s="10" t="s">
        <v>41</v>
      </c>
    </row>
    <row r="925" customFormat="false" ht="15.75" hidden="false" customHeight="false" outlineLevel="0" collapsed="false">
      <c r="A925" s="10" t="n">
        <v>9</v>
      </c>
      <c r="B925" s="10" t="n">
        <v>698.03</v>
      </c>
      <c r="C925" s="10" t="s">
        <v>20</v>
      </c>
      <c r="D925" s="10" t="n">
        <v>0.5</v>
      </c>
      <c r="E925" s="10" t="n">
        <v>0.5</v>
      </c>
      <c r="F925" s="10" t="n">
        <v>0</v>
      </c>
      <c r="G925" s="10" t="n">
        <v>3</v>
      </c>
      <c r="H925" s="10" t="n">
        <v>22</v>
      </c>
      <c r="I925" s="10" t="s">
        <v>16</v>
      </c>
      <c r="J925" s="10" t="s">
        <v>38</v>
      </c>
      <c r="K925" s="10" t="s">
        <v>39</v>
      </c>
      <c r="L925" s="10" t="s">
        <v>42</v>
      </c>
    </row>
    <row r="926" customFormat="false" ht="15.75" hidden="false" customHeight="false" outlineLevel="0" collapsed="false">
      <c r="A926" s="10" t="n">
        <v>12</v>
      </c>
      <c r="B926" s="10" t="n">
        <v>1023.02</v>
      </c>
      <c r="C926" s="10" t="s">
        <v>17</v>
      </c>
      <c r="D926" s="10" t="n">
        <v>5.5</v>
      </c>
      <c r="E926" s="10" t="n">
        <v>5.5</v>
      </c>
      <c r="F926" s="10" t="n">
        <v>0</v>
      </c>
      <c r="G926" s="10" t="n">
        <v>3</v>
      </c>
      <c r="H926" s="10" t="n">
        <v>30</v>
      </c>
      <c r="I926" s="10" t="s">
        <v>13</v>
      </c>
      <c r="J926" s="10" t="s">
        <v>39</v>
      </c>
      <c r="K926" s="10" t="s">
        <v>39</v>
      </c>
      <c r="L926" s="10" t="s">
        <v>41</v>
      </c>
    </row>
    <row r="927" customFormat="false" ht="15.75" hidden="false" customHeight="false" outlineLevel="0" collapsed="false">
      <c r="A927" s="10" t="n">
        <v>24</v>
      </c>
      <c r="B927" s="10" t="n">
        <v>3511.59</v>
      </c>
      <c r="C927" s="10" t="s">
        <v>20</v>
      </c>
      <c r="D927" s="10" t="n">
        <v>0.5</v>
      </c>
      <c r="E927" s="10" t="n">
        <v>0.5</v>
      </c>
      <c r="F927" s="10" t="n">
        <v>0</v>
      </c>
      <c r="G927" s="10" t="n">
        <v>2</v>
      </c>
      <c r="H927" s="10" t="n">
        <v>55</v>
      </c>
      <c r="I927" s="10" t="s">
        <v>16</v>
      </c>
      <c r="J927" s="10" t="s">
        <v>36</v>
      </c>
      <c r="K927" s="10" t="s">
        <v>39</v>
      </c>
      <c r="L927" s="10" t="s">
        <v>42</v>
      </c>
    </row>
    <row r="928" customFormat="false" ht="15.75" hidden="false" customHeight="false" outlineLevel="0" collapsed="false">
      <c r="A928" s="10" t="n">
        <v>12</v>
      </c>
      <c r="B928" s="10" t="n">
        <v>356.17</v>
      </c>
      <c r="C928" s="10" t="s">
        <v>20</v>
      </c>
      <c r="D928" s="10" t="n">
        <v>0.5</v>
      </c>
      <c r="E928" s="10" t="n">
        <v>0.5</v>
      </c>
      <c r="F928" s="10" t="n">
        <v>0</v>
      </c>
      <c r="G928" s="10" t="n">
        <v>4</v>
      </c>
      <c r="H928" s="10" t="n">
        <v>46</v>
      </c>
      <c r="I928" s="10" t="s">
        <v>16</v>
      </c>
      <c r="J928" s="10" t="s">
        <v>39</v>
      </c>
      <c r="K928" s="10" t="s">
        <v>37</v>
      </c>
      <c r="L928" s="10" t="s">
        <v>42</v>
      </c>
    </row>
    <row r="929" customFormat="false" ht="15.75" hidden="false" customHeight="false" outlineLevel="0" collapsed="false">
      <c r="A929" s="10" t="n">
        <v>18</v>
      </c>
      <c r="B929" s="10" t="n">
        <v>536.04</v>
      </c>
      <c r="C929" s="10" t="s">
        <v>20</v>
      </c>
      <c r="D929" s="10" t="n">
        <v>0.5</v>
      </c>
      <c r="E929" s="10" t="n">
        <v>0.5</v>
      </c>
      <c r="F929" s="10" t="n">
        <v>0</v>
      </c>
      <c r="G929" s="10" t="n">
        <v>4</v>
      </c>
      <c r="H929" s="10" t="n">
        <v>21</v>
      </c>
      <c r="I929" s="10" t="s">
        <v>13</v>
      </c>
      <c r="J929" s="10" t="s">
        <v>38</v>
      </c>
      <c r="K929" s="10" t="s">
        <v>37</v>
      </c>
      <c r="L929" s="10" t="s">
        <v>42</v>
      </c>
    </row>
    <row r="930" customFormat="false" ht="15.75" hidden="false" customHeight="false" outlineLevel="0" collapsed="false">
      <c r="A930" s="10" t="n">
        <v>48</v>
      </c>
      <c r="B930" s="10" t="n">
        <v>5261.77</v>
      </c>
      <c r="C930" s="10" t="s">
        <v>17</v>
      </c>
      <c r="D930" s="10" t="n">
        <v>5.5</v>
      </c>
      <c r="E930" s="10" t="n">
        <v>5.5</v>
      </c>
      <c r="F930" s="10" t="n">
        <v>0</v>
      </c>
      <c r="G930" s="10" t="n">
        <v>4</v>
      </c>
      <c r="H930" s="10" t="n">
        <v>39</v>
      </c>
      <c r="I930" s="10" t="s">
        <v>16</v>
      </c>
      <c r="J930" s="10" t="s">
        <v>39</v>
      </c>
      <c r="K930" s="10" t="s">
        <v>37</v>
      </c>
      <c r="L930" s="10" t="s">
        <v>41</v>
      </c>
    </row>
    <row r="931" customFormat="false" ht="15.75" hidden="false" customHeight="false" outlineLevel="0" collapsed="false">
      <c r="A931" s="10" t="n">
        <v>30</v>
      </c>
      <c r="B931" s="10" t="n">
        <v>954.04</v>
      </c>
      <c r="C931" s="10" t="s">
        <v>12</v>
      </c>
      <c r="D931" s="10" t="n">
        <v>8</v>
      </c>
      <c r="E931" s="10" t="n">
        <v>8</v>
      </c>
      <c r="F931" s="10" t="n">
        <v>0</v>
      </c>
      <c r="G931" s="10" t="n">
        <v>4</v>
      </c>
      <c r="H931" s="10" t="n">
        <v>58</v>
      </c>
      <c r="I931" s="10" t="s">
        <v>13</v>
      </c>
      <c r="J931" s="10" t="s">
        <v>36</v>
      </c>
      <c r="K931" s="10" t="s">
        <v>37</v>
      </c>
      <c r="L931" s="10" t="s">
        <v>37</v>
      </c>
    </row>
    <row r="932" customFormat="false" ht="15.75" hidden="false" customHeight="false" outlineLevel="0" collapsed="false">
      <c r="A932" s="10" t="n">
        <v>12</v>
      </c>
      <c r="B932" s="10" t="n">
        <v>686.78</v>
      </c>
      <c r="C932" s="10" t="s">
        <v>15</v>
      </c>
      <c r="D932" s="10" t="n">
        <v>2.5</v>
      </c>
      <c r="E932" s="10" t="n">
        <v>2.5</v>
      </c>
      <c r="F932" s="10" t="n">
        <v>0</v>
      </c>
      <c r="G932" s="10" t="n">
        <v>4</v>
      </c>
      <c r="H932" s="10" t="n">
        <v>43</v>
      </c>
      <c r="I932" s="10" t="s">
        <v>13</v>
      </c>
      <c r="J932" s="10" t="s">
        <v>39</v>
      </c>
      <c r="K932" s="10" t="s">
        <v>37</v>
      </c>
      <c r="L932" s="10" t="s">
        <v>40</v>
      </c>
    </row>
    <row r="933" customFormat="false" ht="15.75" hidden="false" customHeight="false" outlineLevel="0" collapsed="false">
      <c r="A933" s="10" t="n">
        <v>24</v>
      </c>
      <c r="B933" s="10" t="n">
        <v>892.72</v>
      </c>
      <c r="C933" s="10" t="s">
        <v>20</v>
      </c>
      <c r="D933" s="10" t="n">
        <v>0.5</v>
      </c>
      <c r="E933" s="10" t="n">
        <v>0.5</v>
      </c>
      <c r="F933" s="10" t="n">
        <v>0</v>
      </c>
      <c r="G933" s="10" t="n">
        <v>4</v>
      </c>
      <c r="H933" s="10" t="n">
        <v>24</v>
      </c>
      <c r="I933" s="10" t="s">
        <v>13</v>
      </c>
      <c r="J933" s="10" t="s">
        <v>38</v>
      </c>
      <c r="K933" s="10" t="s">
        <v>37</v>
      </c>
      <c r="L933" s="10" t="s">
        <v>42</v>
      </c>
    </row>
    <row r="934" customFormat="false" ht="15.75" hidden="false" customHeight="false" outlineLevel="0" collapsed="false">
      <c r="A934" s="10" t="n">
        <v>9</v>
      </c>
      <c r="B934" s="10" t="n">
        <v>853.37</v>
      </c>
      <c r="C934" s="10" t="s">
        <v>20</v>
      </c>
      <c r="D934" s="10" t="n">
        <v>0.5</v>
      </c>
      <c r="E934" s="10" t="n">
        <v>0.5</v>
      </c>
      <c r="F934" s="10" t="n">
        <v>0</v>
      </c>
      <c r="G934" s="10" t="n">
        <v>4</v>
      </c>
      <c r="H934" s="10" t="n">
        <v>22</v>
      </c>
      <c r="I934" s="10" t="s">
        <v>16</v>
      </c>
      <c r="J934" s="10" t="s">
        <v>38</v>
      </c>
      <c r="K934" s="10" t="s">
        <v>37</v>
      </c>
      <c r="L934" s="10" t="s">
        <v>42</v>
      </c>
    </row>
    <row r="935" customFormat="false" ht="15.75" hidden="false" customHeight="false" outlineLevel="0" collapsed="false">
      <c r="A935" s="10" t="n">
        <v>9</v>
      </c>
      <c r="B935" s="10" t="n">
        <v>625.46</v>
      </c>
      <c r="C935" s="10" t="s">
        <v>15</v>
      </c>
      <c r="D935" s="10" t="n">
        <v>2.5</v>
      </c>
      <c r="E935" s="10" t="n">
        <v>2.5</v>
      </c>
      <c r="F935" s="10" t="n">
        <v>0</v>
      </c>
      <c r="G935" s="10" t="n">
        <v>3</v>
      </c>
      <c r="H935" s="10" t="n">
        <v>30</v>
      </c>
      <c r="I935" s="10" t="s">
        <v>13</v>
      </c>
      <c r="J935" s="10" t="s">
        <v>39</v>
      </c>
      <c r="K935" s="10" t="s">
        <v>39</v>
      </c>
      <c r="L935" s="10" t="s">
        <v>40</v>
      </c>
    </row>
    <row r="936" customFormat="false" ht="15.75" hidden="false" customHeight="false" outlineLevel="0" collapsed="false">
      <c r="A936" s="10" t="n">
        <v>12</v>
      </c>
      <c r="B936" s="10" t="n">
        <v>266.74</v>
      </c>
      <c r="C936" s="10" t="s">
        <v>12</v>
      </c>
      <c r="D936" s="10" t="n">
        <v>8</v>
      </c>
      <c r="E936" s="10" t="n">
        <v>8</v>
      </c>
      <c r="F936" s="10" t="n">
        <v>0</v>
      </c>
      <c r="G936" s="10" t="n">
        <v>4</v>
      </c>
      <c r="H936" s="10" t="n">
        <v>42</v>
      </c>
      <c r="I936" s="10" t="s">
        <v>13</v>
      </c>
      <c r="J936" s="10" t="s">
        <v>39</v>
      </c>
      <c r="K936" s="10" t="s">
        <v>37</v>
      </c>
      <c r="L936" s="10" t="s">
        <v>37</v>
      </c>
    </row>
    <row r="937" customFormat="false" ht="15.75" hidden="false" customHeight="false" outlineLevel="0" collapsed="false">
      <c r="A937" s="10" t="n">
        <v>12</v>
      </c>
      <c r="B937" s="10" t="n">
        <v>765.48</v>
      </c>
      <c r="C937" s="10" t="s">
        <v>15</v>
      </c>
      <c r="D937" s="10" t="n">
        <v>2.5</v>
      </c>
      <c r="E937" s="10" t="n">
        <v>2.5</v>
      </c>
      <c r="F937" s="10" t="n">
        <v>0</v>
      </c>
      <c r="G937" s="10" t="n">
        <v>4</v>
      </c>
      <c r="H937" s="10" t="n">
        <v>23</v>
      </c>
      <c r="I937" s="10" t="s">
        <v>13</v>
      </c>
      <c r="J937" s="10" t="s">
        <v>38</v>
      </c>
      <c r="K937" s="10" t="s">
        <v>37</v>
      </c>
      <c r="L937" s="10" t="s">
        <v>40</v>
      </c>
    </row>
    <row r="938" customFormat="false" ht="15.75" hidden="false" customHeight="false" outlineLevel="0" collapsed="false">
      <c r="A938" s="10" t="n">
        <v>30</v>
      </c>
      <c r="B938" s="10" t="n">
        <v>980.61</v>
      </c>
      <c r="C938" s="10" t="s">
        <v>20</v>
      </c>
      <c r="D938" s="10" t="n">
        <v>0.5</v>
      </c>
      <c r="E938" s="10" t="n">
        <v>0.5</v>
      </c>
      <c r="F938" s="10" t="n">
        <v>0</v>
      </c>
      <c r="G938" s="10" t="n">
        <v>4</v>
      </c>
      <c r="H938" s="10" t="n">
        <v>30</v>
      </c>
      <c r="I938" s="10" t="s">
        <v>16</v>
      </c>
      <c r="J938" s="10" t="s">
        <v>39</v>
      </c>
      <c r="K938" s="10" t="s">
        <v>37</v>
      </c>
      <c r="L938" s="10" t="s">
        <v>42</v>
      </c>
    </row>
    <row r="939" customFormat="false" ht="15.75" hidden="false" customHeight="false" outlineLevel="0" collapsed="false">
      <c r="A939" s="10" t="n">
        <v>9</v>
      </c>
      <c r="B939" s="10" t="n">
        <v>380.7</v>
      </c>
      <c r="C939" s="10" t="s">
        <v>15</v>
      </c>
      <c r="D939" s="10" t="n">
        <v>2.5</v>
      </c>
      <c r="E939" s="10" t="n">
        <v>2.5</v>
      </c>
      <c r="F939" s="10" t="n">
        <v>0</v>
      </c>
      <c r="G939" s="10" t="n">
        <v>3</v>
      </c>
      <c r="H939" s="10" t="n">
        <v>28</v>
      </c>
      <c r="I939" s="10" t="s">
        <v>16</v>
      </c>
      <c r="J939" s="10" t="s">
        <v>38</v>
      </c>
      <c r="K939" s="10" t="s">
        <v>39</v>
      </c>
      <c r="L939" s="10" t="s">
        <v>40</v>
      </c>
    </row>
    <row r="940" customFormat="false" ht="15.75" hidden="false" customHeight="false" outlineLevel="0" collapsed="false">
      <c r="A940" s="10" t="n">
        <v>6</v>
      </c>
      <c r="B940" s="10" t="n">
        <v>1054.19</v>
      </c>
      <c r="C940" s="10" t="s">
        <v>20</v>
      </c>
      <c r="D940" s="10" t="n">
        <v>0.5</v>
      </c>
      <c r="E940" s="10" t="n">
        <v>0.5</v>
      </c>
      <c r="F940" s="10" t="n">
        <v>0</v>
      </c>
      <c r="G940" s="10" t="n">
        <v>4</v>
      </c>
      <c r="H940" s="10" t="n">
        <v>30</v>
      </c>
      <c r="I940" s="10" t="s">
        <v>13</v>
      </c>
      <c r="J940" s="10" t="s">
        <v>39</v>
      </c>
      <c r="K940" s="10" t="s">
        <v>37</v>
      </c>
      <c r="L940" s="10" t="s">
        <v>42</v>
      </c>
    </row>
    <row r="941" customFormat="false" ht="15.75" hidden="false" customHeight="false" outlineLevel="0" collapsed="false">
      <c r="A941" s="10" t="n">
        <v>60</v>
      </c>
      <c r="B941" s="10" t="n">
        <v>3213.17</v>
      </c>
      <c r="C941" s="10" t="s">
        <v>15</v>
      </c>
      <c r="D941" s="10" t="n">
        <v>2.5</v>
      </c>
      <c r="E941" s="10" t="n">
        <v>2.5</v>
      </c>
      <c r="F941" s="10" t="n">
        <v>0</v>
      </c>
      <c r="G941" s="10" t="n">
        <v>4</v>
      </c>
      <c r="H941" s="10" t="n">
        <v>42</v>
      </c>
      <c r="I941" s="10" t="s">
        <v>16</v>
      </c>
      <c r="J941" s="10" t="s">
        <v>39</v>
      </c>
      <c r="K941" s="10" t="s">
        <v>37</v>
      </c>
      <c r="L941" s="10" t="s">
        <v>40</v>
      </c>
    </row>
    <row r="942" customFormat="false" ht="15.75" hidden="false" customHeight="false" outlineLevel="0" collapsed="false">
      <c r="A942" s="10" t="n">
        <v>24</v>
      </c>
      <c r="B942" s="10" t="n">
        <v>3496.26</v>
      </c>
      <c r="C942" s="10" t="s">
        <v>15</v>
      </c>
      <c r="D942" s="10" t="n">
        <v>2.5</v>
      </c>
      <c r="E942" s="10" t="n">
        <v>2.5</v>
      </c>
      <c r="F942" s="10" t="n">
        <v>0</v>
      </c>
      <c r="G942" s="10" t="n">
        <v>2</v>
      </c>
      <c r="H942" s="10" t="n">
        <v>46</v>
      </c>
      <c r="I942" s="10" t="s">
        <v>13</v>
      </c>
      <c r="J942" s="10" t="s">
        <v>39</v>
      </c>
      <c r="K942" s="10" t="s">
        <v>39</v>
      </c>
      <c r="L942" s="10" t="s">
        <v>40</v>
      </c>
    </row>
    <row r="943" customFormat="false" ht="15.75" hidden="false" customHeight="false" outlineLevel="0" collapsed="false">
      <c r="A943" s="10" t="n">
        <v>12</v>
      </c>
      <c r="B943" s="10" t="n">
        <v>1802.3</v>
      </c>
      <c r="C943" s="10" t="s">
        <v>20</v>
      </c>
      <c r="D943" s="10" t="n">
        <v>0.5</v>
      </c>
      <c r="E943" s="10" t="n">
        <v>0.5</v>
      </c>
      <c r="F943" s="10" t="n">
        <v>0</v>
      </c>
      <c r="G943" s="10" t="n">
        <v>2</v>
      </c>
      <c r="H943" s="10" t="n">
        <v>45</v>
      </c>
      <c r="I943" s="10" t="s">
        <v>13</v>
      </c>
      <c r="J943" s="10" t="s">
        <v>39</v>
      </c>
      <c r="K943" s="10" t="s">
        <v>39</v>
      </c>
      <c r="L943" s="10" t="s">
        <v>42</v>
      </c>
    </row>
    <row r="944" customFormat="false" ht="15.75" hidden="false" customHeight="false" outlineLevel="0" collapsed="false">
      <c r="A944" s="10" t="n">
        <v>10</v>
      </c>
      <c r="B944" s="10" t="n">
        <v>790.01</v>
      </c>
      <c r="C944" s="10" t="s">
        <v>15</v>
      </c>
      <c r="D944" s="10" t="n">
        <v>2.5</v>
      </c>
      <c r="E944" s="10" t="n">
        <v>2.5</v>
      </c>
      <c r="F944" s="10" t="n">
        <v>0</v>
      </c>
      <c r="G944" s="10" t="n">
        <v>3</v>
      </c>
      <c r="H944" s="10" t="n">
        <v>31</v>
      </c>
      <c r="I944" s="10" t="s">
        <v>13</v>
      </c>
      <c r="J944" s="10" t="s">
        <v>39</v>
      </c>
      <c r="K944" s="10" t="s">
        <v>39</v>
      </c>
      <c r="L944" s="10" t="s">
        <v>40</v>
      </c>
    </row>
    <row r="945" customFormat="false" ht="15.75" hidden="false" customHeight="false" outlineLevel="0" collapsed="false">
      <c r="A945" s="10" t="n">
        <v>24</v>
      </c>
      <c r="B945" s="10" t="n">
        <v>474.72</v>
      </c>
      <c r="C945" s="10" t="s">
        <v>17</v>
      </c>
      <c r="D945" s="10" t="n">
        <v>5.5</v>
      </c>
      <c r="E945" s="10" t="n">
        <v>5.5</v>
      </c>
      <c r="F945" s="10" t="n">
        <v>0</v>
      </c>
      <c r="G945" s="10" t="n">
        <v>4</v>
      </c>
      <c r="H945" s="10" t="n">
        <v>31</v>
      </c>
      <c r="I945" s="10" t="s">
        <v>13</v>
      </c>
      <c r="J945" s="10" t="s">
        <v>39</v>
      </c>
      <c r="K945" s="10" t="s">
        <v>37</v>
      </c>
      <c r="L945" s="10" t="s">
        <v>41</v>
      </c>
    </row>
    <row r="946" customFormat="false" ht="15.75" hidden="false" customHeight="false" outlineLevel="0" collapsed="false">
      <c r="A946" s="10" t="n">
        <v>4</v>
      </c>
      <c r="B946" s="10" t="n">
        <v>743.51</v>
      </c>
      <c r="C946" s="10" t="s">
        <v>17</v>
      </c>
      <c r="D946" s="10" t="n">
        <v>5.5</v>
      </c>
      <c r="E946" s="10" t="n">
        <v>5.5</v>
      </c>
      <c r="F946" s="10" t="n">
        <v>0</v>
      </c>
      <c r="G946" s="10" t="n">
        <v>2</v>
      </c>
      <c r="H946" s="10" t="n">
        <v>42</v>
      </c>
      <c r="I946" s="10" t="s">
        <v>13</v>
      </c>
      <c r="J946" s="10" t="s">
        <v>39</v>
      </c>
      <c r="K946" s="10" t="s">
        <v>39</v>
      </c>
      <c r="L946" s="10" t="s">
        <v>41</v>
      </c>
    </row>
    <row r="947" customFormat="false" ht="15.75" hidden="false" customHeight="false" outlineLevel="0" collapsed="false">
      <c r="A947" s="10" t="n">
        <v>15</v>
      </c>
      <c r="B947" s="10" t="n">
        <v>942.8</v>
      </c>
      <c r="C947" s="10" t="s">
        <v>20</v>
      </c>
      <c r="D947" s="10" t="n">
        <v>0.5</v>
      </c>
      <c r="E947" s="10" t="n">
        <v>0.5</v>
      </c>
      <c r="F947" s="10" t="n">
        <v>0</v>
      </c>
      <c r="G947" s="10" t="n">
        <v>4</v>
      </c>
      <c r="H947" s="10" t="n">
        <v>46</v>
      </c>
      <c r="I947" s="10" t="s">
        <v>13</v>
      </c>
      <c r="J947" s="10" t="s">
        <v>39</v>
      </c>
      <c r="K947" s="10" t="s">
        <v>37</v>
      </c>
      <c r="L947" s="10" t="s">
        <v>42</v>
      </c>
    </row>
    <row r="948" customFormat="false" ht="15.75" hidden="false" customHeight="false" outlineLevel="0" collapsed="false">
      <c r="A948" s="10" t="n">
        <v>48</v>
      </c>
      <c r="B948" s="10" t="n">
        <v>4270.94</v>
      </c>
      <c r="C948" s="10" t="s">
        <v>20</v>
      </c>
      <c r="D948" s="10" t="n">
        <v>0.5</v>
      </c>
      <c r="E948" s="10" t="n">
        <v>0.5</v>
      </c>
      <c r="F948" s="10" t="n">
        <v>0</v>
      </c>
      <c r="G948" s="10" t="n">
        <v>1</v>
      </c>
      <c r="H948" s="10" t="n">
        <v>30</v>
      </c>
      <c r="I948" s="10" t="s">
        <v>13</v>
      </c>
      <c r="J948" s="10" t="s">
        <v>39</v>
      </c>
      <c r="K948" s="10" t="s">
        <v>43</v>
      </c>
      <c r="L948" s="10" t="s">
        <v>42</v>
      </c>
    </row>
    <row r="949" customFormat="false" ht="15.75" hidden="false" customHeight="false" outlineLevel="0" collapsed="false">
      <c r="A949" s="10" t="n">
        <v>24</v>
      </c>
      <c r="B949" s="10" t="n">
        <v>1711.34</v>
      </c>
      <c r="C949" s="10" t="s">
        <v>20</v>
      </c>
      <c r="D949" s="10" t="n">
        <v>0.5</v>
      </c>
      <c r="E949" s="10" t="n">
        <v>0.5</v>
      </c>
      <c r="F949" s="10" t="n">
        <v>0</v>
      </c>
      <c r="G949" s="10" t="n">
        <v>4</v>
      </c>
      <c r="H949" s="10" t="n">
        <v>30</v>
      </c>
      <c r="I949" s="10" t="s">
        <v>16</v>
      </c>
      <c r="J949" s="10" t="s">
        <v>39</v>
      </c>
      <c r="K949" s="10" t="s">
        <v>37</v>
      </c>
      <c r="L949" s="10" t="s">
        <v>42</v>
      </c>
    </row>
    <row r="950" customFormat="false" ht="15.75" hidden="false" customHeight="false" outlineLevel="0" collapsed="false">
      <c r="A950" s="10" t="n">
        <v>12</v>
      </c>
      <c r="B950" s="10" t="n">
        <v>1460.95</v>
      </c>
      <c r="C950" s="10" t="s">
        <v>19</v>
      </c>
      <c r="D950" s="10" t="n">
        <v>0</v>
      </c>
      <c r="E950" s="10" t="n">
        <v>0</v>
      </c>
      <c r="F950" s="10" t="n">
        <v>0</v>
      </c>
      <c r="G950" s="10" t="n">
        <v>4</v>
      </c>
      <c r="H950" s="10" t="n">
        <v>38</v>
      </c>
      <c r="I950" s="10" t="s">
        <v>13</v>
      </c>
      <c r="J950" s="10" t="s">
        <v>39</v>
      </c>
      <c r="K950" s="10" t="s">
        <v>37</v>
      </c>
      <c r="L950" s="10" t="s">
        <v>19</v>
      </c>
    </row>
    <row r="951" customFormat="false" ht="15.75" hidden="false" customHeight="false" outlineLevel="0" collapsed="false">
      <c r="A951" s="10" t="n">
        <v>18</v>
      </c>
      <c r="B951" s="10" t="n">
        <v>783.36</v>
      </c>
      <c r="C951" s="10" t="s">
        <v>20</v>
      </c>
      <c r="D951" s="10" t="n">
        <v>0.5</v>
      </c>
      <c r="E951" s="10" t="n">
        <v>0.5</v>
      </c>
      <c r="F951" s="10" t="n">
        <v>0</v>
      </c>
      <c r="G951" s="10" t="n">
        <v>4</v>
      </c>
      <c r="H951" s="10" t="n">
        <v>43</v>
      </c>
      <c r="I951" s="10" t="s">
        <v>16</v>
      </c>
      <c r="J951" s="10" t="s">
        <v>39</v>
      </c>
      <c r="K951" s="10" t="s">
        <v>37</v>
      </c>
      <c r="L951" s="10" t="s">
        <v>42</v>
      </c>
    </row>
    <row r="952" customFormat="false" ht="15.75" hidden="false" customHeight="false" outlineLevel="0" collapsed="false">
      <c r="A952" s="10" t="n">
        <v>24</v>
      </c>
      <c r="B952" s="10" t="n">
        <v>1850.33</v>
      </c>
      <c r="C952" s="10" t="s">
        <v>12</v>
      </c>
      <c r="D952" s="10" t="n">
        <v>8</v>
      </c>
      <c r="E952" s="10" t="n">
        <v>8</v>
      </c>
      <c r="F952" s="10" t="n">
        <v>0</v>
      </c>
      <c r="G952" s="10" t="n">
        <v>2</v>
      </c>
      <c r="H952" s="10" t="n">
        <v>31</v>
      </c>
      <c r="I952" s="10" t="s">
        <v>16</v>
      </c>
      <c r="J952" s="10" t="s">
        <v>39</v>
      </c>
      <c r="K952" s="10" t="s">
        <v>39</v>
      </c>
      <c r="L952" s="10" t="s">
        <v>37</v>
      </c>
    </row>
    <row r="953" customFormat="false" ht="15.75" hidden="false" customHeight="false" outlineLevel="0" collapsed="false">
      <c r="A953" s="10" t="n">
        <v>18</v>
      </c>
      <c r="B953" s="10" t="n">
        <v>1834.49</v>
      </c>
      <c r="C953" s="10" t="s">
        <v>19</v>
      </c>
      <c r="D953" s="10" t="n">
        <v>0</v>
      </c>
      <c r="E953" s="10" t="n">
        <v>0</v>
      </c>
      <c r="F953" s="10" t="n">
        <v>0</v>
      </c>
      <c r="G953" s="10" t="n">
        <v>3</v>
      </c>
      <c r="H953" s="10" t="n">
        <v>40</v>
      </c>
      <c r="I953" s="10" t="s">
        <v>13</v>
      </c>
      <c r="J953" s="10" t="s">
        <v>39</v>
      </c>
      <c r="K953" s="10" t="s">
        <v>39</v>
      </c>
      <c r="L953" s="10" t="s">
        <v>19</v>
      </c>
    </row>
    <row r="954" customFormat="false" ht="15.75" hidden="false" customHeight="false" outlineLevel="0" collapsed="false">
      <c r="A954" s="10" t="n">
        <v>36</v>
      </c>
      <c r="B954" s="10" t="n">
        <v>1096.1</v>
      </c>
      <c r="C954" s="10" t="s">
        <v>17</v>
      </c>
      <c r="D954" s="10" t="n">
        <v>5.5</v>
      </c>
      <c r="E954" s="10" t="n">
        <v>5.5</v>
      </c>
      <c r="F954" s="10" t="n">
        <v>0</v>
      </c>
      <c r="G954" s="10" t="n">
        <v>2</v>
      </c>
      <c r="H954" s="10" t="n">
        <v>24</v>
      </c>
      <c r="I954" s="10" t="s">
        <v>16</v>
      </c>
      <c r="J954" s="10" t="s">
        <v>38</v>
      </c>
      <c r="K954" s="10" t="s">
        <v>39</v>
      </c>
      <c r="L954" s="10" t="s">
        <v>41</v>
      </c>
    </row>
    <row r="955" customFormat="false" ht="15.75" hidden="false" customHeight="false" outlineLevel="0" collapsed="false">
      <c r="A955" s="10" t="n">
        <v>24</v>
      </c>
      <c r="B955" s="10" t="n">
        <v>2101.74</v>
      </c>
      <c r="C955" s="10" t="s">
        <v>20</v>
      </c>
      <c r="D955" s="10" t="n">
        <v>0.5</v>
      </c>
      <c r="E955" s="10" t="n">
        <v>0.5</v>
      </c>
      <c r="F955" s="10" t="n">
        <v>0</v>
      </c>
      <c r="G955" s="10" t="n">
        <v>3</v>
      </c>
      <c r="H955" s="10" t="n">
        <v>28</v>
      </c>
      <c r="I955" s="10" t="s">
        <v>16</v>
      </c>
      <c r="J955" s="10" t="s">
        <v>38</v>
      </c>
      <c r="K955" s="10" t="s">
        <v>39</v>
      </c>
      <c r="L955" s="10" t="s">
        <v>42</v>
      </c>
    </row>
    <row r="956" customFormat="false" ht="15.75" hidden="false" customHeight="false" outlineLevel="0" collapsed="false">
      <c r="A956" s="10" t="n">
        <v>36</v>
      </c>
      <c r="B956" s="10" t="n">
        <v>5607.71</v>
      </c>
      <c r="C956" s="10" t="s">
        <v>19</v>
      </c>
      <c r="D956" s="10" t="n">
        <v>0</v>
      </c>
      <c r="E956" s="10" t="n">
        <v>0</v>
      </c>
      <c r="F956" s="10" t="n">
        <v>0</v>
      </c>
      <c r="G956" s="10" t="n">
        <v>4</v>
      </c>
      <c r="H956" s="10" t="n">
        <v>26</v>
      </c>
      <c r="I956" s="10" t="s">
        <v>16</v>
      </c>
      <c r="J956" s="10" t="s">
        <v>38</v>
      </c>
      <c r="K956" s="10" t="s">
        <v>37</v>
      </c>
      <c r="L956" s="10" t="s">
        <v>19</v>
      </c>
    </row>
    <row r="957" customFormat="false" ht="15.75" hidden="false" customHeight="false" outlineLevel="0" collapsed="false">
      <c r="A957" s="10" t="n">
        <v>12</v>
      </c>
      <c r="B957" s="10" t="n">
        <v>967.32</v>
      </c>
      <c r="C957" s="10" t="s">
        <v>15</v>
      </c>
      <c r="D957" s="10" t="n">
        <v>2.5</v>
      </c>
      <c r="E957" s="10" t="n">
        <v>2.5</v>
      </c>
      <c r="F957" s="10" t="n">
        <v>0</v>
      </c>
      <c r="G957" s="10" t="n">
        <v>4</v>
      </c>
      <c r="H957" s="10" t="n">
        <v>29</v>
      </c>
      <c r="I957" s="10" t="s">
        <v>13</v>
      </c>
      <c r="J957" s="10" t="s">
        <v>38</v>
      </c>
      <c r="K957" s="10" t="s">
        <v>37</v>
      </c>
      <c r="L957" s="10" t="s">
        <v>40</v>
      </c>
    </row>
    <row r="958" customFormat="false" ht="15.75" hidden="false" customHeight="false" outlineLevel="0" collapsed="false">
      <c r="A958" s="10" t="n">
        <v>24</v>
      </c>
      <c r="B958" s="10" t="n">
        <v>629.04</v>
      </c>
      <c r="C958" s="10" t="s">
        <v>12</v>
      </c>
      <c r="D958" s="10" t="n">
        <v>8</v>
      </c>
      <c r="E958" s="10" t="n">
        <v>8</v>
      </c>
      <c r="F958" s="10" t="n">
        <v>0</v>
      </c>
      <c r="G958" s="10" t="n">
        <v>4</v>
      </c>
      <c r="H958" s="10" t="n">
        <v>57</v>
      </c>
      <c r="I958" s="10" t="s">
        <v>13</v>
      </c>
      <c r="J958" s="10" t="s">
        <v>36</v>
      </c>
      <c r="K958" s="10" t="s">
        <v>37</v>
      </c>
      <c r="L958" s="10" t="s">
        <v>37</v>
      </c>
    </row>
    <row r="959" customFormat="false" ht="15.75" hidden="false" customHeight="false" outlineLevel="0" collapsed="false">
      <c r="A959" s="10" t="n">
        <v>30</v>
      </c>
      <c r="B959" s="10" t="n">
        <v>1868.22</v>
      </c>
      <c r="C959" s="10" t="s">
        <v>12</v>
      </c>
      <c r="D959" s="10" t="n">
        <v>8</v>
      </c>
      <c r="E959" s="10" t="n">
        <v>8</v>
      </c>
      <c r="F959" s="10" t="n">
        <v>0</v>
      </c>
      <c r="G959" s="10" t="n">
        <v>4</v>
      </c>
      <c r="H959" s="10" t="n">
        <v>49</v>
      </c>
      <c r="I959" s="10" t="s">
        <v>13</v>
      </c>
      <c r="J959" s="10" t="s">
        <v>39</v>
      </c>
      <c r="K959" s="10" t="s">
        <v>37</v>
      </c>
      <c r="L959" s="10" t="s">
        <v>37</v>
      </c>
    </row>
    <row r="960" customFormat="false" ht="15.75" hidden="false" customHeight="false" outlineLevel="0" collapsed="false">
      <c r="A960" s="10" t="n">
        <v>9</v>
      </c>
      <c r="B960" s="10" t="n">
        <v>589.69</v>
      </c>
      <c r="C960" s="10" t="s">
        <v>12</v>
      </c>
      <c r="D960" s="10" t="n">
        <v>8</v>
      </c>
      <c r="E960" s="10" t="n">
        <v>8</v>
      </c>
      <c r="F960" s="10" t="n">
        <v>0</v>
      </c>
      <c r="G960" s="10" t="n">
        <v>2</v>
      </c>
      <c r="H960" s="10" t="n">
        <v>37</v>
      </c>
      <c r="I960" s="10" t="s">
        <v>13</v>
      </c>
      <c r="J960" s="10" t="s">
        <v>39</v>
      </c>
      <c r="K960" s="10" t="s">
        <v>39</v>
      </c>
      <c r="L960" s="10" t="s">
        <v>37</v>
      </c>
    </row>
    <row r="961" customFormat="false" ht="15.75" hidden="false" customHeight="false" outlineLevel="0" collapsed="false">
      <c r="A961" s="10" t="n">
        <v>28</v>
      </c>
      <c r="B961" s="10" t="n">
        <v>2047.07</v>
      </c>
      <c r="C961" s="10" t="s">
        <v>15</v>
      </c>
      <c r="D961" s="10" t="n">
        <v>2.5</v>
      </c>
      <c r="E961" s="10" t="n">
        <v>2.5</v>
      </c>
      <c r="F961" s="10" t="n">
        <v>0</v>
      </c>
      <c r="G961" s="10" t="n">
        <v>3</v>
      </c>
      <c r="H961" s="10" t="n">
        <v>45</v>
      </c>
      <c r="I961" s="10" t="s">
        <v>16</v>
      </c>
      <c r="J961" s="10" t="s">
        <v>39</v>
      </c>
      <c r="K961" s="10" t="s">
        <v>39</v>
      </c>
      <c r="L961" s="10" t="s">
        <v>40</v>
      </c>
    </row>
    <row r="962" customFormat="false" ht="15.75" hidden="false" customHeight="false" outlineLevel="0" collapsed="false">
      <c r="A962" s="10" t="n">
        <v>24</v>
      </c>
      <c r="B962" s="10" t="n">
        <v>1568.26</v>
      </c>
      <c r="C962" s="10" t="s">
        <v>12</v>
      </c>
      <c r="D962" s="10" t="n">
        <v>8</v>
      </c>
      <c r="E962" s="10" t="n">
        <v>8</v>
      </c>
      <c r="F962" s="10" t="n">
        <v>0</v>
      </c>
      <c r="G962" s="10" t="n">
        <v>4</v>
      </c>
      <c r="H962" s="10" t="n">
        <v>30</v>
      </c>
      <c r="I962" s="10" t="s">
        <v>13</v>
      </c>
      <c r="J962" s="10" t="s">
        <v>39</v>
      </c>
      <c r="K962" s="10" t="s">
        <v>37</v>
      </c>
      <c r="L962" s="10" t="s">
        <v>37</v>
      </c>
    </row>
    <row r="963" customFormat="false" ht="15.75" hidden="false" customHeight="false" outlineLevel="0" collapsed="false">
      <c r="A963" s="10" t="n">
        <v>6</v>
      </c>
      <c r="B963" s="10" t="n">
        <v>889.14</v>
      </c>
      <c r="C963" s="10" t="s">
        <v>12</v>
      </c>
      <c r="D963" s="10" t="n">
        <v>8</v>
      </c>
      <c r="E963" s="10" t="n">
        <v>8</v>
      </c>
      <c r="F963" s="10" t="n">
        <v>0</v>
      </c>
      <c r="G963" s="10" t="n">
        <v>2</v>
      </c>
      <c r="H963" s="10" t="n">
        <v>30</v>
      </c>
      <c r="I963" s="10" t="s">
        <v>13</v>
      </c>
      <c r="J963" s="10" t="s">
        <v>39</v>
      </c>
      <c r="K963" s="10" t="s">
        <v>39</v>
      </c>
      <c r="L963" s="10" t="s">
        <v>37</v>
      </c>
    </row>
    <row r="964" customFormat="false" ht="15.75" hidden="false" customHeight="false" outlineLevel="0" collapsed="false">
      <c r="A964" s="10" t="n">
        <v>21</v>
      </c>
      <c r="B964" s="10" t="n">
        <v>1202.38</v>
      </c>
      <c r="C964" s="10" t="s">
        <v>15</v>
      </c>
      <c r="D964" s="10" t="n">
        <v>2.5</v>
      </c>
      <c r="E964" s="10" t="n">
        <v>2.5</v>
      </c>
      <c r="F964" s="10" t="n">
        <v>0</v>
      </c>
      <c r="G964" s="10" t="n">
        <v>1</v>
      </c>
      <c r="H964" s="10" t="n">
        <v>47</v>
      </c>
      <c r="I964" s="10" t="s">
        <v>13</v>
      </c>
      <c r="J964" s="10" t="s">
        <v>39</v>
      </c>
      <c r="K964" s="10" t="s">
        <v>43</v>
      </c>
      <c r="L964" s="10" t="s">
        <v>40</v>
      </c>
    </row>
    <row r="965" customFormat="false" ht="15.75" hidden="false" customHeight="false" outlineLevel="0" collapsed="false">
      <c r="A965" s="10" t="n">
        <v>15</v>
      </c>
      <c r="B965" s="10" t="n">
        <v>1817.12</v>
      </c>
      <c r="C965" s="10" t="s">
        <v>15</v>
      </c>
      <c r="D965" s="10" t="n">
        <v>2.5</v>
      </c>
      <c r="E965" s="10" t="n">
        <v>2.5</v>
      </c>
      <c r="F965" s="10" t="n">
        <v>0</v>
      </c>
      <c r="G965" s="10" t="n">
        <v>3</v>
      </c>
      <c r="H965" s="10" t="n">
        <v>29</v>
      </c>
      <c r="I965" s="10" t="s">
        <v>13</v>
      </c>
      <c r="J965" s="10" t="s">
        <v>38</v>
      </c>
      <c r="K965" s="10" t="s">
        <v>39</v>
      </c>
      <c r="L965" s="10" t="s">
        <v>40</v>
      </c>
    </row>
    <row r="966" customFormat="false" ht="15.75" hidden="false" customHeight="false" outlineLevel="0" collapsed="false">
      <c r="A966" s="10" t="n">
        <v>24</v>
      </c>
      <c r="B966" s="10" t="n">
        <v>1224.87</v>
      </c>
      <c r="C966" s="10" t="s">
        <v>12</v>
      </c>
      <c r="D966" s="10" t="n">
        <v>8</v>
      </c>
      <c r="E966" s="10" t="n">
        <v>8</v>
      </c>
      <c r="F966" s="10" t="n">
        <v>0</v>
      </c>
      <c r="G966" s="10" t="n">
        <v>3</v>
      </c>
      <c r="H966" s="10" t="n">
        <v>35</v>
      </c>
      <c r="I966" s="10" t="s">
        <v>16</v>
      </c>
      <c r="J966" s="10" t="s">
        <v>39</v>
      </c>
      <c r="K966" s="10" t="s">
        <v>39</v>
      </c>
      <c r="L966" s="10" t="s">
        <v>37</v>
      </c>
    </row>
    <row r="967" customFormat="false" ht="15.75" hidden="false" customHeight="false" outlineLevel="0" collapsed="false">
      <c r="A967" s="10" t="n">
        <v>6</v>
      </c>
      <c r="B967" s="10" t="n">
        <v>231.99</v>
      </c>
      <c r="C967" s="10" t="s">
        <v>20</v>
      </c>
      <c r="D967" s="10" t="n">
        <v>0.5</v>
      </c>
      <c r="E967" s="10" t="n">
        <v>0.5</v>
      </c>
      <c r="F967" s="10" t="n">
        <v>0</v>
      </c>
      <c r="G967" s="10" t="n">
        <v>3</v>
      </c>
      <c r="H967" s="10" t="n">
        <v>22</v>
      </c>
      <c r="I967" s="10" t="s">
        <v>13</v>
      </c>
      <c r="J967" s="10" t="s">
        <v>38</v>
      </c>
      <c r="K967" s="10" t="s">
        <v>39</v>
      </c>
      <c r="L967" s="10" t="s">
        <v>42</v>
      </c>
    </row>
    <row r="968" customFormat="false" ht="15.75" hidden="false" customHeight="false" outlineLevel="0" collapsed="false">
      <c r="A968" s="10" t="n">
        <v>30</v>
      </c>
      <c r="B968" s="10" t="n">
        <v>876.37</v>
      </c>
      <c r="C968" s="10" t="s">
        <v>15</v>
      </c>
      <c r="D968" s="10" t="n">
        <v>2.5</v>
      </c>
      <c r="E968" s="10" t="n">
        <v>2.5</v>
      </c>
      <c r="F968" s="10" t="n">
        <v>0</v>
      </c>
      <c r="G968" s="10" t="n">
        <v>4</v>
      </c>
      <c r="H968" s="10" t="n">
        <v>26</v>
      </c>
      <c r="I968" s="10" t="s">
        <v>13</v>
      </c>
      <c r="J968" s="10" t="s">
        <v>38</v>
      </c>
      <c r="K968" s="10" t="s">
        <v>37</v>
      </c>
      <c r="L968" s="10" t="s">
        <v>40</v>
      </c>
    </row>
    <row r="969" customFormat="false" ht="15.75" hidden="false" customHeight="false" outlineLevel="0" collapsed="false">
      <c r="A969" s="10" t="n">
        <v>27</v>
      </c>
      <c r="B969" s="10" t="n">
        <v>1287.72</v>
      </c>
      <c r="C969" s="10" t="s">
        <v>15</v>
      </c>
      <c r="D969" s="10" t="n">
        <v>2.5</v>
      </c>
      <c r="E969" s="10" t="n">
        <v>2.5</v>
      </c>
      <c r="F969" s="10" t="n">
        <v>0</v>
      </c>
      <c r="G969" s="10" t="n">
        <v>4</v>
      </c>
      <c r="H969" s="10" t="n">
        <v>23</v>
      </c>
      <c r="I969" s="10" t="s">
        <v>16</v>
      </c>
      <c r="J969" s="10" t="s">
        <v>38</v>
      </c>
      <c r="K969" s="10" t="s">
        <v>37</v>
      </c>
      <c r="L969" s="10" t="s">
        <v>40</v>
      </c>
    </row>
    <row r="970" customFormat="false" ht="15.75" hidden="false" customHeight="false" outlineLevel="0" collapsed="false">
      <c r="A970" s="10" t="n">
        <v>15</v>
      </c>
      <c r="B970" s="10" t="n">
        <v>1823.25</v>
      </c>
      <c r="C970" s="10" t="s">
        <v>12</v>
      </c>
      <c r="D970" s="10" t="n">
        <v>8</v>
      </c>
      <c r="E970" s="10" t="n">
        <v>8</v>
      </c>
      <c r="F970" s="10" t="n">
        <v>0</v>
      </c>
      <c r="G970" s="10" t="n">
        <v>4</v>
      </c>
      <c r="H970" s="10" t="n">
        <v>54</v>
      </c>
      <c r="I970" s="10" t="s">
        <v>13</v>
      </c>
      <c r="J970" s="10" t="s">
        <v>36</v>
      </c>
      <c r="K970" s="10" t="s">
        <v>37</v>
      </c>
      <c r="L970" s="10" t="s">
        <v>37</v>
      </c>
    </row>
    <row r="971" customFormat="false" ht="15.75" hidden="false" customHeight="false" outlineLevel="0" collapsed="false">
      <c r="A971" s="10" t="n">
        <v>42</v>
      </c>
      <c r="B971" s="10" t="n">
        <v>3661.83</v>
      </c>
      <c r="C971" s="10" t="s">
        <v>17</v>
      </c>
      <c r="D971" s="10" t="n">
        <v>5.5</v>
      </c>
      <c r="E971" s="10" t="n">
        <v>5.5</v>
      </c>
      <c r="F971" s="10" t="n">
        <v>0</v>
      </c>
      <c r="G971" s="10" t="n">
        <v>2</v>
      </c>
      <c r="H971" s="10" t="n">
        <v>29</v>
      </c>
      <c r="I971" s="10" t="s">
        <v>13</v>
      </c>
      <c r="J971" s="10" t="s">
        <v>38</v>
      </c>
      <c r="K971" s="10" t="s">
        <v>39</v>
      </c>
      <c r="L971" s="10" t="s">
        <v>41</v>
      </c>
    </row>
    <row r="972" customFormat="false" ht="15.75" hidden="false" customHeight="false" outlineLevel="0" collapsed="false">
      <c r="A972" s="10" t="n">
        <v>11</v>
      </c>
      <c r="B972" s="10" t="n">
        <v>2012.83</v>
      </c>
      <c r="C972" s="10" t="s">
        <v>15</v>
      </c>
      <c r="D972" s="10" t="n">
        <v>2.5</v>
      </c>
      <c r="E972" s="10" t="n">
        <v>2.5</v>
      </c>
      <c r="F972" s="10" t="n">
        <v>0</v>
      </c>
      <c r="G972" s="10" t="n">
        <v>1</v>
      </c>
      <c r="H972" s="10" t="n">
        <v>40</v>
      </c>
      <c r="I972" s="10" t="s">
        <v>13</v>
      </c>
      <c r="J972" s="10" t="s">
        <v>39</v>
      </c>
      <c r="K972" s="10" t="s">
        <v>43</v>
      </c>
      <c r="L972" s="10" t="s">
        <v>40</v>
      </c>
    </row>
    <row r="973" customFormat="false" ht="15.75" hidden="false" customHeight="false" outlineLevel="0" collapsed="false">
      <c r="A973" s="10" t="n">
        <v>15</v>
      </c>
      <c r="B973" s="10" t="n">
        <v>773.65</v>
      </c>
      <c r="C973" s="10" t="s">
        <v>15</v>
      </c>
      <c r="D973" s="10" t="n">
        <v>2.5</v>
      </c>
      <c r="E973" s="10" t="n">
        <v>2.5</v>
      </c>
      <c r="F973" s="10" t="n">
        <v>0</v>
      </c>
      <c r="G973" s="10" t="n">
        <v>4</v>
      </c>
      <c r="H973" s="10" t="n">
        <v>22</v>
      </c>
      <c r="I973" s="10" t="s">
        <v>13</v>
      </c>
      <c r="J973" s="10" t="s">
        <v>38</v>
      </c>
      <c r="K973" s="10" t="s">
        <v>37</v>
      </c>
      <c r="L973" s="10" t="s">
        <v>40</v>
      </c>
    </row>
    <row r="974" customFormat="false" ht="15.75" hidden="false" customHeight="false" outlineLevel="0" collapsed="false">
      <c r="A974" s="10" t="n">
        <v>24</v>
      </c>
      <c r="B974" s="10" t="n">
        <v>3777.82</v>
      </c>
      <c r="C974" s="10" t="s">
        <v>15</v>
      </c>
      <c r="D974" s="10" t="n">
        <v>2.5</v>
      </c>
      <c r="E974" s="10" t="n">
        <v>2.5</v>
      </c>
      <c r="F974" s="10" t="n">
        <v>0</v>
      </c>
      <c r="G974" s="10" t="n">
        <v>1</v>
      </c>
      <c r="H974" s="10" t="n">
        <v>43</v>
      </c>
      <c r="I974" s="10" t="s">
        <v>13</v>
      </c>
      <c r="J974" s="10" t="s">
        <v>39</v>
      </c>
      <c r="K974" s="10" t="s">
        <v>43</v>
      </c>
      <c r="L974" s="10" t="s">
        <v>40</v>
      </c>
    </row>
    <row r="975" customFormat="false" ht="15.75" hidden="false" customHeight="false" outlineLevel="0" collapsed="false">
      <c r="A975" s="10" t="n">
        <v>24</v>
      </c>
      <c r="B975" s="10" t="n">
        <v>609.62</v>
      </c>
      <c r="C975" s="10" t="s">
        <v>19</v>
      </c>
      <c r="D975" s="10" t="n">
        <v>0</v>
      </c>
      <c r="E975" s="10" t="n">
        <v>0</v>
      </c>
      <c r="F975" s="10" t="n">
        <v>0</v>
      </c>
      <c r="G975" s="10" t="n">
        <v>1</v>
      </c>
      <c r="H975" s="10" t="n">
        <v>29</v>
      </c>
      <c r="I975" s="10" t="s">
        <v>16</v>
      </c>
      <c r="J975" s="10" t="s">
        <v>38</v>
      </c>
      <c r="K975" s="10" t="s">
        <v>43</v>
      </c>
      <c r="L975" s="10" t="s">
        <v>19</v>
      </c>
    </row>
    <row r="976" customFormat="false" ht="15.75" hidden="false" customHeight="false" outlineLevel="0" collapsed="false">
      <c r="A976" s="10" t="n">
        <v>60</v>
      </c>
      <c r="B976" s="10" t="n">
        <v>3728.77</v>
      </c>
      <c r="C976" s="10" t="s">
        <v>12</v>
      </c>
      <c r="D976" s="10" t="n">
        <v>8</v>
      </c>
      <c r="E976" s="10" t="n">
        <v>8</v>
      </c>
      <c r="F976" s="10" t="n">
        <v>0</v>
      </c>
      <c r="G976" s="10" t="n">
        <v>4</v>
      </c>
      <c r="H976" s="10" t="n">
        <v>36</v>
      </c>
      <c r="I976" s="10" t="s">
        <v>16</v>
      </c>
      <c r="J976" s="10" t="s">
        <v>39</v>
      </c>
      <c r="K976" s="10" t="s">
        <v>37</v>
      </c>
      <c r="L976" s="10" t="s">
        <v>37</v>
      </c>
    </row>
    <row r="977" customFormat="false" ht="15.75" hidden="false" customHeight="false" outlineLevel="0" collapsed="false">
      <c r="A977" s="10" t="n">
        <v>30</v>
      </c>
      <c r="B977" s="10" t="n">
        <v>1446.64</v>
      </c>
      <c r="C977" s="10" t="s">
        <v>15</v>
      </c>
      <c r="D977" s="10" t="n">
        <v>2.5</v>
      </c>
      <c r="E977" s="10" t="n">
        <v>2.5</v>
      </c>
      <c r="F977" s="10" t="n">
        <v>0</v>
      </c>
      <c r="G977" s="10" t="n">
        <v>4</v>
      </c>
      <c r="H977" s="10" t="n">
        <v>33</v>
      </c>
      <c r="I977" s="10" t="s">
        <v>13</v>
      </c>
      <c r="J977" s="10" t="s">
        <v>39</v>
      </c>
      <c r="K977" s="10" t="s">
        <v>37</v>
      </c>
      <c r="L977" s="10" t="s">
        <v>40</v>
      </c>
    </row>
    <row r="978" customFormat="false" ht="15.75" hidden="false" customHeight="false" outlineLevel="0" collapsed="false">
      <c r="A978" s="10" t="n">
        <v>24</v>
      </c>
      <c r="B978" s="10" t="n">
        <v>642.84</v>
      </c>
      <c r="C978" s="10" t="s">
        <v>15</v>
      </c>
      <c r="D978" s="10" t="n">
        <v>2.5</v>
      </c>
      <c r="E978" s="10" t="n">
        <v>2.5</v>
      </c>
      <c r="F978" s="10" t="n">
        <v>0</v>
      </c>
      <c r="G978" s="10" t="n">
        <v>3</v>
      </c>
      <c r="H978" s="10" t="n">
        <v>57</v>
      </c>
      <c r="I978" s="10" t="s">
        <v>13</v>
      </c>
      <c r="J978" s="10" t="s">
        <v>36</v>
      </c>
      <c r="K978" s="10" t="s">
        <v>39</v>
      </c>
      <c r="L978" s="10" t="s">
        <v>40</v>
      </c>
    </row>
    <row r="979" customFormat="false" ht="15.75" hidden="false" customHeight="false" outlineLevel="0" collapsed="false">
      <c r="A979" s="10" t="n">
        <v>6</v>
      </c>
      <c r="B979" s="10" t="n">
        <v>384.78</v>
      </c>
      <c r="C979" s="10" t="s">
        <v>15</v>
      </c>
      <c r="D979" s="10" t="n">
        <v>2.5</v>
      </c>
      <c r="E979" s="10" t="n">
        <v>2.5</v>
      </c>
      <c r="F979" s="10" t="n">
        <v>0</v>
      </c>
      <c r="G979" s="10" t="n">
        <v>2</v>
      </c>
      <c r="H979" s="10" t="n">
        <v>64</v>
      </c>
      <c r="I979" s="10" t="s">
        <v>13</v>
      </c>
      <c r="J979" s="10" t="s">
        <v>36</v>
      </c>
      <c r="K979" s="10" t="s">
        <v>39</v>
      </c>
      <c r="L979" s="10" t="s">
        <v>40</v>
      </c>
    </row>
    <row r="980" customFormat="false" ht="15.75" hidden="false" customHeight="false" outlineLevel="0" collapsed="false">
      <c r="A980" s="10" t="n">
        <v>18</v>
      </c>
      <c r="B980" s="10" t="n">
        <v>1240.2</v>
      </c>
      <c r="C980" s="10" t="s">
        <v>12</v>
      </c>
      <c r="D980" s="10" t="n">
        <v>8</v>
      </c>
      <c r="E980" s="10" t="n">
        <v>8</v>
      </c>
      <c r="F980" s="10" t="n">
        <v>0</v>
      </c>
      <c r="G980" s="10" t="n">
        <v>4</v>
      </c>
      <c r="H980" s="10" t="n">
        <v>42</v>
      </c>
      <c r="I980" s="10" t="s">
        <v>13</v>
      </c>
      <c r="J980" s="10" t="s">
        <v>39</v>
      </c>
      <c r="K980" s="10" t="s">
        <v>37</v>
      </c>
      <c r="L980" s="10" t="s">
        <v>37</v>
      </c>
    </row>
    <row r="981" customFormat="false" ht="15.75" hidden="false" customHeight="false" outlineLevel="0" collapsed="false">
      <c r="A981" s="10" t="n">
        <v>24</v>
      </c>
      <c r="B981" s="10" t="n">
        <v>1296.92</v>
      </c>
      <c r="C981" s="10" t="s">
        <v>12</v>
      </c>
      <c r="D981" s="10" t="n">
        <v>8</v>
      </c>
      <c r="E981" s="10" t="n">
        <v>8</v>
      </c>
      <c r="F981" s="10" t="n">
        <v>0</v>
      </c>
      <c r="G981" s="10" t="n">
        <v>4</v>
      </c>
      <c r="H981" s="10" t="n">
        <v>47</v>
      </c>
      <c r="I981" s="10" t="s">
        <v>16</v>
      </c>
      <c r="J981" s="10" t="s">
        <v>39</v>
      </c>
      <c r="K981" s="10" t="s">
        <v>37</v>
      </c>
      <c r="L981" s="10" t="s">
        <v>37</v>
      </c>
    </row>
    <row r="982" customFormat="false" ht="15.75" hidden="false" customHeight="false" outlineLevel="0" collapsed="false">
      <c r="A982" s="10" t="n">
        <v>15</v>
      </c>
      <c r="B982" s="10" t="n">
        <v>645.9</v>
      </c>
      <c r="C982" s="10" t="s">
        <v>15</v>
      </c>
      <c r="D982" s="10" t="n">
        <v>2.5</v>
      </c>
      <c r="E982" s="10" t="n">
        <v>2.5</v>
      </c>
      <c r="F982" s="10" t="n">
        <v>0</v>
      </c>
      <c r="G982" s="10" t="n">
        <v>2</v>
      </c>
      <c r="H982" s="10" t="n">
        <v>25</v>
      </c>
      <c r="I982" s="10" t="s">
        <v>16</v>
      </c>
      <c r="J982" s="10" t="s">
        <v>38</v>
      </c>
      <c r="K982" s="10" t="s">
        <v>39</v>
      </c>
      <c r="L982" s="10" t="s">
        <v>40</v>
      </c>
    </row>
    <row r="983" customFormat="false" ht="15.75" hidden="false" customHeight="false" outlineLevel="0" collapsed="false">
      <c r="A983" s="10" t="n">
        <v>30</v>
      </c>
      <c r="B983" s="10" t="n">
        <v>4285.25</v>
      </c>
      <c r="C983" s="10" t="s">
        <v>17</v>
      </c>
      <c r="D983" s="10" t="n">
        <v>5.5</v>
      </c>
      <c r="E983" s="10" t="n">
        <v>5.5</v>
      </c>
      <c r="F983" s="10" t="n">
        <v>0</v>
      </c>
      <c r="G983" s="10" t="n">
        <v>2</v>
      </c>
      <c r="H983" s="10" t="n">
        <v>49</v>
      </c>
      <c r="I983" s="10" t="s">
        <v>16</v>
      </c>
      <c r="J983" s="10" t="s">
        <v>39</v>
      </c>
      <c r="K983" s="10" t="s">
        <v>39</v>
      </c>
      <c r="L983" s="10" t="s">
        <v>41</v>
      </c>
    </row>
    <row r="984" customFormat="false" ht="15.75" hidden="false" customHeight="false" outlineLevel="0" collapsed="false">
      <c r="A984" s="10" t="n">
        <v>48</v>
      </c>
      <c r="B984" s="10" t="n">
        <v>2475.28</v>
      </c>
      <c r="C984" s="10" t="s">
        <v>19</v>
      </c>
      <c r="D984" s="10" t="n">
        <v>0</v>
      </c>
      <c r="E984" s="10" t="n">
        <v>0</v>
      </c>
      <c r="F984" s="10" t="n">
        <v>0</v>
      </c>
      <c r="G984" s="10" t="n">
        <v>3</v>
      </c>
      <c r="H984" s="10" t="n">
        <v>33</v>
      </c>
      <c r="I984" s="10" t="s">
        <v>16</v>
      </c>
      <c r="J984" s="10" t="s">
        <v>39</v>
      </c>
      <c r="K984" s="10" t="s">
        <v>39</v>
      </c>
      <c r="L984" s="10" t="s">
        <v>19</v>
      </c>
    </row>
    <row r="985" customFormat="false" ht="15.75" hidden="false" customHeight="false" outlineLevel="0" collapsed="false">
      <c r="A985" s="10" t="n">
        <v>21</v>
      </c>
      <c r="B985" s="10" t="n">
        <v>1493.65</v>
      </c>
      <c r="C985" s="10" t="s">
        <v>15</v>
      </c>
      <c r="D985" s="10" t="n">
        <v>2.5</v>
      </c>
      <c r="E985" s="10" t="n">
        <v>2.5</v>
      </c>
      <c r="F985" s="10" t="n">
        <v>0</v>
      </c>
      <c r="G985" s="10" t="n">
        <v>1</v>
      </c>
      <c r="H985" s="10" t="n">
        <v>28</v>
      </c>
      <c r="I985" s="10" t="s">
        <v>13</v>
      </c>
      <c r="J985" s="10" t="s">
        <v>38</v>
      </c>
      <c r="K985" s="10" t="s">
        <v>43</v>
      </c>
      <c r="L985" s="10" t="s">
        <v>40</v>
      </c>
    </row>
    <row r="986" customFormat="false" ht="15.75" hidden="false" customHeight="false" outlineLevel="0" collapsed="false">
      <c r="A986" s="10" t="n">
        <v>36</v>
      </c>
      <c r="B986" s="10" t="n">
        <v>4205.02</v>
      </c>
      <c r="C986" s="10" t="s">
        <v>15</v>
      </c>
      <c r="D986" s="10" t="n">
        <v>2.5</v>
      </c>
      <c r="E986" s="10" t="n">
        <v>2.5</v>
      </c>
      <c r="F986" s="10" t="n">
        <v>0</v>
      </c>
      <c r="G986" s="10" t="n">
        <v>2</v>
      </c>
      <c r="H986" s="10" t="n">
        <v>26</v>
      </c>
      <c r="I986" s="10" t="s">
        <v>16</v>
      </c>
      <c r="J986" s="10" t="s">
        <v>38</v>
      </c>
      <c r="K986" s="10" t="s">
        <v>39</v>
      </c>
      <c r="L986" s="10" t="s">
        <v>40</v>
      </c>
    </row>
    <row r="987" customFormat="false" ht="15.75" hidden="false" customHeight="false" outlineLevel="0" collapsed="false">
      <c r="A987" s="10" t="n">
        <v>24</v>
      </c>
      <c r="B987" s="10" t="n">
        <v>1036.31</v>
      </c>
      <c r="C987" s="10" t="s">
        <v>17</v>
      </c>
      <c r="D987" s="10" t="n">
        <v>5.5</v>
      </c>
      <c r="E987" s="10" t="n">
        <v>5.5</v>
      </c>
      <c r="F987" s="10" t="n">
        <v>0</v>
      </c>
      <c r="G987" s="10" t="n">
        <v>2</v>
      </c>
      <c r="H987" s="10" t="n">
        <v>30</v>
      </c>
      <c r="I987" s="10" t="s">
        <v>13</v>
      </c>
      <c r="J987" s="10" t="s">
        <v>39</v>
      </c>
      <c r="K987" s="10" t="s">
        <v>39</v>
      </c>
      <c r="L987" s="10" t="s">
        <v>41</v>
      </c>
    </row>
    <row r="988" customFormat="false" ht="15.75" hidden="false" customHeight="false" outlineLevel="0" collapsed="false">
      <c r="A988" s="10" t="n">
        <v>15</v>
      </c>
      <c r="B988" s="10" t="n">
        <v>732.26</v>
      </c>
      <c r="C988" s="10" t="s">
        <v>15</v>
      </c>
      <c r="D988" s="10" t="n">
        <v>2.5</v>
      </c>
      <c r="E988" s="10" t="n">
        <v>2.5</v>
      </c>
      <c r="F988" s="10" t="n">
        <v>0</v>
      </c>
      <c r="G988" s="10" t="n">
        <v>4</v>
      </c>
      <c r="H988" s="10" t="n">
        <v>25</v>
      </c>
      <c r="I988" s="10" t="s">
        <v>13</v>
      </c>
      <c r="J988" s="10" t="s">
        <v>38</v>
      </c>
      <c r="K988" s="10" t="s">
        <v>37</v>
      </c>
      <c r="L988" s="10" t="s">
        <v>40</v>
      </c>
    </row>
    <row r="989" customFormat="false" ht="15.75" hidden="false" customHeight="false" outlineLevel="0" collapsed="false">
      <c r="A989" s="10" t="n">
        <v>42</v>
      </c>
      <c r="B989" s="10" t="n">
        <v>3213.68</v>
      </c>
      <c r="C989" s="10" t="s">
        <v>20</v>
      </c>
      <c r="D989" s="10" t="n">
        <v>0.5</v>
      </c>
      <c r="E989" s="10" t="n">
        <v>0.5</v>
      </c>
      <c r="F989" s="10" t="n">
        <v>0</v>
      </c>
      <c r="G989" s="10" t="n">
        <v>2</v>
      </c>
      <c r="H989" s="10" t="n">
        <v>33</v>
      </c>
      <c r="I989" s="10" t="s">
        <v>13</v>
      </c>
      <c r="J989" s="10" t="s">
        <v>39</v>
      </c>
      <c r="K989" s="10" t="s">
        <v>39</v>
      </c>
      <c r="L989" s="10" t="s">
        <v>42</v>
      </c>
    </row>
    <row r="990" customFormat="false" ht="15.75" hidden="false" customHeight="false" outlineLevel="0" collapsed="false">
      <c r="A990" s="10" t="n">
        <v>13</v>
      </c>
      <c r="B990" s="10" t="n">
        <v>720</v>
      </c>
      <c r="C990" s="10" t="s">
        <v>19</v>
      </c>
      <c r="D990" s="10" t="n">
        <v>0</v>
      </c>
      <c r="E990" s="10" t="n">
        <v>0</v>
      </c>
      <c r="F990" s="10" t="n">
        <v>0</v>
      </c>
      <c r="G990" s="10" t="n">
        <v>2</v>
      </c>
      <c r="H990" s="10" t="n">
        <v>64</v>
      </c>
      <c r="I990" s="10" t="s">
        <v>13</v>
      </c>
      <c r="J990" s="10" t="s">
        <v>36</v>
      </c>
      <c r="K990" s="10" t="s">
        <v>39</v>
      </c>
      <c r="L990" s="10" t="s">
        <v>19</v>
      </c>
    </row>
    <row r="991" customFormat="false" ht="15.75" hidden="false" customHeight="false" outlineLevel="0" collapsed="false">
      <c r="A991" s="10" t="n">
        <v>24</v>
      </c>
      <c r="B991" s="10" t="n">
        <v>3361.87</v>
      </c>
      <c r="C991" s="10" t="s">
        <v>19</v>
      </c>
      <c r="D991" s="10" t="n">
        <v>0</v>
      </c>
      <c r="E991" s="10" t="n">
        <v>0</v>
      </c>
      <c r="F991" s="10" t="n">
        <v>0</v>
      </c>
      <c r="G991" s="10" t="n">
        <v>4</v>
      </c>
      <c r="H991" s="10" t="n">
        <v>29</v>
      </c>
      <c r="I991" s="10" t="s">
        <v>13</v>
      </c>
      <c r="J991" s="10" t="s">
        <v>38</v>
      </c>
      <c r="K991" s="10" t="s">
        <v>37</v>
      </c>
      <c r="L991" s="10" t="s">
        <v>19</v>
      </c>
    </row>
    <row r="992" customFormat="false" ht="15.75" hidden="false" customHeight="false" outlineLevel="0" collapsed="false">
      <c r="A992" s="10" t="n">
        <v>24</v>
      </c>
      <c r="B992" s="10" t="n">
        <v>890.67</v>
      </c>
      <c r="C992" s="10" t="s">
        <v>12</v>
      </c>
      <c r="D992" s="10" t="n">
        <v>8</v>
      </c>
      <c r="E992" s="10" t="n">
        <v>8</v>
      </c>
      <c r="F992" s="10" t="n">
        <v>0</v>
      </c>
      <c r="G992" s="10" t="n">
        <v>4</v>
      </c>
      <c r="H992" s="10" t="n">
        <v>48</v>
      </c>
      <c r="I992" s="10" t="s">
        <v>13</v>
      </c>
      <c r="J992" s="10" t="s">
        <v>39</v>
      </c>
      <c r="K992" s="10" t="s">
        <v>37</v>
      </c>
      <c r="L992" s="10" t="s">
        <v>37</v>
      </c>
    </row>
    <row r="993" customFormat="false" ht="15.75" hidden="false" customHeight="false" outlineLevel="0" collapsed="false">
      <c r="A993" s="10" t="n">
        <v>12</v>
      </c>
      <c r="B993" s="10" t="n">
        <v>1821.72</v>
      </c>
      <c r="C993" s="10" t="s">
        <v>20</v>
      </c>
      <c r="D993" s="10" t="n">
        <v>0.5</v>
      </c>
      <c r="E993" s="10" t="n">
        <v>0.5</v>
      </c>
      <c r="F993" s="10" t="n">
        <v>0</v>
      </c>
      <c r="G993" s="10" t="n">
        <v>2</v>
      </c>
      <c r="H993" s="10" t="n">
        <v>37</v>
      </c>
      <c r="I993" s="10" t="s">
        <v>13</v>
      </c>
      <c r="J993" s="10" t="s">
        <v>39</v>
      </c>
      <c r="K993" s="10" t="s">
        <v>39</v>
      </c>
      <c r="L993" s="10" t="s">
        <v>42</v>
      </c>
    </row>
    <row r="994" customFormat="false" ht="15.75" hidden="false" customHeight="false" outlineLevel="0" collapsed="false">
      <c r="A994" s="10" t="n">
        <v>15</v>
      </c>
      <c r="B994" s="10" t="n">
        <v>801.76</v>
      </c>
      <c r="C994" s="10" t="s">
        <v>12</v>
      </c>
      <c r="D994" s="10" t="n">
        <v>8</v>
      </c>
      <c r="E994" s="10" t="n">
        <v>8</v>
      </c>
      <c r="F994" s="10" t="n">
        <v>0</v>
      </c>
      <c r="G994" s="10" t="n">
        <v>4</v>
      </c>
      <c r="H994" s="10" t="n">
        <v>34</v>
      </c>
      <c r="I994" s="10" t="s">
        <v>13</v>
      </c>
      <c r="J994" s="10" t="s">
        <v>39</v>
      </c>
      <c r="K994" s="10" t="s">
        <v>37</v>
      </c>
      <c r="L994" s="10" t="s">
        <v>37</v>
      </c>
    </row>
    <row r="995" customFormat="false" ht="15.75" hidden="false" customHeight="false" outlineLevel="0" collapsed="false">
      <c r="A995" s="10" t="n">
        <v>18</v>
      </c>
      <c r="B995" s="10" t="n">
        <v>989.3</v>
      </c>
      <c r="C995" s="10" t="s">
        <v>17</v>
      </c>
      <c r="D995" s="10" t="n">
        <v>5.5</v>
      </c>
      <c r="E995" s="10" t="n">
        <v>5</v>
      </c>
      <c r="F995" s="10" t="n">
        <v>1</v>
      </c>
      <c r="G995" s="10" t="n">
        <v>2</v>
      </c>
      <c r="H995" s="10" t="n">
        <v>23</v>
      </c>
      <c r="I995" s="10" t="s">
        <v>13</v>
      </c>
      <c r="J995" s="10" t="s">
        <v>38</v>
      </c>
      <c r="K995" s="10" t="s">
        <v>39</v>
      </c>
      <c r="L995" s="10" t="s">
        <v>41</v>
      </c>
    </row>
    <row r="996" customFormat="false" ht="15.75" hidden="false" customHeight="false" outlineLevel="0" collapsed="false">
      <c r="A996" s="10" t="n">
        <v>36</v>
      </c>
      <c r="B996" s="10" t="n">
        <v>2023.05</v>
      </c>
      <c r="C996" s="10" t="s">
        <v>19</v>
      </c>
      <c r="D996" s="10" t="n">
        <v>0</v>
      </c>
      <c r="E996" s="10" t="n">
        <v>0</v>
      </c>
      <c r="F996" s="10" t="n">
        <v>0</v>
      </c>
      <c r="G996" s="10" t="n">
        <v>4</v>
      </c>
      <c r="H996" s="10" t="n">
        <v>30</v>
      </c>
      <c r="I996" s="10" t="s">
        <v>13</v>
      </c>
      <c r="J996" s="10" t="s">
        <v>39</v>
      </c>
      <c r="K996" s="10" t="s">
        <v>37</v>
      </c>
      <c r="L996" s="10" t="s">
        <v>19</v>
      </c>
    </row>
    <row r="997" customFormat="false" ht="15.75" hidden="false" customHeight="false" outlineLevel="0" collapsed="false">
      <c r="A997" s="10" t="n">
        <v>12</v>
      </c>
      <c r="B997" s="10" t="n">
        <v>1221.29</v>
      </c>
      <c r="C997" s="10" t="s">
        <v>12</v>
      </c>
      <c r="D997" s="10" t="n">
        <v>8</v>
      </c>
      <c r="E997" s="10" t="n">
        <v>8</v>
      </c>
      <c r="F997" s="10" t="n">
        <v>0</v>
      </c>
      <c r="G997" s="10" t="n">
        <v>4</v>
      </c>
      <c r="H997" s="10" t="n">
        <v>50</v>
      </c>
      <c r="I997" s="10" t="s">
        <v>13</v>
      </c>
      <c r="J997" s="10" t="s">
        <v>39</v>
      </c>
      <c r="K997" s="10" t="s">
        <v>37</v>
      </c>
      <c r="L997" s="10" t="s">
        <v>37</v>
      </c>
    </row>
    <row r="998" customFormat="false" ht="15.75" hidden="false" customHeight="false" outlineLevel="0" collapsed="false">
      <c r="A998" s="10" t="n">
        <v>12</v>
      </c>
      <c r="B998" s="10" t="n">
        <v>887.1</v>
      </c>
      <c r="C998" s="10" t="s">
        <v>17</v>
      </c>
      <c r="D998" s="10" t="n">
        <v>5.5</v>
      </c>
      <c r="E998" s="10" t="n">
        <v>5.5</v>
      </c>
      <c r="F998" s="10" t="n">
        <v>0</v>
      </c>
      <c r="G998" s="10" t="n">
        <v>3</v>
      </c>
      <c r="H998" s="10" t="n">
        <v>31</v>
      </c>
      <c r="I998" s="10" t="s">
        <v>13</v>
      </c>
      <c r="J998" s="10" t="s">
        <v>39</v>
      </c>
      <c r="K998" s="10" t="s">
        <v>39</v>
      </c>
      <c r="L998" s="10" t="s">
        <v>41</v>
      </c>
    </row>
    <row r="999" customFormat="false" ht="15.75" hidden="false" customHeight="false" outlineLevel="0" collapsed="false">
      <c r="A999" s="10" t="n">
        <v>30</v>
      </c>
      <c r="B999" s="10" t="n">
        <v>1970.93</v>
      </c>
      <c r="C999" s="10" t="s">
        <v>15</v>
      </c>
      <c r="D999" s="10" t="n">
        <v>2.5</v>
      </c>
      <c r="E999" s="10" t="n">
        <v>2.5</v>
      </c>
      <c r="F999" s="10" t="n">
        <v>0</v>
      </c>
      <c r="G999" s="10" t="n">
        <v>4</v>
      </c>
      <c r="H999" s="10" t="n">
        <v>40</v>
      </c>
      <c r="I999" s="10" t="s">
        <v>13</v>
      </c>
      <c r="J999" s="10" t="s">
        <v>39</v>
      </c>
      <c r="K999" s="10" t="s">
        <v>37</v>
      </c>
      <c r="L999" s="10" t="s">
        <v>40</v>
      </c>
    </row>
    <row r="1000" customFormat="false" ht="15.75" hidden="false" customHeight="false" outlineLevel="0" collapsed="false">
      <c r="A1000" s="10" t="n">
        <v>12</v>
      </c>
      <c r="B1000" s="10" t="n">
        <v>410.84</v>
      </c>
      <c r="C1000" s="10" t="s">
        <v>12</v>
      </c>
      <c r="D1000" s="10" t="n">
        <v>8</v>
      </c>
      <c r="E1000" s="10" t="n">
        <v>8</v>
      </c>
      <c r="F1000" s="10" t="n">
        <v>0</v>
      </c>
      <c r="G1000" s="10" t="n">
        <v>4</v>
      </c>
      <c r="H1000" s="10" t="n">
        <v>38</v>
      </c>
      <c r="I1000" s="10" t="s">
        <v>13</v>
      </c>
      <c r="J1000" s="10" t="s">
        <v>39</v>
      </c>
      <c r="K1000" s="10" t="s">
        <v>37</v>
      </c>
      <c r="L1000" s="10" t="s">
        <v>37</v>
      </c>
    </row>
    <row r="1001" customFormat="false" ht="15.75" hidden="false" customHeight="false" outlineLevel="0" collapsed="false">
      <c r="A1001" s="10" t="n">
        <v>45</v>
      </c>
      <c r="B1001" s="10" t="n">
        <v>942.8</v>
      </c>
      <c r="C1001" s="10" t="s">
        <v>15</v>
      </c>
      <c r="D1001" s="10" t="n">
        <v>2.5</v>
      </c>
      <c r="E1001" s="10" t="n">
        <v>2.5</v>
      </c>
      <c r="F1001" s="10" t="n">
        <v>0</v>
      </c>
      <c r="G1001" s="10" t="n">
        <v>4</v>
      </c>
      <c r="H1001" s="10" t="n">
        <v>23</v>
      </c>
      <c r="I1001" s="10" t="s">
        <v>16</v>
      </c>
      <c r="J1001" s="10" t="s">
        <v>38</v>
      </c>
      <c r="K1001" s="10" t="s">
        <v>37</v>
      </c>
      <c r="L1001" s="10" t="s">
        <v>40</v>
      </c>
    </row>
    <row r="1002" customFormat="false" ht="15.75" hidden="false" customHeight="false" outlineLevel="0" collapsed="false">
      <c r="A1002" s="10" t="n">
        <v>45</v>
      </c>
      <c r="B1002" s="10" t="n">
        <v>2338.34</v>
      </c>
      <c r="C1002" s="10" t="s">
        <v>19</v>
      </c>
      <c r="D1002" s="10" t="n">
        <v>0</v>
      </c>
      <c r="E1002" s="10" t="n">
        <v>0</v>
      </c>
      <c r="F1002" s="10" t="n">
        <v>0</v>
      </c>
      <c r="G1002" s="10" t="n">
        <v>3</v>
      </c>
      <c r="H1002" s="10" t="n">
        <v>27</v>
      </c>
      <c r="I1002" s="10" t="s">
        <v>13</v>
      </c>
      <c r="J1002" s="10" t="s">
        <v>38</v>
      </c>
      <c r="K1002" s="10" t="s">
        <v>39</v>
      </c>
      <c r="L1002" s="10" t="s">
        <v>19</v>
      </c>
    </row>
  </sheetData>
  <autoFilter ref="A2:L100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C41:J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12.6328125" defaultRowHeight="15.75" zeroHeight="false" outlineLevelRow="0" outlineLevelCol="0"/>
  <sheetData>
    <row r="41" customFormat="false" ht="15.75" hidden="false" customHeight="false" outlineLevel="0" collapsed="false">
      <c r="J41" s="10" t="s">
        <v>44</v>
      </c>
    </row>
    <row r="58" customFormat="false" ht="15.75" hidden="false" customHeight="false" outlineLevel="0" collapsed="false">
      <c r="C58" s="2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3" min="3" style="0" width="23"/>
    <col collapsed="false" customWidth="true" hidden="false" outlineLevel="0" max="5" min="5" style="0" width="25"/>
    <col collapsed="false" customWidth="true" hidden="false" outlineLevel="0" max="7" min="7" style="0" width="28"/>
  </cols>
  <sheetData>
    <row r="1" customFormat="false" ht="15.75" hidden="false" customHeight="false" outlineLevel="0" collapsed="false">
      <c r="A1" s="25" t="s">
        <v>45</v>
      </c>
      <c r="B1" s="25"/>
      <c r="C1" s="25"/>
      <c r="E1" s="25" t="s">
        <v>46</v>
      </c>
      <c r="F1" s="25"/>
      <c r="G1" s="25"/>
    </row>
    <row r="2" customFormat="false" ht="15.75" hidden="false" customHeight="false" outlineLevel="0" collapsed="false">
      <c r="A2" s="26" t="s">
        <v>10</v>
      </c>
      <c r="B2" s="26" t="s">
        <v>47</v>
      </c>
      <c r="C2" s="26" t="s">
        <v>48</v>
      </c>
      <c r="E2" s="26" t="s">
        <v>35</v>
      </c>
      <c r="F2" s="26" t="s">
        <v>49</v>
      </c>
      <c r="G2" s="26" t="s">
        <v>50</v>
      </c>
    </row>
    <row r="3" customFormat="false" ht="15.75" hidden="false" customHeight="false" outlineLevel="0" collapsed="false">
      <c r="A3" s="20" t="s">
        <v>16</v>
      </c>
      <c r="B3" s="20" t="n">
        <v>300</v>
      </c>
      <c r="C3" s="20" t="n">
        <v>30</v>
      </c>
      <c r="E3" s="20" t="s">
        <v>41</v>
      </c>
      <c r="F3" s="20" t="n">
        <v>175</v>
      </c>
      <c r="G3" s="20" t="n">
        <v>22.29</v>
      </c>
    </row>
    <row r="4" customFormat="false" ht="15.75" hidden="false" customHeight="false" outlineLevel="0" collapsed="false">
      <c r="A4" s="20" t="s">
        <v>13</v>
      </c>
      <c r="B4" s="20" t="n">
        <v>700</v>
      </c>
      <c r="C4" s="20" t="n">
        <v>70</v>
      </c>
      <c r="E4" s="20" t="s">
        <v>37</v>
      </c>
      <c r="F4" s="20" t="n">
        <v>244</v>
      </c>
      <c r="G4" s="20" t="n">
        <v>25.41</v>
      </c>
    </row>
    <row r="5" customFormat="false" ht="15.75" hidden="false" customHeight="false" outlineLevel="0" collapsed="false">
      <c r="E5" s="20" t="s">
        <v>40</v>
      </c>
      <c r="F5" s="20" t="n">
        <v>335</v>
      </c>
      <c r="G5" s="20" t="n">
        <v>30.15</v>
      </c>
    </row>
    <row r="6" customFormat="false" ht="15.75" hidden="false" customHeight="false" outlineLevel="0" collapsed="false">
      <c r="A6" s="25" t="s">
        <v>51</v>
      </c>
      <c r="B6" s="25"/>
      <c r="C6" s="25"/>
      <c r="E6" s="20" t="s">
        <v>19</v>
      </c>
      <c r="F6" s="20" t="n">
        <v>62</v>
      </c>
      <c r="G6" s="20" t="n">
        <v>37.1</v>
      </c>
    </row>
    <row r="7" customFormat="false" ht="15.75" hidden="false" customHeight="false" outlineLevel="0" collapsed="false">
      <c r="A7" s="26" t="s">
        <v>33</v>
      </c>
      <c r="B7" s="26" t="s">
        <v>49</v>
      </c>
      <c r="C7" s="26" t="s">
        <v>52</v>
      </c>
      <c r="E7" s="20" t="s">
        <v>42</v>
      </c>
      <c r="F7" s="20" t="n">
        <v>184</v>
      </c>
      <c r="G7" s="20" t="n">
        <v>40.76</v>
      </c>
    </row>
    <row r="8" customFormat="false" ht="15.75" hidden="false" customHeight="false" outlineLevel="0" collapsed="false">
      <c r="A8" s="20" t="s">
        <v>39</v>
      </c>
      <c r="B8" s="20" t="n">
        <v>516</v>
      </c>
      <c r="C8" s="20" t="n">
        <v>25.58</v>
      </c>
    </row>
    <row r="9" customFormat="false" ht="15.75" hidden="false" customHeight="false" outlineLevel="0" collapsed="false">
      <c r="A9" s="20" t="s">
        <v>36</v>
      </c>
      <c r="B9" s="20" t="n">
        <v>113</v>
      </c>
      <c r="C9" s="20" t="n">
        <v>27.43</v>
      </c>
      <c r="E9" s="25" t="s">
        <v>53</v>
      </c>
      <c r="F9" s="25"/>
    </row>
    <row r="10" customFormat="false" ht="15.75" hidden="false" customHeight="false" outlineLevel="0" collapsed="false">
      <c r="A10" s="20" t="s">
        <v>38</v>
      </c>
      <c r="B10" s="20" t="n">
        <v>371</v>
      </c>
      <c r="C10" s="20" t="n">
        <v>36.93</v>
      </c>
      <c r="E10" s="26" t="s">
        <v>10</v>
      </c>
      <c r="F10" s="26" t="s">
        <v>54</v>
      </c>
    </row>
    <row r="11" customFormat="false" ht="15.75" hidden="false" customHeight="false" outlineLevel="0" collapsed="false">
      <c r="E11" s="20" t="s">
        <v>16</v>
      </c>
      <c r="F11" s="20" t="n">
        <v>2012.38</v>
      </c>
    </row>
    <row r="12" customFormat="false" ht="15.75" hidden="false" customHeight="false" outlineLevel="0" collapsed="false">
      <c r="A12" s="25" t="s">
        <v>55</v>
      </c>
      <c r="B12" s="25"/>
      <c r="C12" s="25"/>
      <c r="E12" s="20" t="s">
        <v>13</v>
      </c>
      <c r="F12" s="20" t="n">
        <v>1525.57</v>
      </c>
    </row>
    <row r="13" customFormat="false" ht="15.75" hidden="false" customHeight="false" outlineLevel="0" collapsed="false">
      <c r="A13" s="26" t="s">
        <v>34</v>
      </c>
      <c r="B13" s="26" t="s">
        <v>49</v>
      </c>
      <c r="C13" s="26" t="s">
        <v>56</v>
      </c>
    </row>
    <row r="14" customFormat="false" ht="15.75" hidden="false" customHeight="false" outlineLevel="0" collapsed="false">
      <c r="A14" s="20" t="s">
        <v>43</v>
      </c>
      <c r="B14" s="20" t="n">
        <v>136</v>
      </c>
      <c r="C14" s="20" t="n">
        <v>25</v>
      </c>
    </row>
    <row r="15" customFormat="false" ht="15.75" hidden="false" customHeight="false" outlineLevel="0" collapsed="false">
      <c r="A15" s="20" t="s">
        <v>39</v>
      </c>
      <c r="B15" s="20" t="n">
        <v>388</v>
      </c>
      <c r="C15" s="20" t="n">
        <v>27.58</v>
      </c>
    </row>
    <row r="16" customFormat="false" ht="15.75" hidden="false" customHeight="false" outlineLevel="0" collapsed="false">
      <c r="A16" s="20" t="s">
        <v>37</v>
      </c>
      <c r="B16" s="20" t="n">
        <v>476</v>
      </c>
      <c r="C16" s="20" t="n">
        <v>33.4</v>
      </c>
    </row>
  </sheetData>
  <mergeCells count="5">
    <mergeCell ref="A1:C1"/>
    <mergeCell ref="E1:G1"/>
    <mergeCell ref="A6:C6"/>
    <mergeCell ref="E9:F9"/>
    <mergeCell ref="A12:C12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F7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7.38"/>
    <col collapsed="false" customWidth="true" hidden="false" outlineLevel="0" max="5" min="5" style="0" width="26.12"/>
    <col collapsed="false" customWidth="true" hidden="false" outlineLevel="0" max="6" min="6" style="0" width="16.5"/>
    <col collapsed="false" customWidth="true" hidden="false" outlineLevel="0" max="7" min="7" style="0" width="16.89"/>
  </cols>
  <sheetData>
    <row r="1" customFormat="false" ht="15.75" hidden="false" customHeight="false" outlineLevel="0" collapsed="false">
      <c r="A1" s="27" t="s">
        <v>2</v>
      </c>
      <c r="B1" s="27"/>
    </row>
    <row r="2" customFormat="false" ht="15.75" hidden="false" customHeight="false" outlineLevel="0" collapsed="false">
      <c r="A2" s="28" t="s">
        <v>13</v>
      </c>
      <c r="B2" s="29" t="s">
        <v>16</v>
      </c>
      <c r="E2" s="27" t="s">
        <v>57</v>
      </c>
      <c r="F2" s="27"/>
    </row>
    <row r="3" customFormat="false" ht="15.75" hidden="false" customHeight="false" outlineLevel="0" collapsed="false">
      <c r="A3" s="30" t="n">
        <v>127.75</v>
      </c>
      <c r="B3" s="31" t="n">
        <v>221.26</v>
      </c>
      <c r="E3" s="32"/>
      <c r="F3" s="33"/>
    </row>
    <row r="4" customFormat="false" ht="15.75" hidden="false" customHeight="false" outlineLevel="0" collapsed="false">
      <c r="A4" s="30" t="n">
        <v>141.04</v>
      </c>
      <c r="B4" s="31" t="n">
        <v>221.26</v>
      </c>
      <c r="E4" s="34" t="s">
        <v>58</v>
      </c>
      <c r="F4" s="35" t="n">
        <f aca="false">TTEST(A:A,B:B,2,3)</f>
        <v>2.477691431E-005</v>
      </c>
    </row>
    <row r="5" customFormat="false" ht="15.75" hidden="false" customHeight="false" outlineLevel="0" collapsed="false">
      <c r="A5" s="30" t="n">
        <v>172.72</v>
      </c>
      <c r="B5" s="31" t="n">
        <v>228.93</v>
      </c>
      <c r="E5" s="36" t="s">
        <v>59</v>
      </c>
      <c r="F5" s="31"/>
    </row>
    <row r="6" customFormat="false" ht="15.75" hidden="false" customHeight="false" outlineLevel="0" collapsed="false">
      <c r="A6" s="30" t="n">
        <v>173.23</v>
      </c>
      <c r="B6" s="31" t="n">
        <v>311.2</v>
      </c>
      <c r="E6" s="37" t="s">
        <v>60</v>
      </c>
      <c r="F6" s="31"/>
    </row>
    <row r="7" customFormat="false" ht="15.75" hidden="false" customHeight="false" outlineLevel="0" collapsed="false">
      <c r="A7" s="30" t="n">
        <v>175.27</v>
      </c>
      <c r="B7" s="31" t="n">
        <v>319.89</v>
      </c>
      <c r="E7" s="30"/>
      <c r="F7" s="31"/>
    </row>
    <row r="8" customFormat="false" ht="15.75" hidden="false" customHeight="false" outlineLevel="0" collapsed="false">
      <c r="A8" s="30" t="n">
        <v>184.98</v>
      </c>
      <c r="B8" s="31" t="n">
        <v>326.53</v>
      </c>
      <c r="E8" s="30"/>
      <c r="F8" s="31"/>
    </row>
    <row r="9" customFormat="false" ht="90.25" hidden="false" customHeight="false" outlineLevel="0" collapsed="false">
      <c r="A9" s="30" t="n">
        <v>188.05</v>
      </c>
      <c r="B9" s="31" t="n">
        <v>334.19</v>
      </c>
      <c r="E9" s="38" t="s">
        <v>61</v>
      </c>
      <c r="F9" s="31"/>
    </row>
    <row r="10" customFormat="false" ht="90.25" hidden="false" customHeight="false" outlineLevel="0" collapsed="false">
      <c r="A10" s="30" t="n">
        <v>196.74</v>
      </c>
      <c r="B10" s="31" t="n">
        <v>344.41</v>
      </c>
      <c r="E10" s="39" t="s">
        <v>62</v>
      </c>
      <c r="F10" s="40"/>
    </row>
    <row r="11" customFormat="false" ht="15.75" hidden="false" customHeight="false" outlineLevel="0" collapsed="false">
      <c r="A11" s="30" t="n">
        <v>200.31</v>
      </c>
      <c r="B11" s="31" t="n">
        <v>349.52</v>
      </c>
    </row>
    <row r="12" customFormat="false" ht="15.75" hidden="false" customHeight="false" outlineLevel="0" collapsed="false">
      <c r="A12" s="30" t="n">
        <v>209</v>
      </c>
      <c r="B12" s="31" t="n">
        <v>350.04</v>
      </c>
    </row>
    <row r="13" customFormat="false" ht="15.75" hidden="false" customHeight="false" outlineLevel="0" collapsed="false">
      <c r="A13" s="30" t="n">
        <v>217.69</v>
      </c>
      <c r="B13" s="31" t="n">
        <v>353.1</v>
      </c>
      <c r="E13" s="27" t="s">
        <v>63</v>
      </c>
      <c r="F13" s="27"/>
    </row>
    <row r="14" customFormat="false" ht="15.75" hidden="false" customHeight="false" outlineLevel="0" collapsed="false">
      <c r="A14" s="30" t="n">
        <v>218.71</v>
      </c>
      <c r="B14" s="31" t="n">
        <v>356.17</v>
      </c>
      <c r="E14" s="41" t="s">
        <v>64</v>
      </c>
      <c r="F14" s="42" t="n">
        <f aca="false">ABS(AVERAGE(A3:A702)-AVERAGE(B3:B302))/SQRT((_xlfn.VAR.S(A3:A702)+_xlfn.VAR.S(B3:B302))/2)</f>
        <v>0.3152093497</v>
      </c>
    </row>
    <row r="15" customFormat="false" ht="15.75" hidden="false" customHeight="false" outlineLevel="0" collapsed="false">
      <c r="A15" s="30" t="n">
        <v>231.99</v>
      </c>
      <c r="B15" s="31" t="n">
        <v>362.3</v>
      </c>
      <c r="E15" s="30"/>
      <c r="F15" s="31"/>
    </row>
    <row r="16" customFormat="false" ht="39.55" hidden="false" customHeight="false" outlineLevel="0" collapsed="false">
      <c r="A16" s="30" t="n">
        <v>234.04</v>
      </c>
      <c r="B16" s="31" t="n">
        <v>367.41</v>
      </c>
      <c r="E16" s="43" t="s">
        <v>65</v>
      </c>
      <c r="F16" s="31"/>
    </row>
    <row r="17" customFormat="false" ht="39.55" hidden="false" customHeight="false" outlineLevel="0" collapsed="false">
      <c r="A17" s="30" t="n">
        <v>247.32</v>
      </c>
      <c r="B17" s="31" t="n">
        <v>371.5</v>
      </c>
      <c r="E17" s="44" t="s">
        <v>66</v>
      </c>
      <c r="F17" s="31"/>
    </row>
    <row r="18" customFormat="false" ht="39.55" hidden="false" customHeight="false" outlineLevel="0" collapsed="false">
      <c r="A18" s="30" t="n">
        <v>264.7</v>
      </c>
      <c r="B18" s="31" t="n">
        <v>378.65</v>
      </c>
      <c r="E18" s="45" t="s">
        <v>67</v>
      </c>
      <c r="F18" s="40"/>
    </row>
    <row r="19" customFormat="false" ht="15.75" hidden="false" customHeight="false" outlineLevel="0" collapsed="false">
      <c r="A19" s="30" t="n">
        <v>266.74</v>
      </c>
      <c r="B19" s="31" t="n">
        <v>380.7</v>
      </c>
    </row>
    <row r="20" customFormat="false" ht="15.75" hidden="false" customHeight="false" outlineLevel="0" collapsed="false">
      <c r="A20" s="30" t="n">
        <v>291.78</v>
      </c>
      <c r="B20" s="31" t="n">
        <v>383.25</v>
      </c>
    </row>
    <row r="21" customFormat="false" ht="15.75" hidden="false" customHeight="false" outlineLevel="0" collapsed="false">
      <c r="A21" s="30" t="n">
        <v>298.94</v>
      </c>
      <c r="B21" s="31" t="n">
        <v>387.85</v>
      </c>
    </row>
    <row r="22" customFormat="false" ht="15.75" hidden="false" customHeight="false" outlineLevel="0" collapsed="false">
      <c r="A22" s="30" t="n">
        <v>301.49</v>
      </c>
      <c r="B22" s="31" t="n">
        <v>391.43</v>
      </c>
    </row>
    <row r="23" customFormat="false" ht="15.75" hidden="false" customHeight="false" outlineLevel="0" collapsed="false">
      <c r="A23" s="30" t="n">
        <v>307.11</v>
      </c>
      <c r="B23" s="31" t="n">
        <v>406.25</v>
      </c>
    </row>
    <row r="24" customFormat="false" ht="15.75" hidden="false" customHeight="false" outlineLevel="0" collapsed="false">
      <c r="A24" s="30" t="n">
        <v>311.2</v>
      </c>
      <c r="B24" s="31" t="n">
        <v>407.27</v>
      </c>
    </row>
    <row r="25" customFormat="false" ht="15.75" hidden="false" customHeight="false" outlineLevel="0" collapsed="false">
      <c r="A25" s="30" t="n">
        <v>315.8</v>
      </c>
      <c r="B25" s="31" t="n">
        <v>409.82</v>
      </c>
    </row>
    <row r="26" customFormat="false" ht="15.75" hidden="false" customHeight="false" outlineLevel="0" collapsed="false">
      <c r="A26" s="30" t="n">
        <v>319.38</v>
      </c>
      <c r="B26" s="31" t="n">
        <v>427.2</v>
      </c>
    </row>
    <row r="27" customFormat="false" ht="15.75" hidden="false" customHeight="false" outlineLevel="0" collapsed="false">
      <c r="A27" s="30" t="n">
        <v>321.42</v>
      </c>
      <c r="B27" s="31" t="n">
        <v>451.72</v>
      </c>
    </row>
    <row r="28" customFormat="false" ht="15.75" hidden="false" customHeight="false" outlineLevel="0" collapsed="false">
      <c r="A28" s="30" t="n">
        <v>327.04</v>
      </c>
      <c r="B28" s="31" t="n">
        <v>453.77</v>
      </c>
    </row>
    <row r="29" customFormat="false" ht="15.75" hidden="false" customHeight="false" outlineLevel="0" collapsed="false">
      <c r="A29" s="30" t="n">
        <v>333.17</v>
      </c>
      <c r="B29" s="31" t="n">
        <v>459.9</v>
      </c>
    </row>
    <row r="30" customFormat="false" ht="15.75" hidden="false" customHeight="false" outlineLevel="0" collapsed="false">
      <c r="A30" s="30" t="n">
        <v>337.26</v>
      </c>
      <c r="B30" s="31" t="n">
        <v>460.92</v>
      </c>
    </row>
    <row r="31" customFormat="false" ht="15.75" hidden="false" customHeight="false" outlineLevel="0" collapsed="false">
      <c r="A31" s="30" t="n">
        <v>338.28</v>
      </c>
      <c r="B31" s="31" t="n">
        <v>467.57</v>
      </c>
    </row>
    <row r="32" customFormat="false" ht="15.75" hidden="false" customHeight="false" outlineLevel="0" collapsed="false">
      <c r="A32" s="30" t="n">
        <v>340.33</v>
      </c>
      <c r="B32" s="31" t="n">
        <v>469.1</v>
      </c>
    </row>
    <row r="33" customFormat="false" ht="15.75" hidden="false" customHeight="false" outlineLevel="0" collapsed="false">
      <c r="A33" s="30" t="n">
        <v>343.39</v>
      </c>
      <c r="B33" s="31" t="n">
        <v>475.74</v>
      </c>
    </row>
    <row r="34" customFormat="false" ht="15.75" hidden="false" customHeight="false" outlineLevel="0" collapsed="false">
      <c r="A34" s="30" t="n">
        <v>348.5</v>
      </c>
      <c r="B34" s="31" t="n">
        <v>479.83</v>
      </c>
    </row>
    <row r="35" customFormat="false" ht="15.75" hidden="false" customHeight="false" outlineLevel="0" collapsed="false">
      <c r="A35" s="30" t="n">
        <v>349.01</v>
      </c>
      <c r="B35" s="31" t="n">
        <v>483.92</v>
      </c>
    </row>
    <row r="36" customFormat="false" ht="15.75" hidden="false" customHeight="false" outlineLevel="0" collapsed="false">
      <c r="A36" s="30" t="n">
        <v>357.7</v>
      </c>
      <c r="B36" s="31" t="n">
        <v>485.45</v>
      </c>
    </row>
    <row r="37" customFormat="false" ht="15.75" hidden="false" customHeight="false" outlineLevel="0" collapsed="false">
      <c r="A37" s="30" t="n">
        <v>358.21</v>
      </c>
      <c r="B37" s="31" t="n">
        <v>485.96</v>
      </c>
    </row>
    <row r="38" customFormat="false" ht="15.75" hidden="false" customHeight="false" outlineLevel="0" collapsed="false">
      <c r="A38" s="30" t="n">
        <v>358.21</v>
      </c>
      <c r="B38" s="31" t="n">
        <v>490.05</v>
      </c>
    </row>
    <row r="39" customFormat="false" ht="15.75" hidden="false" customHeight="false" outlineLevel="0" collapsed="false">
      <c r="A39" s="30" t="n">
        <v>361.28</v>
      </c>
      <c r="B39" s="31" t="n">
        <v>498.74</v>
      </c>
    </row>
    <row r="40" customFormat="false" ht="15.75" hidden="false" customHeight="false" outlineLevel="0" collapsed="false">
      <c r="A40" s="30" t="n">
        <v>361.79</v>
      </c>
      <c r="B40" s="31" t="n">
        <v>523.26</v>
      </c>
    </row>
    <row r="41" customFormat="false" ht="15.75" hidden="false" customHeight="false" outlineLevel="0" collapsed="false">
      <c r="A41" s="30" t="n">
        <v>362.3</v>
      </c>
      <c r="B41" s="31" t="n">
        <v>532.46</v>
      </c>
    </row>
    <row r="42" customFormat="false" ht="15.75" hidden="false" customHeight="false" outlineLevel="0" collapsed="false">
      <c r="A42" s="30" t="n">
        <v>366.39</v>
      </c>
      <c r="B42" s="31" t="n">
        <v>539.62</v>
      </c>
    </row>
    <row r="43" customFormat="false" ht="15.75" hidden="false" customHeight="false" outlineLevel="0" collapsed="false">
      <c r="A43" s="30" t="n">
        <v>366.39</v>
      </c>
      <c r="B43" s="31" t="n">
        <v>552.9</v>
      </c>
    </row>
    <row r="44" customFormat="false" ht="15.75" hidden="false" customHeight="false" outlineLevel="0" collapsed="false">
      <c r="A44" s="30" t="n">
        <v>371.5</v>
      </c>
      <c r="B44" s="31" t="n">
        <v>566.19</v>
      </c>
    </row>
    <row r="45" customFormat="false" ht="15.75" hidden="false" customHeight="false" outlineLevel="0" collapsed="false">
      <c r="A45" s="30" t="n">
        <v>373.03</v>
      </c>
      <c r="B45" s="31" t="n">
        <v>573.85</v>
      </c>
    </row>
    <row r="46" customFormat="false" ht="15.75" hidden="false" customHeight="false" outlineLevel="0" collapsed="false">
      <c r="A46" s="30" t="n">
        <v>373.54</v>
      </c>
      <c r="B46" s="31" t="n">
        <v>577.94</v>
      </c>
    </row>
    <row r="47" customFormat="false" ht="15.75" hidden="false" customHeight="false" outlineLevel="0" collapsed="false">
      <c r="A47" s="30" t="n">
        <v>384.78</v>
      </c>
      <c r="B47" s="31" t="n">
        <v>580.5</v>
      </c>
    </row>
    <row r="48" customFormat="false" ht="15.75" hidden="false" customHeight="false" outlineLevel="0" collapsed="false">
      <c r="A48" s="30" t="n">
        <v>385.29</v>
      </c>
      <c r="B48" s="31" t="n">
        <v>607.07</v>
      </c>
    </row>
    <row r="49" customFormat="false" ht="15.75" hidden="false" customHeight="false" outlineLevel="0" collapsed="false">
      <c r="A49" s="30" t="n">
        <v>388.36</v>
      </c>
      <c r="B49" s="31" t="n">
        <v>608.09</v>
      </c>
    </row>
    <row r="50" customFormat="false" ht="15.75" hidden="false" customHeight="false" outlineLevel="0" collapsed="false">
      <c r="A50" s="30" t="n">
        <v>389.89</v>
      </c>
      <c r="B50" s="31" t="n">
        <v>609.62</v>
      </c>
    </row>
    <row r="51" customFormat="false" ht="15.75" hidden="false" customHeight="false" outlineLevel="0" collapsed="false">
      <c r="A51" s="30" t="n">
        <v>396.54</v>
      </c>
      <c r="B51" s="31" t="n">
        <v>612.18</v>
      </c>
    </row>
    <row r="52" customFormat="false" ht="15.75" hidden="false" customHeight="false" outlineLevel="0" collapsed="false">
      <c r="A52" s="30" t="n">
        <v>399.09</v>
      </c>
      <c r="B52" s="31" t="n">
        <v>612.69</v>
      </c>
    </row>
    <row r="53" customFormat="false" ht="15.75" hidden="false" customHeight="false" outlineLevel="0" collapsed="false">
      <c r="A53" s="30" t="n">
        <v>400.11</v>
      </c>
      <c r="B53" s="31" t="n">
        <v>616.78</v>
      </c>
    </row>
    <row r="54" customFormat="false" ht="15.75" hidden="false" customHeight="false" outlineLevel="0" collapsed="false">
      <c r="A54" s="30" t="n">
        <v>403.69</v>
      </c>
      <c r="B54" s="31" t="n">
        <v>617.8</v>
      </c>
    </row>
    <row r="55" customFormat="false" ht="15.75" hidden="false" customHeight="false" outlineLevel="0" collapsed="false">
      <c r="A55" s="30" t="n">
        <v>409.82</v>
      </c>
      <c r="B55" s="31" t="n">
        <v>621.38</v>
      </c>
    </row>
    <row r="56" customFormat="false" ht="15.75" hidden="false" customHeight="false" outlineLevel="0" collapsed="false">
      <c r="A56" s="30" t="n">
        <v>410.84</v>
      </c>
      <c r="B56" s="31" t="n">
        <v>621.38</v>
      </c>
    </row>
    <row r="57" customFormat="false" ht="15.75" hidden="false" customHeight="false" outlineLevel="0" collapsed="false">
      <c r="A57" s="30" t="n">
        <v>411.87</v>
      </c>
      <c r="B57" s="31" t="n">
        <v>621.89</v>
      </c>
    </row>
    <row r="58" customFormat="false" ht="15.75" hidden="false" customHeight="false" outlineLevel="0" collapsed="false">
      <c r="A58" s="30" t="n">
        <v>429.75</v>
      </c>
      <c r="B58" s="31" t="n">
        <v>624.95</v>
      </c>
    </row>
    <row r="59" customFormat="false" ht="15.75" hidden="false" customHeight="false" outlineLevel="0" collapsed="false">
      <c r="A59" s="30" t="n">
        <v>432.31</v>
      </c>
      <c r="B59" s="31" t="n">
        <v>627.51</v>
      </c>
    </row>
    <row r="60" customFormat="false" ht="15.75" hidden="false" customHeight="false" outlineLevel="0" collapsed="false">
      <c r="A60" s="30" t="n">
        <v>439.46</v>
      </c>
      <c r="B60" s="31" t="n">
        <v>632.11</v>
      </c>
    </row>
    <row r="61" customFormat="false" ht="15.75" hidden="false" customHeight="false" outlineLevel="0" collapsed="false">
      <c r="A61" s="30" t="n">
        <v>442.53</v>
      </c>
      <c r="B61" s="31" t="n">
        <v>633.64</v>
      </c>
    </row>
    <row r="62" customFormat="false" ht="15.75" hidden="false" customHeight="false" outlineLevel="0" collapsed="false">
      <c r="A62" s="30" t="n">
        <v>446.61</v>
      </c>
      <c r="B62" s="31" t="n">
        <v>636.2</v>
      </c>
    </row>
    <row r="63" customFormat="false" ht="15.75" hidden="false" customHeight="false" outlineLevel="0" collapsed="false">
      <c r="A63" s="30" t="n">
        <v>450.7</v>
      </c>
      <c r="B63" s="31" t="n">
        <v>636.71</v>
      </c>
    </row>
    <row r="64" customFormat="false" ht="15.75" hidden="false" customHeight="false" outlineLevel="0" collapsed="false">
      <c r="A64" s="30" t="n">
        <v>452.75</v>
      </c>
      <c r="B64" s="31" t="n">
        <v>645.9</v>
      </c>
    </row>
    <row r="65" customFormat="false" ht="15.75" hidden="false" customHeight="false" outlineLevel="0" collapsed="false">
      <c r="A65" s="30" t="n">
        <v>456.83</v>
      </c>
      <c r="B65" s="31" t="n">
        <v>649.48</v>
      </c>
    </row>
    <row r="66" customFormat="false" ht="15.75" hidden="false" customHeight="false" outlineLevel="0" collapsed="false">
      <c r="A66" s="30" t="n">
        <v>463.48</v>
      </c>
      <c r="B66" s="31" t="n">
        <v>651.01</v>
      </c>
    </row>
    <row r="67" customFormat="false" ht="15.75" hidden="false" customHeight="false" outlineLevel="0" collapsed="false">
      <c r="A67" s="30" t="n">
        <v>464.5</v>
      </c>
      <c r="B67" s="31" t="n">
        <v>651.53</v>
      </c>
    </row>
    <row r="68" customFormat="false" ht="15.75" hidden="false" customHeight="false" outlineLevel="0" collapsed="false">
      <c r="A68" s="30" t="n">
        <v>473.19</v>
      </c>
      <c r="B68" s="31" t="n">
        <v>655.1</v>
      </c>
    </row>
    <row r="69" customFormat="false" ht="15.75" hidden="false" customHeight="false" outlineLevel="0" collapsed="false">
      <c r="A69" s="30" t="n">
        <v>474.72</v>
      </c>
      <c r="B69" s="31" t="n">
        <v>655.1</v>
      </c>
    </row>
    <row r="70" customFormat="false" ht="15.75" hidden="false" customHeight="false" outlineLevel="0" collapsed="false">
      <c r="A70" s="30" t="n">
        <v>475.23</v>
      </c>
      <c r="B70" s="31" t="n">
        <v>656.64</v>
      </c>
    </row>
    <row r="71" customFormat="false" ht="15.75" hidden="false" customHeight="false" outlineLevel="0" collapsed="false">
      <c r="A71" s="30" t="n">
        <v>476.25</v>
      </c>
      <c r="B71" s="31" t="n">
        <v>661.75</v>
      </c>
    </row>
    <row r="72" customFormat="false" ht="15.75" hidden="false" customHeight="false" outlineLevel="0" collapsed="false">
      <c r="A72" s="30" t="n">
        <v>476.25</v>
      </c>
      <c r="B72" s="31" t="n">
        <v>668.9</v>
      </c>
    </row>
    <row r="73" customFormat="false" ht="15.75" hidden="false" customHeight="false" outlineLevel="0" collapsed="false">
      <c r="A73" s="30" t="n">
        <v>478.3</v>
      </c>
      <c r="B73" s="31" t="n">
        <v>680.14</v>
      </c>
    </row>
    <row r="74" customFormat="false" ht="15.75" hidden="false" customHeight="false" outlineLevel="0" collapsed="false">
      <c r="A74" s="30" t="n">
        <v>478.81</v>
      </c>
      <c r="B74" s="31" t="n">
        <v>681.16</v>
      </c>
    </row>
    <row r="75" customFormat="false" ht="15.75" hidden="false" customHeight="false" outlineLevel="0" collapsed="false">
      <c r="A75" s="30" t="n">
        <v>489.54</v>
      </c>
      <c r="B75" s="31" t="n">
        <v>683.21</v>
      </c>
    </row>
    <row r="76" customFormat="false" ht="15.75" hidden="false" customHeight="false" outlineLevel="0" collapsed="false">
      <c r="A76" s="30" t="n">
        <v>490.56</v>
      </c>
      <c r="B76" s="31" t="n">
        <v>686.78</v>
      </c>
    </row>
    <row r="77" customFormat="false" ht="15.75" hidden="false" customHeight="false" outlineLevel="0" collapsed="false">
      <c r="A77" s="30" t="n">
        <v>498.23</v>
      </c>
      <c r="B77" s="31" t="n">
        <v>687.3</v>
      </c>
    </row>
    <row r="78" customFormat="false" ht="15.75" hidden="false" customHeight="false" outlineLevel="0" collapsed="false">
      <c r="A78" s="30" t="n">
        <v>498.74</v>
      </c>
      <c r="B78" s="31" t="n">
        <v>692.41</v>
      </c>
    </row>
    <row r="79" customFormat="false" ht="15.75" hidden="false" customHeight="false" outlineLevel="0" collapsed="false">
      <c r="A79" s="30" t="n">
        <v>502.31</v>
      </c>
      <c r="B79" s="31" t="n">
        <v>693.94</v>
      </c>
    </row>
    <row r="80" customFormat="false" ht="15.75" hidden="false" customHeight="false" outlineLevel="0" collapsed="false">
      <c r="A80" s="30" t="n">
        <v>508.96</v>
      </c>
      <c r="B80" s="31" t="n">
        <v>698.03</v>
      </c>
    </row>
    <row r="81" customFormat="false" ht="15.75" hidden="false" customHeight="false" outlineLevel="0" collapsed="false">
      <c r="A81" s="30" t="n">
        <v>510.49</v>
      </c>
      <c r="B81" s="31" t="n">
        <v>700.58</v>
      </c>
    </row>
    <row r="82" customFormat="false" ht="15.75" hidden="false" customHeight="false" outlineLevel="0" collapsed="false">
      <c r="A82" s="30" t="n">
        <v>514.58</v>
      </c>
      <c r="B82" s="31" t="n">
        <v>701.09</v>
      </c>
    </row>
    <row r="83" customFormat="false" ht="15.75" hidden="false" customHeight="false" outlineLevel="0" collapsed="false">
      <c r="A83" s="30" t="n">
        <v>525.31</v>
      </c>
      <c r="B83" s="31" t="n">
        <v>705.69</v>
      </c>
    </row>
    <row r="84" customFormat="false" ht="15.75" hidden="false" customHeight="false" outlineLevel="0" collapsed="false">
      <c r="A84" s="30" t="n">
        <v>529.91</v>
      </c>
      <c r="B84" s="31" t="n">
        <v>708.25</v>
      </c>
    </row>
    <row r="85" customFormat="false" ht="15.75" hidden="false" customHeight="false" outlineLevel="0" collapsed="false">
      <c r="A85" s="30" t="n">
        <v>530.42</v>
      </c>
      <c r="B85" s="31" t="n">
        <v>726.64</v>
      </c>
    </row>
    <row r="86" customFormat="false" ht="15.75" hidden="false" customHeight="false" outlineLevel="0" collapsed="false">
      <c r="A86" s="30" t="n">
        <v>535.02</v>
      </c>
      <c r="B86" s="31" t="n">
        <v>734.31</v>
      </c>
    </row>
    <row r="87" customFormat="false" ht="15.75" hidden="false" customHeight="false" outlineLevel="0" collapsed="false">
      <c r="A87" s="30" t="n">
        <v>535.53</v>
      </c>
      <c r="B87" s="31" t="n">
        <v>736.86</v>
      </c>
    </row>
    <row r="88" customFormat="false" ht="15.75" hidden="false" customHeight="false" outlineLevel="0" collapsed="false">
      <c r="A88" s="30" t="n">
        <v>536.04</v>
      </c>
      <c r="B88" s="31" t="n">
        <v>736.86</v>
      </c>
    </row>
    <row r="89" customFormat="false" ht="15.75" hidden="false" customHeight="false" outlineLevel="0" collapsed="false">
      <c r="A89" s="30" t="n">
        <v>536.55</v>
      </c>
      <c r="B89" s="31" t="n">
        <v>755.26</v>
      </c>
    </row>
    <row r="90" customFormat="false" ht="15.75" hidden="false" customHeight="false" outlineLevel="0" collapsed="false">
      <c r="A90" s="30" t="n">
        <v>538.08</v>
      </c>
      <c r="B90" s="31" t="n">
        <v>758.32</v>
      </c>
    </row>
    <row r="91" customFormat="false" ht="15.75" hidden="false" customHeight="false" outlineLevel="0" collapsed="false">
      <c r="A91" s="30" t="n">
        <v>539.11</v>
      </c>
      <c r="B91" s="31" t="n">
        <v>767.01</v>
      </c>
    </row>
    <row r="92" customFormat="false" ht="15.75" hidden="false" customHeight="false" outlineLevel="0" collapsed="false">
      <c r="A92" s="30" t="n">
        <v>545.75</v>
      </c>
      <c r="B92" s="31" t="n">
        <v>772.63</v>
      </c>
    </row>
    <row r="93" customFormat="false" ht="15.75" hidden="false" customHeight="false" outlineLevel="0" collapsed="false">
      <c r="A93" s="30" t="n">
        <v>549.84</v>
      </c>
      <c r="B93" s="31" t="n">
        <v>781.83</v>
      </c>
    </row>
    <row r="94" customFormat="false" ht="15.75" hidden="false" customHeight="false" outlineLevel="0" collapsed="false">
      <c r="A94" s="30" t="n">
        <v>552.9</v>
      </c>
      <c r="B94" s="31" t="n">
        <v>783.36</v>
      </c>
    </row>
    <row r="95" customFormat="false" ht="15.75" hidden="false" customHeight="false" outlineLevel="0" collapsed="false">
      <c r="A95" s="30" t="n">
        <v>558.01</v>
      </c>
      <c r="B95" s="31" t="n">
        <v>783.87</v>
      </c>
    </row>
    <row r="96" customFormat="false" ht="15.75" hidden="false" customHeight="false" outlineLevel="0" collapsed="false">
      <c r="A96" s="30" t="n">
        <v>561.08</v>
      </c>
      <c r="B96" s="31" t="n">
        <v>790.01</v>
      </c>
    </row>
    <row r="97" customFormat="false" ht="15.75" hidden="false" customHeight="false" outlineLevel="0" collapsed="false">
      <c r="A97" s="30" t="n">
        <v>562.61</v>
      </c>
      <c r="B97" s="31" t="n">
        <v>793.58</v>
      </c>
    </row>
    <row r="98" customFormat="false" ht="15.75" hidden="false" customHeight="false" outlineLevel="0" collapsed="false">
      <c r="A98" s="30" t="n">
        <v>563.63</v>
      </c>
      <c r="B98" s="31" t="n">
        <v>794.61</v>
      </c>
    </row>
    <row r="99" customFormat="false" ht="15.75" hidden="false" customHeight="false" outlineLevel="0" collapsed="false">
      <c r="A99" s="30" t="n">
        <v>565.68</v>
      </c>
      <c r="B99" s="31" t="n">
        <v>841.62</v>
      </c>
    </row>
    <row r="100" customFormat="false" ht="15.75" hidden="false" customHeight="false" outlineLevel="0" collapsed="false">
      <c r="A100" s="30" t="n">
        <v>568.74</v>
      </c>
      <c r="B100" s="31" t="n">
        <v>847.75</v>
      </c>
    </row>
    <row r="101" customFormat="false" ht="15.75" hidden="false" customHeight="false" outlineLevel="0" collapsed="false">
      <c r="A101" s="30" t="n">
        <v>575.39</v>
      </c>
      <c r="B101" s="31" t="n">
        <v>853.37</v>
      </c>
    </row>
    <row r="102" customFormat="false" ht="15.75" hidden="false" customHeight="false" outlineLevel="0" collapsed="false">
      <c r="A102" s="30" t="n">
        <v>575.39</v>
      </c>
      <c r="B102" s="31" t="n">
        <v>908.56</v>
      </c>
    </row>
    <row r="103" customFormat="false" ht="15.75" hidden="false" customHeight="false" outlineLevel="0" collapsed="false">
      <c r="A103" s="30" t="n">
        <v>581.52</v>
      </c>
      <c r="B103" s="31" t="n">
        <v>923.89</v>
      </c>
    </row>
    <row r="104" customFormat="false" ht="15.75" hidden="false" customHeight="false" outlineLevel="0" collapsed="false">
      <c r="A104" s="30" t="n">
        <v>587.14</v>
      </c>
      <c r="B104" s="31" t="n">
        <v>929.51</v>
      </c>
    </row>
    <row r="105" customFormat="false" ht="15.75" hidden="false" customHeight="false" outlineLevel="0" collapsed="false">
      <c r="A105" s="30" t="n">
        <v>589.69</v>
      </c>
      <c r="B105" s="31" t="n">
        <v>931.55</v>
      </c>
    </row>
    <row r="106" customFormat="false" ht="15.75" hidden="false" customHeight="false" outlineLevel="0" collapsed="false">
      <c r="A106" s="30" t="n">
        <v>589.69</v>
      </c>
      <c r="B106" s="31" t="n">
        <v>937.69</v>
      </c>
    </row>
    <row r="107" customFormat="false" ht="15.75" hidden="false" customHeight="false" outlineLevel="0" collapsed="false">
      <c r="A107" s="30" t="n">
        <v>590.21</v>
      </c>
      <c r="B107" s="31" t="n">
        <v>938.71</v>
      </c>
    </row>
    <row r="108" customFormat="false" ht="15.75" hidden="false" customHeight="false" outlineLevel="0" collapsed="false">
      <c r="A108" s="30" t="n">
        <v>591.74</v>
      </c>
      <c r="B108" s="31" t="n">
        <v>941.26</v>
      </c>
    </row>
    <row r="109" customFormat="false" ht="15.75" hidden="false" customHeight="false" outlineLevel="0" collapsed="false">
      <c r="A109" s="30" t="n">
        <v>594.29</v>
      </c>
      <c r="B109" s="31" t="n">
        <v>942.8</v>
      </c>
    </row>
    <row r="110" customFormat="false" ht="15.75" hidden="false" customHeight="false" outlineLevel="0" collapsed="false">
      <c r="A110" s="30" t="n">
        <v>594.8</v>
      </c>
      <c r="B110" s="31" t="n">
        <v>952.5</v>
      </c>
    </row>
    <row r="111" customFormat="false" ht="15.75" hidden="false" customHeight="false" outlineLevel="0" collapsed="false">
      <c r="A111" s="30" t="n">
        <v>596.85</v>
      </c>
      <c r="B111" s="31" t="n">
        <v>961.7</v>
      </c>
    </row>
    <row r="112" customFormat="false" ht="15.75" hidden="false" customHeight="false" outlineLevel="0" collapsed="false">
      <c r="A112" s="30" t="n">
        <v>597.36</v>
      </c>
      <c r="B112" s="31" t="n">
        <v>974.99</v>
      </c>
    </row>
    <row r="113" customFormat="false" ht="15.75" hidden="false" customHeight="false" outlineLevel="0" collapsed="false">
      <c r="A113" s="30" t="n">
        <v>597.36</v>
      </c>
      <c r="B113" s="31" t="n">
        <v>980.61</v>
      </c>
    </row>
    <row r="114" customFormat="false" ht="15.75" hidden="false" customHeight="false" outlineLevel="0" collapsed="false">
      <c r="A114" s="30" t="n">
        <v>600.43</v>
      </c>
      <c r="B114" s="31" t="n">
        <v>982.14</v>
      </c>
    </row>
    <row r="115" customFormat="false" ht="15.75" hidden="false" customHeight="false" outlineLevel="0" collapsed="false">
      <c r="A115" s="30" t="n">
        <v>605.54</v>
      </c>
      <c r="B115" s="31" t="n">
        <v>983.16</v>
      </c>
    </row>
    <row r="116" customFormat="false" ht="15.75" hidden="false" customHeight="false" outlineLevel="0" collapsed="false">
      <c r="A116" s="30" t="n">
        <v>612.69</v>
      </c>
      <c r="B116" s="31" t="n">
        <v>985.21</v>
      </c>
    </row>
    <row r="117" customFormat="false" ht="15.75" hidden="false" customHeight="false" outlineLevel="0" collapsed="false">
      <c r="A117" s="30" t="n">
        <v>613.2</v>
      </c>
      <c r="B117" s="31" t="n">
        <v>988.79</v>
      </c>
    </row>
    <row r="118" customFormat="false" ht="15.75" hidden="false" customHeight="false" outlineLevel="0" collapsed="false">
      <c r="A118" s="30" t="n">
        <v>613.71</v>
      </c>
      <c r="B118" s="31" t="n">
        <v>990.32</v>
      </c>
    </row>
    <row r="119" customFormat="false" ht="15.75" hidden="false" customHeight="false" outlineLevel="0" collapsed="false">
      <c r="A119" s="30" t="n">
        <v>614.73</v>
      </c>
      <c r="B119" s="31" t="n">
        <v>992.87</v>
      </c>
    </row>
    <row r="120" customFormat="false" ht="15.75" hidden="false" customHeight="false" outlineLevel="0" collapsed="false">
      <c r="A120" s="30" t="n">
        <v>615.24</v>
      </c>
      <c r="B120" s="31" t="n">
        <v>997.98</v>
      </c>
    </row>
    <row r="121" customFormat="false" ht="15.75" hidden="false" customHeight="false" outlineLevel="0" collapsed="false">
      <c r="A121" s="30" t="n">
        <v>616.27</v>
      </c>
      <c r="B121" s="31" t="n">
        <v>1010.25</v>
      </c>
    </row>
    <row r="122" customFormat="false" ht="15.75" hidden="false" customHeight="false" outlineLevel="0" collapsed="false">
      <c r="A122" s="30" t="n">
        <v>619.84</v>
      </c>
      <c r="B122" s="31" t="n">
        <v>1011.78</v>
      </c>
    </row>
    <row r="123" customFormat="false" ht="15.75" hidden="false" customHeight="false" outlineLevel="0" collapsed="false">
      <c r="A123" s="30" t="n">
        <v>623.93</v>
      </c>
      <c r="B123" s="31" t="n">
        <v>1015.36</v>
      </c>
    </row>
    <row r="124" customFormat="false" ht="15.75" hidden="false" customHeight="false" outlineLevel="0" collapsed="false">
      <c r="A124" s="30" t="n">
        <v>625.46</v>
      </c>
      <c r="B124" s="31" t="n">
        <v>1041.93</v>
      </c>
    </row>
    <row r="125" customFormat="false" ht="15.75" hidden="false" customHeight="false" outlineLevel="0" collapsed="false">
      <c r="A125" s="30" t="n">
        <v>625.98</v>
      </c>
      <c r="B125" s="31" t="n">
        <v>1041.93</v>
      </c>
    </row>
    <row r="126" customFormat="false" ht="15.75" hidden="false" customHeight="false" outlineLevel="0" collapsed="false">
      <c r="A126" s="30" t="n">
        <v>629.04</v>
      </c>
      <c r="B126" s="31" t="n">
        <v>1054.7</v>
      </c>
    </row>
    <row r="127" customFormat="false" ht="15.75" hidden="false" customHeight="false" outlineLevel="0" collapsed="false">
      <c r="A127" s="30" t="n">
        <v>629.04</v>
      </c>
      <c r="B127" s="31" t="n">
        <v>1073.1</v>
      </c>
    </row>
    <row r="128" customFormat="false" ht="15.75" hidden="false" customHeight="false" outlineLevel="0" collapsed="false">
      <c r="A128" s="30" t="n">
        <v>631.6</v>
      </c>
      <c r="B128" s="31" t="n">
        <v>1085.36</v>
      </c>
    </row>
    <row r="129" customFormat="false" ht="15.75" hidden="false" customHeight="false" outlineLevel="0" collapsed="false">
      <c r="A129" s="30" t="n">
        <v>631.6</v>
      </c>
      <c r="B129" s="31" t="n">
        <v>1096.1</v>
      </c>
    </row>
    <row r="130" customFormat="false" ht="15.75" hidden="false" customHeight="false" outlineLevel="0" collapsed="false">
      <c r="A130" s="30" t="n">
        <v>632.11</v>
      </c>
      <c r="B130" s="31" t="n">
        <v>1098.14</v>
      </c>
    </row>
    <row r="131" customFormat="false" ht="15.75" hidden="false" customHeight="false" outlineLevel="0" collapsed="false">
      <c r="A131" s="30" t="n">
        <v>632.62</v>
      </c>
      <c r="B131" s="31" t="n">
        <v>1098.65</v>
      </c>
    </row>
    <row r="132" customFormat="false" ht="15.75" hidden="false" customHeight="false" outlineLevel="0" collapsed="false">
      <c r="A132" s="30" t="n">
        <v>633.13</v>
      </c>
      <c r="B132" s="31" t="n">
        <v>1108.36</v>
      </c>
    </row>
    <row r="133" customFormat="false" ht="15.75" hidden="false" customHeight="false" outlineLevel="0" collapsed="false">
      <c r="A133" s="30" t="n">
        <v>633.64</v>
      </c>
      <c r="B133" s="31" t="n">
        <v>1129.31</v>
      </c>
    </row>
    <row r="134" customFormat="false" ht="15.75" hidden="false" customHeight="false" outlineLevel="0" collapsed="false">
      <c r="A134" s="30" t="n">
        <v>635.68</v>
      </c>
      <c r="B134" s="31" t="n">
        <v>1136.98</v>
      </c>
    </row>
    <row r="135" customFormat="false" ht="15.75" hidden="false" customHeight="false" outlineLevel="0" collapsed="false">
      <c r="A135" s="30" t="n">
        <v>638.24</v>
      </c>
      <c r="B135" s="31" t="n">
        <v>1142.09</v>
      </c>
    </row>
    <row r="136" customFormat="false" ht="15.75" hidden="false" customHeight="false" outlineLevel="0" collapsed="false">
      <c r="A136" s="30" t="n">
        <v>641.31</v>
      </c>
      <c r="B136" s="31" t="n">
        <v>1147.71</v>
      </c>
    </row>
    <row r="137" customFormat="false" ht="15.75" hidden="false" customHeight="false" outlineLevel="0" collapsed="false">
      <c r="A137" s="30" t="n">
        <v>642.84</v>
      </c>
      <c r="B137" s="31" t="n">
        <v>1164.06</v>
      </c>
    </row>
    <row r="138" customFormat="false" ht="15.75" hidden="false" customHeight="false" outlineLevel="0" collapsed="false">
      <c r="A138" s="30" t="n">
        <v>642.84</v>
      </c>
      <c r="B138" s="31" t="n">
        <v>1171.21</v>
      </c>
    </row>
    <row r="139" customFormat="false" ht="15.75" hidden="false" customHeight="false" outlineLevel="0" collapsed="false">
      <c r="A139" s="30" t="n">
        <v>642.84</v>
      </c>
      <c r="B139" s="31" t="n">
        <v>1176.32</v>
      </c>
    </row>
    <row r="140" customFormat="false" ht="15.75" hidden="false" customHeight="false" outlineLevel="0" collapsed="false">
      <c r="A140" s="30" t="n">
        <v>644.88</v>
      </c>
      <c r="B140" s="31" t="n">
        <v>1176.83</v>
      </c>
    </row>
    <row r="141" customFormat="false" ht="15.75" hidden="false" customHeight="false" outlineLevel="0" collapsed="false">
      <c r="A141" s="30" t="n">
        <v>644.88</v>
      </c>
      <c r="B141" s="31" t="n">
        <v>1185.01</v>
      </c>
    </row>
    <row r="142" customFormat="false" ht="15.75" hidden="false" customHeight="false" outlineLevel="0" collapsed="false">
      <c r="A142" s="30" t="n">
        <v>644.88</v>
      </c>
      <c r="B142" s="31" t="n">
        <v>1189.1</v>
      </c>
    </row>
    <row r="143" customFormat="false" ht="15.75" hidden="false" customHeight="false" outlineLevel="0" collapsed="false">
      <c r="A143" s="30" t="n">
        <v>645.9</v>
      </c>
      <c r="B143" s="31" t="n">
        <v>1205.45</v>
      </c>
    </row>
    <row r="144" customFormat="false" ht="15.75" hidden="false" customHeight="false" outlineLevel="0" collapsed="false">
      <c r="A144" s="30" t="n">
        <v>651.53</v>
      </c>
      <c r="B144" s="31" t="n">
        <v>1218.22</v>
      </c>
    </row>
    <row r="145" customFormat="false" ht="15.75" hidden="false" customHeight="false" outlineLevel="0" collapsed="false">
      <c r="A145" s="30" t="n">
        <v>651.53</v>
      </c>
      <c r="B145" s="31" t="n">
        <v>1224.87</v>
      </c>
    </row>
    <row r="146" customFormat="false" ht="15.75" hidden="false" customHeight="false" outlineLevel="0" collapsed="false">
      <c r="A146" s="30" t="n">
        <v>653.06</v>
      </c>
      <c r="B146" s="31" t="n">
        <v>1229.47</v>
      </c>
    </row>
    <row r="147" customFormat="false" ht="15.75" hidden="false" customHeight="false" outlineLevel="0" collapsed="false">
      <c r="A147" s="30" t="n">
        <v>655.61</v>
      </c>
      <c r="B147" s="31" t="n">
        <v>1246.33</v>
      </c>
    </row>
    <row r="148" customFormat="false" ht="15.75" hidden="false" customHeight="false" outlineLevel="0" collapsed="false">
      <c r="A148" s="30" t="n">
        <v>657.66</v>
      </c>
      <c r="B148" s="31" t="n">
        <v>1258.08</v>
      </c>
    </row>
    <row r="149" customFormat="false" ht="15.75" hidden="false" customHeight="false" outlineLevel="0" collapsed="false">
      <c r="A149" s="30" t="n">
        <v>657.66</v>
      </c>
      <c r="B149" s="31" t="n">
        <v>1263.7</v>
      </c>
    </row>
    <row r="150" customFormat="false" ht="15.75" hidden="false" customHeight="false" outlineLevel="0" collapsed="false">
      <c r="A150" s="30" t="n">
        <v>658.17</v>
      </c>
      <c r="B150" s="31" t="n">
        <v>1287.72</v>
      </c>
    </row>
    <row r="151" customFormat="false" ht="15.75" hidden="false" customHeight="false" outlineLevel="0" collapsed="false">
      <c r="A151" s="30" t="n">
        <v>658.68</v>
      </c>
      <c r="B151" s="31" t="n">
        <v>1296.92</v>
      </c>
    </row>
    <row r="152" customFormat="false" ht="15.75" hidden="false" customHeight="false" outlineLevel="0" collapsed="false">
      <c r="A152" s="30" t="n">
        <v>659.7</v>
      </c>
      <c r="B152" s="31" t="n">
        <v>1313.27</v>
      </c>
    </row>
    <row r="153" customFormat="false" ht="15.75" hidden="false" customHeight="false" outlineLevel="0" collapsed="false">
      <c r="A153" s="30" t="n">
        <v>661.75</v>
      </c>
      <c r="B153" s="31" t="n">
        <v>1317.87</v>
      </c>
    </row>
    <row r="154" customFormat="false" ht="15.75" hidden="false" customHeight="false" outlineLevel="0" collapsed="false">
      <c r="A154" s="30" t="n">
        <v>662.77</v>
      </c>
      <c r="B154" s="31" t="n">
        <v>1318.38</v>
      </c>
    </row>
    <row r="155" customFormat="false" ht="15.75" hidden="false" customHeight="false" outlineLevel="0" collapsed="false">
      <c r="A155" s="30" t="n">
        <v>663.79</v>
      </c>
      <c r="B155" s="31" t="n">
        <v>1328.6</v>
      </c>
    </row>
    <row r="156" customFormat="false" ht="15.75" hidden="false" customHeight="false" outlineLevel="0" collapsed="false">
      <c r="A156" s="30" t="n">
        <v>664.3</v>
      </c>
      <c r="B156" s="31" t="n">
        <v>1341.38</v>
      </c>
    </row>
    <row r="157" customFormat="false" ht="15.75" hidden="false" customHeight="false" outlineLevel="0" collapsed="false">
      <c r="A157" s="30" t="n">
        <v>664.81</v>
      </c>
      <c r="B157" s="31" t="n">
        <v>1344.44</v>
      </c>
    </row>
    <row r="158" customFormat="false" ht="15.75" hidden="false" customHeight="false" outlineLevel="0" collapsed="false">
      <c r="A158" s="30" t="n">
        <v>668.39</v>
      </c>
      <c r="B158" s="31" t="n">
        <v>1364.88</v>
      </c>
    </row>
    <row r="159" customFormat="false" ht="15.75" hidden="false" customHeight="false" outlineLevel="0" collapsed="false">
      <c r="A159" s="30" t="n">
        <v>669.92</v>
      </c>
      <c r="B159" s="31" t="n">
        <v>1385.83</v>
      </c>
    </row>
    <row r="160" customFormat="false" ht="15.75" hidden="false" customHeight="false" outlineLevel="0" collapsed="false">
      <c r="A160" s="30" t="n">
        <v>670.94</v>
      </c>
      <c r="B160" s="31" t="n">
        <v>1388.9</v>
      </c>
    </row>
    <row r="161" customFormat="false" ht="15.75" hidden="false" customHeight="false" outlineLevel="0" collapsed="false">
      <c r="A161" s="30" t="n">
        <v>672.48</v>
      </c>
      <c r="B161" s="31" t="n">
        <v>1403.21</v>
      </c>
    </row>
    <row r="162" customFormat="false" ht="15.75" hidden="false" customHeight="false" outlineLevel="0" collapsed="false">
      <c r="A162" s="30" t="n">
        <v>673.5</v>
      </c>
      <c r="B162" s="31" t="n">
        <v>1411.38</v>
      </c>
    </row>
    <row r="163" customFormat="false" ht="15.75" hidden="false" customHeight="false" outlineLevel="0" collapsed="false">
      <c r="A163" s="30" t="n">
        <v>675.54</v>
      </c>
      <c r="B163" s="31" t="n">
        <v>1413.94</v>
      </c>
    </row>
    <row r="164" customFormat="false" ht="15.75" hidden="false" customHeight="false" outlineLevel="0" collapsed="false">
      <c r="A164" s="30" t="n">
        <v>676.05</v>
      </c>
      <c r="B164" s="31" t="n">
        <v>1418.03</v>
      </c>
    </row>
    <row r="165" customFormat="false" ht="15.75" hidden="false" customHeight="false" outlineLevel="0" collapsed="false">
      <c r="A165" s="30" t="n">
        <v>679.63</v>
      </c>
      <c r="B165" s="31" t="n">
        <v>1441.02</v>
      </c>
    </row>
    <row r="166" customFormat="false" ht="15.75" hidden="false" customHeight="false" outlineLevel="0" collapsed="false">
      <c r="A166" s="30" t="n">
        <v>683.72</v>
      </c>
      <c r="B166" s="31" t="n">
        <v>1463.5</v>
      </c>
    </row>
    <row r="167" customFormat="false" ht="15.75" hidden="false" customHeight="false" outlineLevel="0" collapsed="false">
      <c r="A167" s="30" t="n">
        <v>686.27</v>
      </c>
      <c r="B167" s="31" t="n">
        <v>1517.16</v>
      </c>
    </row>
    <row r="168" customFormat="false" ht="15.75" hidden="false" customHeight="false" outlineLevel="0" collapsed="false">
      <c r="A168" s="30" t="n">
        <v>686.78</v>
      </c>
      <c r="B168" s="31" t="n">
        <v>1530.96</v>
      </c>
    </row>
    <row r="169" customFormat="false" ht="15.75" hidden="false" customHeight="false" outlineLevel="0" collapsed="false">
      <c r="A169" s="30" t="n">
        <v>687.81</v>
      </c>
      <c r="B169" s="31" t="n">
        <v>1548.84</v>
      </c>
    </row>
    <row r="170" customFormat="false" ht="15.75" hidden="false" customHeight="false" outlineLevel="0" collapsed="false">
      <c r="A170" s="30" t="n">
        <v>688.32</v>
      </c>
      <c r="B170" s="31" t="n">
        <v>1559.06</v>
      </c>
    </row>
    <row r="171" customFormat="false" ht="15.75" hidden="false" customHeight="false" outlineLevel="0" collapsed="false">
      <c r="A171" s="30" t="n">
        <v>690.87</v>
      </c>
      <c r="B171" s="31" t="n">
        <v>1563.66</v>
      </c>
    </row>
    <row r="172" customFormat="false" ht="15.75" hidden="false" customHeight="false" outlineLevel="0" collapsed="false">
      <c r="A172" s="30" t="n">
        <v>694.96</v>
      </c>
      <c r="B172" s="31" t="n">
        <v>1580.01</v>
      </c>
    </row>
    <row r="173" customFormat="false" ht="15.75" hidden="false" customHeight="false" outlineLevel="0" collapsed="false">
      <c r="A173" s="30" t="n">
        <v>695.47</v>
      </c>
      <c r="B173" s="31" t="n">
        <v>1588.19</v>
      </c>
    </row>
    <row r="174" customFormat="false" ht="15.75" hidden="false" customHeight="false" outlineLevel="0" collapsed="false">
      <c r="A174" s="30" t="n">
        <v>697</v>
      </c>
      <c r="B174" s="31" t="n">
        <v>1591.25</v>
      </c>
    </row>
    <row r="175" customFormat="false" ht="15.75" hidden="false" customHeight="false" outlineLevel="0" collapsed="false">
      <c r="A175" s="30" t="n">
        <v>697</v>
      </c>
      <c r="B175" s="31" t="n">
        <v>1595.85</v>
      </c>
    </row>
    <row r="176" customFormat="false" ht="15.75" hidden="false" customHeight="false" outlineLevel="0" collapsed="false">
      <c r="A176" s="30" t="n">
        <v>702.11</v>
      </c>
      <c r="B176" s="31" t="n">
        <v>1615.27</v>
      </c>
    </row>
    <row r="177" customFormat="false" ht="15.75" hidden="false" customHeight="false" outlineLevel="0" collapsed="false">
      <c r="A177" s="30" t="n">
        <v>702.11</v>
      </c>
      <c r="B177" s="31" t="n">
        <v>1630.09</v>
      </c>
    </row>
    <row r="178" customFormat="false" ht="15.75" hidden="false" customHeight="false" outlineLevel="0" collapsed="false">
      <c r="A178" s="30" t="n">
        <v>703.14</v>
      </c>
      <c r="B178" s="31" t="n">
        <v>1652.57</v>
      </c>
    </row>
    <row r="179" customFormat="false" ht="15.75" hidden="false" customHeight="false" outlineLevel="0" collapsed="false">
      <c r="A179" s="30" t="n">
        <v>703.65</v>
      </c>
      <c r="B179" s="31" t="n">
        <v>1709.3</v>
      </c>
    </row>
    <row r="180" customFormat="false" ht="15.75" hidden="false" customHeight="false" outlineLevel="0" collapsed="false">
      <c r="A180" s="30" t="n">
        <v>706.2</v>
      </c>
      <c r="B180" s="31" t="n">
        <v>1711.34</v>
      </c>
    </row>
    <row r="181" customFormat="false" ht="15.75" hidden="false" customHeight="false" outlineLevel="0" collapsed="false">
      <c r="A181" s="30" t="n">
        <v>706.2</v>
      </c>
      <c r="B181" s="31" t="n">
        <v>1711.34</v>
      </c>
    </row>
    <row r="182" customFormat="false" ht="15.75" hidden="false" customHeight="false" outlineLevel="0" collapsed="false">
      <c r="A182" s="30" t="n">
        <v>708.25</v>
      </c>
      <c r="B182" s="31" t="n">
        <v>1729.22</v>
      </c>
    </row>
    <row r="183" customFormat="false" ht="15.75" hidden="false" customHeight="false" outlineLevel="0" collapsed="false">
      <c r="A183" s="30" t="n">
        <v>709.27</v>
      </c>
      <c r="B183" s="31" t="n">
        <v>1730.25</v>
      </c>
    </row>
    <row r="184" customFormat="false" ht="15.75" hidden="false" customHeight="false" outlineLevel="0" collapsed="false">
      <c r="A184" s="30" t="n">
        <v>710.8</v>
      </c>
      <c r="B184" s="31" t="n">
        <v>1744.55</v>
      </c>
    </row>
    <row r="185" customFormat="false" ht="15.75" hidden="false" customHeight="false" outlineLevel="0" collapsed="false">
      <c r="A185" s="30" t="n">
        <v>711.82</v>
      </c>
      <c r="B185" s="31" t="n">
        <v>1758.35</v>
      </c>
    </row>
    <row r="186" customFormat="false" ht="15.75" hidden="false" customHeight="false" outlineLevel="0" collapsed="false">
      <c r="A186" s="30" t="n">
        <v>711.82</v>
      </c>
      <c r="B186" s="31" t="n">
        <v>1760.91</v>
      </c>
    </row>
    <row r="187" customFormat="false" ht="15.75" hidden="false" customHeight="false" outlineLevel="0" collapsed="false">
      <c r="A187" s="30" t="n">
        <v>711.82</v>
      </c>
      <c r="B187" s="31" t="n">
        <v>1787.99</v>
      </c>
    </row>
    <row r="188" customFormat="false" ht="15.75" hidden="false" customHeight="false" outlineLevel="0" collapsed="false">
      <c r="A188" s="30" t="n">
        <v>716.42</v>
      </c>
      <c r="B188" s="31" t="n">
        <v>1815.07</v>
      </c>
    </row>
    <row r="189" customFormat="false" ht="15.75" hidden="false" customHeight="false" outlineLevel="0" collapsed="false">
      <c r="A189" s="30" t="n">
        <v>716.93</v>
      </c>
      <c r="B189" s="31" t="n">
        <v>1850.33</v>
      </c>
    </row>
    <row r="190" customFormat="false" ht="15.75" hidden="false" customHeight="false" outlineLevel="0" collapsed="false">
      <c r="A190" s="30" t="n">
        <v>720</v>
      </c>
      <c r="B190" s="31" t="n">
        <v>1943.84</v>
      </c>
    </row>
    <row r="191" customFormat="false" ht="15.75" hidden="false" customHeight="false" outlineLevel="0" collapsed="false">
      <c r="A191" s="30" t="n">
        <v>720</v>
      </c>
      <c r="B191" s="31" t="n">
        <v>1964.28</v>
      </c>
    </row>
    <row r="192" customFormat="false" ht="15.75" hidden="false" customHeight="false" outlineLevel="0" collapsed="false">
      <c r="A192" s="30" t="n">
        <v>720.51</v>
      </c>
      <c r="B192" s="31" t="n">
        <v>2000.05</v>
      </c>
    </row>
    <row r="193" customFormat="false" ht="15.75" hidden="false" customHeight="false" outlineLevel="0" collapsed="false">
      <c r="A193" s="30" t="n">
        <v>720.51</v>
      </c>
      <c r="B193" s="31" t="n">
        <v>2000.57</v>
      </c>
    </row>
    <row r="194" customFormat="false" ht="15.75" hidden="false" customHeight="false" outlineLevel="0" collapsed="false">
      <c r="A194" s="30" t="n">
        <v>721.53</v>
      </c>
      <c r="B194" s="31" t="n">
        <v>2008.74</v>
      </c>
    </row>
    <row r="195" customFormat="false" ht="15.75" hidden="false" customHeight="false" outlineLevel="0" collapsed="false">
      <c r="A195" s="30" t="n">
        <v>722.04</v>
      </c>
      <c r="B195" s="31" t="n">
        <v>2023.05</v>
      </c>
    </row>
    <row r="196" customFormat="false" ht="15.75" hidden="false" customHeight="false" outlineLevel="0" collapsed="false">
      <c r="A196" s="30" t="n">
        <v>722.04</v>
      </c>
      <c r="B196" s="31" t="n">
        <v>2026.12</v>
      </c>
    </row>
    <row r="197" customFormat="false" ht="15.75" hidden="false" customHeight="false" outlineLevel="0" collapsed="false">
      <c r="A197" s="30" t="n">
        <v>722.55</v>
      </c>
      <c r="B197" s="31" t="n">
        <v>2026.63</v>
      </c>
    </row>
    <row r="198" customFormat="false" ht="15.75" hidden="false" customHeight="false" outlineLevel="0" collapsed="false">
      <c r="A198" s="30" t="n">
        <v>724.6</v>
      </c>
      <c r="B198" s="31" t="n">
        <v>2047.07</v>
      </c>
    </row>
    <row r="199" customFormat="false" ht="15.75" hidden="false" customHeight="false" outlineLevel="0" collapsed="false">
      <c r="A199" s="30" t="n">
        <v>727.66</v>
      </c>
      <c r="B199" s="31" t="n">
        <v>2073.13</v>
      </c>
    </row>
    <row r="200" customFormat="false" ht="15.75" hidden="false" customHeight="false" outlineLevel="0" collapsed="false">
      <c r="A200" s="30" t="n">
        <v>727.66</v>
      </c>
      <c r="B200" s="31" t="n">
        <v>2100.21</v>
      </c>
    </row>
    <row r="201" customFormat="false" ht="15.75" hidden="false" customHeight="false" outlineLevel="0" collapsed="false">
      <c r="A201" s="30" t="n">
        <v>732.26</v>
      </c>
      <c r="B201" s="31" t="n">
        <v>2101.74</v>
      </c>
    </row>
    <row r="202" customFormat="false" ht="15.75" hidden="false" customHeight="false" outlineLevel="0" collapsed="false">
      <c r="A202" s="30" t="n">
        <v>737.88</v>
      </c>
      <c r="B202" s="31" t="n">
        <v>2122.18</v>
      </c>
    </row>
    <row r="203" customFormat="false" ht="15.75" hidden="false" customHeight="false" outlineLevel="0" collapsed="false">
      <c r="A203" s="30" t="n">
        <v>738.4</v>
      </c>
      <c r="B203" s="31" t="n">
        <v>2128.32</v>
      </c>
    </row>
    <row r="204" customFormat="false" ht="15.75" hidden="false" customHeight="false" outlineLevel="0" collapsed="false">
      <c r="A204" s="30" t="n">
        <v>740.44</v>
      </c>
      <c r="B204" s="31" t="n">
        <v>2151.31</v>
      </c>
    </row>
    <row r="205" customFormat="false" ht="15.75" hidden="false" customHeight="false" outlineLevel="0" collapsed="false">
      <c r="A205" s="30" t="n">
        <v>740.44</v>
      </c>
      <c r="B205" s="31" t="n">
        <v>2167.15</v>
      </c>
    </row>
    <row r="206" customFormat="false" ht="15.75" hidden="false" customHeight="false" outlineLevel="0" collapsed="false">
      <c r="A206" s="30" t="n">
        <v>742.48</v>
      </c>
      <c r="B206" s="31" t="n">
        <v>2171.24</v>
      </c>
    </row>
    <row r="207" customFormat="false" ht="15.75" hidden="false" customHeight="false" outlineLevel="0" collapsed="false">
      <c r="A207" s="30" t="n">
        <v>743.51</v>
      </c>
      <c r="B207" s="31" t="n">
        <v>2187.08</v>
      </c>
    </row>
    <row r="208" customFormat="false" ht="15.75" hidden="false" customHeight="false" outlineLevel="0" collapsed="false">
      <c r="A208" s="30" t="n">
        <v>745.55</v>
      </c>
      <c r="B208" s="31" t="n">
        <v>2187.59</v>
      </c>
    </row>
    <row r="209" customFormat="false" ht="15.75" hidden="false" customHeight="false" outlineLevel="0" collapsed="false">
      <c r="A209" s="30" t="n">
        <v>750.66</v>
      </c>
      <c r="B209" s="31" t="n">
        <v>2195.77</v>
      </c>
    </row>
    <row r="210" customFormat="false" ht="15.75" hidden="false" customHeight="false" outlineLevel="0" collapsed="false">
      <c r="A210" s="30" t="n">
        <v>751.68</v>
      </c>
      <c r="B210" s="31" t="n">
        <v>2201.39</v>
      </c>
    </row>
    <row r="211" customFormat="false" ht="15.75" hidden="false" customHeight="false" outlineLevel="0" collapsed="false">
      <c r="A211" s="30" t="n">
        <v>752.7</v>
      </c>
      <c r="B211" s="31" t="n">
        <v>2233.07</v>
      </c>
    </row>
    <row r="212" customFormat="false" ht="15.75" hidden="false" customHeight="false" outlineLevel="0" collapsed="false">
      <c r="A212" s="30" t="n">
        <v>753.21</v>
      </c>
      <c r="B212" s="31" t="n">
        <v>2276.51</v>
      </c>
    </row>
    <row r="213" customFormat="false" ht="15.75" hidden="false" customHeight="false" outlineLevel="0" collapsed="false">
      <c r="A213" s="30" t="n">
        <v>753.21</v>
      </c>
      <c r="B213" s="31" t="n">
        <v>2280.59</v>
      </c>
    </row>
    <row r="214" customFormat="false" ht="15.75" hidden="false" customHeight="false" outlineLevel="0" collapsed="false">
      <c r="A214" s="30" t="n">
        <v>755.26</v>
      </c>
      <c r="B214" s="31" t="n">
        <v>2346</v>
      </c>
    </row>
    <row r="215" customFormat="false" ht="15.75" hidden="false" customHeight="false" outlineLevel="0" collapsed="false">
      <c r="A215" s="30" t="n">
        <v>755.26</v>
      </c>
      <c r="B215" s="31" t="n">
        <v>2353.16</v>
      </c>
    </row>
    <row r="216" customFormat="false" ht="15.75" hidden="false" customHeight="false" outlineLevel="0" collapsed="false">
      <c r="A216" s="30" t="n">
        <v>756.28</v>
      </c>
      <c r="B216" s="31" t="n">
        <v>2356.22</v>
      </c>
    </row>
    <row r="217" customFormat="false" ht="15.75" hidden="false" customHeight="false" outlineLevel="0" collapsed="false">
      <c r="A217" s="30" t="n">
        <v>762.92</v>
      </c>
      <c r="B217" s="31" t="n">
        <v>2362.35</v>
      </c>
    </row>
    <row r="218" customFormat="false" ht="15.75" hidden="false" customHeight="false" outlineLevel="0" collapsed="false">
      <c r="A218" s="30" t="n">
        <v>763.43</v>
      </c>
      <c r="B218" s="31" t="n">
        <v>2420.1</v>
      </c>
    </row>
    <row r="219" customFormat="false" ht="15.75" hidden="false" customHeight="false" outlineLevel="0" collapsed="false">
      <c r="A219" s="30" t="n">
        <v>763.95</v>
      </c>
      <c r="B219" s="31" t="n">
        <v>2425.21</v>
      </c>
    </row>
    <row r="220" customFormat="false" ht="15.75" hidden="false" customHeight="false" outlineLevel="0" collapsed="false">
      <c r="A220" s="30" t="n">
        <v>765.48</v>
      </c>
      <c r="B220" s="31" t="n">
        <v>2461.49</v>
      </c>
    </row>
    <row r="221" customFormat="false" ht="15.75" hidden="false" customHeight="false" outlineLevel="0" collapsed="false">
      <c r="A221" s="30" t="n">
        <v>768.03</v>
      </c>
      <c r="B221" s="31" t="n">
        <v>2474.77</v>
      </c>
    </row>
    <row r="222" customFormat="false" ht="15.75" hidden="false" customHeight="false" outlineLevel="0" collapsed="false">
      <c r="A222" s="30" t="n">
        <v>768.03</v>
      </c>
      <c r="B222" s="31" t="n">
        <v>2475.28</v>
      </c>
    </row>
    <row r="223" customFormat="false" ht="15.75" hidden="false" customHeight="false" outlineLevel="0" collapsed="false">
      <c r="A223" s="30" t="n">
        <v>769.06</v>
      </c>
      <c r="B223" s="31" t="n">
        <v>2488.57</v>
      </c>
    </row>
    <row r="224" customFormat="false" ht="15.75" hidden="false" customHeight="false" outlineLevel="0" collapsed="false">
      <c r="A224" s="30" t="n">
        <v>773.65</v>
      </c>
      <c r="B224" s="31" t="n">
        <v>2520.76</v>
      </c>
    </row>
    <row r="225" customFormat="false" ht="15.75" hidden="false" customHeight="false" outlineLevel="0" collapsed="false">
      <c r="A225" s="30" t="n">
        <v>774.68</v>
      </c>
      <c r="B225" s="31" t="n">
        <v>2556.53</v>
      </c>
    </row>
    <row r="226" customFormat="false" ht="15.75" hidden="false" customHeight="false" outlineLevel="0" collapsed="false">
      <c r="A226" s="30" t="n">
        <v>776.72</v>
      </c>
      <c r="B226" s="31" t="n">
        <v>2604.06</v>
      </c>
    </row>
    <row r="227" customFormat="false" ht="15.75" hidden="false" customHeight="false" outlineLevel="0" collapsed="false">
      <c r="A227" s="30" t="n">
        <v>777.23</v>
      </c>
      <c r="B227" s="31" t="n">
        <v>2620.92</v>
      </c>
    </row>
    <row r="228" customFormat="false" ht="15.75" hidden="false" customHeight="false" outlineLevel="0" collapsed="false">
      <c r="A228" s="30" t="n">
        <v>779.28</v>
      </c>
      <c r="B228" s="31" t="n">
        <v>2646.47</v>
      </c>
    </row>
    <row r="229" customFormat="false" ht="15.75" hidden="false" customHeight="false" outlineLevel="0" collapsed="false">
      <c r="A229" s="30" t="n">
        <v>779.79</v>
      </c>
      <c r="B229" s="31" t="n">
        <v>2674.57</v>
      </c>
    </row>
    <row r="230" customFormat="false" ht="15.75" hidden="false" customHeight="false" outlineLevel="0" collapsed="false">
      <c r="A230" s="30" t="n">
        <v>782.85</v>
      </c>
      <c r="B230" s="31" t="n">
        <v>2704.72</v>
      </c>
    </row>
    <row r="231" customFormat="false" ht="15.75" hidden="false" customHeight="false" outlineLevel="0" collapsed="false">
      <c r="A231" s="30" t="n">
        <v>783.36</v>
      </c>
      <c r="B231" s="31" t="n">
        <v>2859.05</v>
      </c>
    </row>
    <row r="232" customFormat="false" ht="15.75" hidden="false" customHeight="false" outlineLevel="0" collapsed="false">
      <c r="A232" s="30" t="n">
        <v>785.41</v>
      </c>
      <c r="B232" s="31" t="n">
        <v>3036.87</v>
      </c>
    </row>
    <row r="233" customFormat="false" ht="15.75" hidden="false" customHeight="false" outlineLevel="0" collapsed="false">
      <c r="A233" s="30" t="n">
        <v>785.92</v>
      </c>
      <c r="B233" s="31" t="n">
        <v>3040.96</v>
      </c>
    </row>
    <row r="234" customFormat="false" ht="15.75" hidden="false" customHeight="false" outlineLevel="0" collapsed="false">
      <c r="A234" s="30" t="n">
        <v>787.96</v>
      </c>
      <c r="B234" s="31" t="n">
        <v>3064.98</v>
      </c>
    </row>
    <row r="235" customFormat="false" ht="15.75" hidden="false" customHeight="false" outlineLevel="0" collapsed="false">
      <c r="A235" s="30" t="n">
        <v>788.47</v>
      </c>
      <c r="B235" s="31" t="n">
        <v>3139.07</v>
      </c>
    </row>
    <row r="236" customFormat="false" ht="15.75" hidden="false" customHeight="false" outlineLevel="0" collapsed="false">
      <c r="A236" s="30" t="n">
        <v>788.98</v>
      </c>
      <c r="B236" s="31" t="n">
        <v>3167.69</v>
      </c>
    </row>
    <row r="237" customFormat="false" ht="15.75" hidden="false" customHeight="false" outlineLevel="0" collapsed="false">
      <c r="A237" s="30" t="n">
        <v>790.01</v>
      </c>
      <c r="B237" s="31" t="n">
        <v>3180.46</v>
      </c>
    </row>
    <row r="238" customFormat="false" ht="15.75" hidden="false" customHeight="false" outlineLevel="0" collapsed="false">
      <c r="A238" s="30" t="n">
        <v>791.54</v>
      </c>
      <c r="B238" s="31" t="n">
        <v>3183.02</v>
      </c>
    </row>
    <row r="239" customFormat="false" ht="15.75" hidden="false" customHeight="false" outlineLevel="0" collapsed="false">
      <c r="A239" s="30" t="n">
        <v>793.07</v>
      </c>
      <c r="B239" s="31" t="n">
        <v>3213.17</v>
      </c>
    </row>
    <row r="240" customFormat="false" ht="15.75" hidden="false" customHeight="false" outlineLevel="0" collapsed="false">
      <c r="A240" s="30" t="n">
        <v>793.58</v>
      </c>
      <c r="B240" s="31" t="n">
        <v>3235.14</v>
      </c>
    </row>
    <row r="241" customFormat="false" ht="15.75" hidden="false" customHeight="false" outlineLevel="0" collapsed="false">
      <c r="A241" s="30" t="n">
        <v>794.09</v>
      </c>
      <c r="B241" s="31" t="n">
        <v>3244.85</v>
      </c>
    </row>
    <row r="242" customFormat="false" ht="15.75" hidden="false" customHeight="false" outlineLevel="0" collapsed="false">
      <c r="A242" s="30" t="n">
        <v>796.65</v>
      </c>
      <c r="B242" s="31" t="n">
        <v>3278.58</v>
      </c>
    </row>
    <row r="243" customFormat="false" ht="15.75" hidden="false" customHeight="false" outlineLevel="0" collapsed="false">
      <c r="A243" s="30" t="n">
        <v>800.74</v>
      </c>
      <c r="B243" s="31" t="n">
        <v>3300.04</v>
      </c>
    </row>
    <row r="244" customFormat="false" ht="15.75" hidden="false" customHeight="false" outlineLevel="0" collapsed="false">
      <c r="A244" s="30" t="n">
        <v>801.25</v>
      </c>
      <c r="B244" s="31" t="n">
        <v>3305.15</v>
      </c>
    </row>
    <row r="245" customFormat="false" ht="15.75" hidden="false" customHeight="false" outlineLevel="0" collapsed="false">
      <c r="A245" s="30" t="n">
        <v>801.76</v>
      </c>
      <c r="B245" s="31" t="n">
        <v>3352.16</v>
      </c>
    </row>
    <row r="246" customFormat="false" ht="15.75" hidden="false" customHeight="false" outlineLevel="0" collapsed="false">
      <c r="A246" s="30" t="n">
        <v>803.29</v>
      </c>
      <c r="B246" s="31" t="n">
        <v>3453.34</v>
      </c>
    </row>
    <row r="247" customFormat="false" ht="15.75" hidden="false" customHeight="false" outlineLevel="0" collapsed="false">
      <c r="A247" s="30" t="n">
        <v>804.31</v>
      </c>
      <c r="B247" s="31" t="n">
        <v>3454.87</v>
      </c>
    </row>
    <row r="248" customFormat="false" ht="15.75" hidden="false" customHeight="false" outlineLevel="0" collapsed="false">
      <c r="A248" s="30" t="n">
        <v>805.85</v>
      </c>
      <c r="B248" s="31" t="n">
        <v>3493.2</v>
      </c>
    </row>
    <row r="249" customFormat="false" ht="15.75" hidden="false" customHeight="false" outlineLevel="0" collapsed="false">
      <c r="A249" s="30" t="n">
        <v>808.4</v>
      </c>
      <c r="B249" s="31" t="n">
        <v>3500.35</v>
      </c>
    </row>
    <row r="250" customFormat="false" ht="15.75" hidden="false" customHeight="false" outlineLevel="0" collapsed="false">
      <c r="A250" s="30" t="n">
        <v>809.94</v>
      </c>
      <c r="B250" s="31" t="n">
        <v>3511.59</v>
      </c>
    </row>
    <row r="251" customFormat="false" ht="15.75" hidden="false" customHeight="false" outlineLevel="0" collapsed="false">
      <c r="A251" s="30" t="n">
        <v>813</v>
      </c>
      <c r="B251" s="31" t="n">
        <v>3519.26</v>
      </c>
    </row>
    <row r="252" customFormat="false" ht="15.75" hidden="false" customHeight="false" outlineLevel="0" collapsed="false">
      <c r="A252" s="30" t="n">
        <v>813.51</v>
      </c>
      <c r="B252" s="31" t="n">
        <v>3576.49</v>
      </c>
    </row>
    <row r="253" customFormat="false" ht="15.75" hidden="false" customHeight="false" outlineLevel="0" collapsed="false">
      <c r="A253" s="30" t="n">
        <v>815.05</v>
      </c>
      <c r="B253" s="31" t="n">
        <v>3637.81</v>
      </c>
    </row>
    <row r="254" customFormat="false" ht="15.75" hidden="false" customHeight="false" outlineLevel="0" collapsed="false">
      <c r="A254" s="30" t="n">
        <v>816.07</v>
      </c>
      <c r="B254" s="31" t="n">
        <v>3641.9</v>
      </c>
    </row>
    <row r="255" customFormat="false" ht="15.75" hidden="false" customHeight="false" outlineLevel="0" collapsed="false">
      <c r="A255" s="30" t="n">
        <v>816.07</v>
      </c>
      <c r="B255" s="31" t="n">
        <v>3665.91</v>
      </c>
    </row>
    <row r="256" customFormat="false" ht="15.75" hidden="false" customHeight="false" outlineLevel="0" collapsed="false">
      <c r="A256" s="30" t="n">
        <v>818.62</v>
      </c>
      <c r="B256" s="31" t="n">
        <v>3728.77</v>
      </c>
    </row>
    <row r="257" customFormat="false" ht="15.75" hidden="false" customHeight="false" outlineLevel="0" collapsed="false">
      <c r="A257" s="30" t="n">
        <v>819.13</v>
      </c>
      <c r="B257" s="31" t="n">
        <v>3785.49</v>
      </c>
    </row>
    <row r="258" customFormat="false" ht="15.75" hidden="false" customHeight="false" outlineLevel="0" collapsed="false">
      <c r="A258" s="30" t="n">
        <v>827.82</v>
      </c>
      <c r="B258" s="31" t="n">
        <v>3824.84</v>
      </c>
    </row>
    <row r="259" customFormat="false" ht="15.75" hidden="false" customHeight="false" outlineLevel="0" collapsed="false">
      <c r="A259" s="30" t="n">
        <v>845.71</v>
      </c>
      <c r="B259" s="31" t="n">
        <v>3838.12</v>
      </c>
    </row>
    <row r="260" customFormat="false" ht="15.75" hidden="false" customHeight="false" outlineLevel="0" collapsed="false">
      <c r="A260" s="30" t="n">
        <v>846.73</v>
      </c>
      <c r="B260" s="31" t="n">
        <v>3927.04</v>
      </c>
    </row>
    <row r="261" customFormat="false" ht="15.75" hidden="false" customHeight="false" outlineLevel="0" collapsed="false">
      <c r="A261" s="30" t="n">
        <v>858.48</v>
      </c>
      <c r="B261" s="31" t="n">
        <v>3966.89</v>
      </c>
    </row>
    <row r="262" customFormat="false" ht="15.75" hidden="false" customHeight="false" outlineLevel="0" collapsed="false">
      <c r="A262" s="30" t="n">
        <v>876.37</v>
      </c>
      <c r="B262" s="31" t="n">
        <v>4013.91</v>
      </c>
    </row>
    <row r="263" customFormat="false" ht="15.75" hidden="false" customHeight="false" outlineLevel="0" collapsed="false">
      <c r="A263" s="30" t="n">
        <v>879.43</v>
      </c>
      <c r="B263" s="31" t="n">
        <v>4019.02</v>
      </c>
    </row>
    <row r="264" customFormat="false" ht="15.75" hidden="false" customHeight="false" outlineLevel="0" collapsed="false">
      <c r="A264" s="30" t="n">
        <v>887.1</v>
      </c>
      <c r="B264" s="31" t="n">
        <v>4077.78</v>
      </c>
    </row>
    <row r="265" customFormat="false" ht="15.75" hidden="false" customHeight="false" outlineLevel="0" collapsed="false">
      <c r="A265" s="30" t="n">
        <v>889.14</v>
      </c>
      <c r="B265" s="31" t="n">
        <v>4121.22</v>
      </c>
    </row>
    <row r="266" customFormat="false" ht="15.75" hidden="false" customHeight="false" outlineLevel="0" collapsed="false">
      <c r="A266" s="30" t="n">
        <v>890.67</v>
      </c>
      <c r="B266" s="31" t="n">
        <v>4131.95</v>
      </c>
    </row>
    <row r="267" customFormat="false" ht="15.75" hidden="false" customHeight="false" outlineLevel="0" collapsed="false">
      <c r="A267" s="30" t="n">
        <v>890.67</v>
      </c>
      <c r="B267" s="31" t="n">
        <v>4205.02</v>
      </c>
    </row>
    <row r="268" customFormat="false" ht="15.75" hidden="false" customHeight="false" outlineLevel="0" collapsed="false">
      <c r="A268" s="30" t="n">
        <v>892.72</v>
      </c>
      <c r="B268" s="31" t="n">
        <v>4250.5</v>
      </c>
    </row>
    <row r="269" customFormat="false" ht="15.75" hidden="false" customHeight="false" outlineLevel="0" collapsed="false">
      <c r="A269" s="30" t="n">
        <v>894.25</v>
      </c>
      <c r="B269" s="31" t="n">
        <v>4259.19</v>
      </c>
    </row>
    <row r="270" customFormat="false" ht="15.75" hidden="false" customHeight="false" outlineLevel="0" collapsed="false">
      <c r="A270" s="30" t="n">
        <v>896.81</v>
      </c>
      <c r="B270" s="31" t="n">
        <v>4285.25</v>
      </c>
    </row>
    <row r="271" customFormat="false" ht="15.75" hidden="false" customHeight="false" outlineLevel="0" collapsed="false">
      <c r="A271" s="30" t="n">
        <v>902.43</v>
      </c>
      <c r="B271" s="31" t="n">
        <v>4419.13</v>
      </c>
    </row>
    <row r="272" customFormat="false" ht="15.75" hidden="false" customHeight="false" outlineLevel="0" collapsed="false">
      <c r="A272" s="30" t="n">
        <v>903.45</v>
      </c>
      <c r="B272" s="31" t="n">
        <v>4587.76</v>
      </c>
    </row>
    <row r="273" customFormat="false" ht="15.75" hidden="false" customHeight="false" outlineLevel="0" collapsed="false">
      <c r="A273" s="30" t="n">
        <v>917.25</v>
      </c>
      <c r="B273" s="31" t="n">
        <v>4616.37</v>
      </c>
    </row>
    <row r="274" customFormat="false" ht="15.75" hidden="false" customHeight="false" outlineLevel="0" collapsed="false">
      <c r="A274" s="30" t="n">
        <v>918.27</v>
      </c>
      <c r="B274" s="31" t="n">
        <v>4737.48</v>
      </c>
    </row>
    <row r="275" customFormat="false" ht="15.75" hidden="false" customHeight="false" outlineLevel="0" collapsed="false">
      <c r="A275" s="30" t="n">
        <v>919.8</v>
      </c>
      <c r="B275" s="31" t="n">
        <v>4802.38</v>
      </c>
    </row>
    <row r="276" customFormat="false" ht="15.75" hidden="false" customHeight="false" outlineLevel="0" collapsed="false">
      <c r="A276" s="30" t="n">
        <v>921.84</v>
      </c>
      <c r="B276" s="31" t="n">
        <v>4891.29</v>
      </c>
    </row>
    <row r="277" customFormat="false" ht="15.75" hidden="false" customHeight="false" outlineLevel="0" collapsed="false">
      <c r="A277" s="30" t="n">
        <v>928.49</v>
      </c>
      <c r="B277" s="31" t="n">
        <v>4920.42</v>
      </c>
    </row>
    <row r="278" customFormat="false" ht="15.75" hidden="false" customHeight="false" outlineLevel="0" collapsed="false">
      <c r="A278" s="30" t="n">
        <v>930.02</v>
      </c>
      <c r="B278" s="31" t="n">
        <v>5089.56</v>
      </c>
    </row>
    <row r="279" customFormat="false" ht="15.75" hidden="false" customHeight="false" outlineLevel="0" collapsed="false">
      <c r="A279" s="30" t="n">
        <v>934.62</v>
      </c>
      <c r="B279" s="31" t="n">
        <v>5174.9</v>
      </c>
    </row>
    <row r="280" customFormat="false" ht="15.75" hidden="false" customHeight="false" outlineLevel="0" collapsed="false">
      <c r="A280" s="30" t="n">
        <v>942.8</v>
      </c>
      <c r="B280" s="31" t="n">
        <v>5261.77</v>
      </c>
    </row>
    <row r="281" customFormat="false" ht="15.75" hidden="false" customHeight="false" outlineLevel="0" collapsed="false">
      <c r="A281" s="30" t="n">
        <v>945.86</v>
      </c>
      <c r="B281" s="31" t="n">
        <v>5601.07</v>
      </c>
    </row>
    <row r="282" customFormat="false" ht="15.75" hidden="false" customHeight="false" outlineLevel="0" collapsed="false">
      <c r="A282" s="30" t="n">
        <v>949.44</v>
      </c>
      <c r="B282" s="31" t="n">
        <v>5607.71</v>
      </c>
    </row>
    <row r="283" customFormat="false" ht="15.75" hidden="false" customHeight="false" outlineLevel="0" collapsed="false">
      <c r="A283" s="30" t="n">
        <v>950.46</v>
      </c>
      <c r="B283" s="31" t="n">
        <v>5788.61</v>
      </c>
    </row>
    <row r="284" customFormat="false" ht="15.75" hidden="false" customHeight="false" outlineLevel="0" collapsed="false">
      <c r="A284" s="30" t="n">
        <v>954.04</v>
      </c>
      <c r="B284" s="31" t="n">
        <v>5907.16</v>
      </c>
    </row>
    <row r="285" customFormat="false" ht="15.75" hidden="false" customHeight="false" outlineLevel="0" collapsed="false">
      <c r="A285" s="30" t="n">
        <v>956.59</v>
      </c>
      <c r="B285" s="31" t="n">
        <v>5922.49</v>
      </c>
    </row>
    <row r="286" customFormat="false" ht="15.75" hidden="false" customHeight="false" outlineLevel="0" collapsed="false">
      <c r="A286" s="30" t="n">
        <v>960.68</v>
      </c>
      <c r="B286" s="31" t="n">
        <v>6037.98</v>
      </c>
    </row>
    <row r="287" customFormat="false" ht="15.75" hidden="false" customHeight="false" outlineLevel="0" collapsed="false">
      <c r="A287" s="30" t="n">
        <v>961.19</v>
      </c>
      <c r="B287" s="31" t="n">
        <v>6100.32</v>
      </c>
    </row>
    <row r="288" customFormat="false" ht="15.75" hidden="false" customHeight="false" outlineLevel="0" collapsed="false">
      <c r="A288" s="30" t="n">
        <v>962.72</v>
      </c>
      <c r="B288" s="31" t="n">
        <v>6130.98</v>
      </c>
    </row>
    <row r="289" customFormat="false" ht="15.75" hidden="false" customHeight="false" outlineLevel="0" collapsed="false">
      <c r="A289" s="30" t="n">
        <v>964.26</v>
      </c>
      <c r="B289" s="31" t="n">
        <v>6330.78</v>
      </c>
    </row>
    <row r="290" customFormat="false" ht="15.75" hidden="false" customHeight="false" outlineLevel="0" collapsed="false">
      <c r="A290" s="30" t="n">
        <v>967.32</v>
      </c>
      <c r="B290" s="31" t="n">
        <v>6427.87</v>
      </c>
    </row>
    <row r="291" customFormat="false" ht="15.75" hidden="false" customHeight="false" outlineLevel="0" collapsed="false">
      <c r="A291" s="30" t="n">
        <v>969.88</v>
      </c>
      <c r="B291" s="31" t="n">
        <v>6444.73</v>
      </c>
    </row>
    <row r="292" customFormat="false" ht="15.75" hidden="false" customHeight="false" outlineLevel="0" collapsed="false">
      <c r="A292" s="30" t="n">
        <v>971.41</v>
      </c>
      <c r="B292" s="31" t="n">
        <v>6479.48</v>
      </c>
    </row>
    <row r="293" customFormat="false" ht="15.75" hidden="false" customHeight="false" outlineLevel="0" collapsed="false">
      <c r="A293" s="30" t="n">
        <v>973.46</v>
      </c>
      <c r="B293" s="31" t="n">
        <v>6630.74</v>
      </c>
    </row>
    <row r="294" customFormat="false" ht="15.75" hidden="false" customHeight="false" outlineLevel="0" collapsed="false">
      <c r="A294" s="30" t="n">
        <v>977.54</v>
      </c>
      <c r="B294" s="31" t="n">
        <v>7167.8</v>
      </c>
    </row>
    <row r="295" customFormat="false" ht="15.75" hidden="false" customHeight="false" outlineLevel="0" collapsed="false">
      <c r="A295" s="30" t="n">
        <v>980.61</v>
      </c>
      <c r="B295" s="31" t="n">
        <v>7316.5</v>
      </c>
    </row>
    <row r="296" customFormat="false" ht="15.75" hidden="false" customHeight="false" outlineLevel="0" collapsed="false">
      <c r="A296" s="30" t="n">
        <v>983.16</v>
      </c>
      <c r="B296" s="31" t="n">
        <v>7369.13</v>
      </c>
    </row>
    <row r="297" customFormat="false" ht="15.75" hidden="false" customHeight="false" outlineLevel="0" collapsed="false">
      <c r="A297" s="30" t="n">
        <v>983.68</v>
      </c>
      <c r="B297" s="31" t="n">
        <v>7437.61</v>
      </c>
    </row>
    <row r="298" customFormat="false" ht="15.75" hidden="false" customHeight="false" outlineLevel="0" collapsed="false">
      <c r="A298" s="30" t="n">
        <v>984.7</v>
      </c>
      <c r="B298" s="31" t="n">
        <v>7553.6</v>
      </c>
    </row>
    <row r="299" customFormat="false" ht="15.75" hidden="false" customHeight="false" outlineLevel="0" collapsed="false">
      <c r="A299" s="30" t="n">
        <v>988.27</v>
      </c>
      <c r="B299" s="31" t="n">
        <v>7611.86</v>
      </c>
    </row>
    <row r="300" customFormat="false" ht="15.75" hidden="false" customHeight="false" outlineLevel="0" collapsed="false">
      <c r="A300" s="30" t="n">
        <v>988.79</v>
      </c>
      <c r="B300" s="31" t="n">
        <v>8008.39</v>
      </c>
    </row>
    <row r="301" customFormat="false" ht="15.75" hidden="false" customHeight="false" outlineLevel="0" collapsed="false">
      <c r="A301" s="30" t="n">
        <v>989.3</v>
      </c>
      <c r="B301" s="31" t="n">
        <v>8147.9</v>
      </c>
    </row>
    <row r="302" customFormat="false" ht="15.75" hidden="false" customHeight="false" outlineLevel="0" collapsed="false">
      <c r="A302" s="30" t="n">
        <v>991.34</v>
      </c>
      <c r="B302" s="31" t="n">
        <v>9414.66</v>
      </c>
    </row>
    <row r="303" customFormat="false" ht="15.75" hidden="false" customHeight="false" outlineLevel="0" collapsed="false">
      <c r="A303" s="30" t="n">
        <v>991.34</v>
      </c>
      <c r="B303" s="31"/>
    </row>
    <row r="304" customFormat="false" ht="15.75" hidden="false" customHeight="false" outlineLevel="0" collapsed="false">
      <c r="A304" s="30" t="n">
        <v>991.85</v>
      </c>
      <c r="B304" s="31"/>
    </row>
    <row r="305" customFormat="false" ht="15.75" hidden="false" customHeight="false" outlineLevel="0" collapsed="false">
      <c r="A305" s="30" t="n">
        <v>996.45</v>
      </c>
      <c r="B305" s="31"/>
    </row>
    <row r="306" customFormat="false" ht="15.75" hidden="false" customHeight="false" outlineLevel="0" collapsed="false">
      <c r="A306" s="30" t="n">
        <v>1000.03</v>
      </c>
      <c r="B306" s="31"/>
    </row>
    <row r="307" customFormat="false" ht="15.75" hidden="false" customHeight="false" outlineLevel="0" collapsed="false">
      <c r="A307" s="30" t="n">
        <v>1002.07</v>
      </c>
      <c r="B307" s="31"/>
    </row>
    <row r="308" customFormat="false" ht="15.75" hidden="false" customHeight="false" outlineLevel="0" collapsed="false">
      <c r="A308" s="30" t="n">
        <v>1003.09</v>
      </c>
      <c r="B308" s="31"/>
    </row>
    <row r="309" customFormat="false" ht="15.75" hidden="false" customHeight="false" outlineLevel="0" collapsed="false">
      <c r="A309" s="30" t="n">
        <v>1004.12</v>
      </c>
      <c r="B309" s="31"/>
    </row>
    <row r="310" customFormat="false" ht="15.75" hidden="false" customHeight="false" outlineLevel="0" collapsed="false">
      <c r="A310" s="30" t="n">
        <v>1005.14</v>
      </c>
      <c r="B310" s="31"/>
    </row>
    <row r="311" customFormat="false" ht="15.75" hidden="false" customHeight="false" outlineLevel="0" collapsed="false">
      <c r="A311" s="30" t="n">
        <v>1011.27</v>
      </c>
      <c r="B311" s="31"/>
    </row>
    <row r="312" customFormat="false" ht="15.75" hidden="false" customHeight="false" outlineLevel="0" collapsed="false">
      <c r="A312" s="30" t="n">
        <v>1013.82</v>
      </c>
      <c r="B312" s="31"/>
    </row>
    <row r="313" customFormat="false" ht="15.75" hidden="false" customHeight="false" outlineLevel="0" collapsed="false">
      <c r="A313" s="30" t="n">
        <v>1019.45</v>
      </c>
      <c r="B313" s="31"/>
    </row>
    <row r="314" customFormat="false" ht="15.75" hidden="false" customHeight="false" outlineLevel="0" collapsed="false">
      <c r="A314" s="30" t="n">
        <v>1023.02</v>
      </c>
      <c r="B314" s="31"/>
    </row>
    <row r="315" customFormat="false" ht="15.75" hidden="false" customHeight="false" outlineLevel="0" collapsed="false">
      <c r="A315" s="30" t="n">
        <v>1028.13</v>
      </c>
      <c r="B315" s="31"/>
    </row>
    <row r="316" customFormat="false" ht="15.75" hidden="false" customHeight="false" outlineLevel="0" collapsed="false">
      <c r="A316" s="30" t="n">
        <v>1033.24</v>
      </c>
      <c r="B316" s="31"/>
    </row>
    <row r="317" customFormat="false" ht="15.75" hidden="false" customHeight="false" outlineLevel="0" collapsed="false">
      <c r="A317" s="30" t="n">
        <v>1036.31</v>
      </c>
      <c r="B317" s="31"/>
    </row>
    <row r="318" customFormat="false" ht="15.75" hidden="false" customHeight="false" outlineLevel="0" collapsed="false">
      <c r="A318" s="30" t="n">
        <v>1036.31</v>
      </c>
      <c r="B318" s="31"/>
    </row>
    <row r="319" customFormat="false" ht="15.75" hidden="false" customHeight="false" outlineLevel="0" collapsed="false">
      <c r="A319" s="30" t="n">
        <v>1037.33</v>
      </c>
      <c r="B319" s="31"/>
    </row>
    <row r="320" customFormat="false" ht="15.75" hidden="false" customHeight="false" outlineLevel="0" collapsed="false">
      <c r="A320" s="30" t="n">
        <v>1038.35</v>
      </c>
      <c r="B320" s="31"/>
    </row>
    <row r="321" customFormat="false" ht="15.75" hidden="false" customHeight="false" outlineLevel="0" collapsed="false">
      <c r="A321" s="30" t="n">
        <v>1048.06</v>
      </c>
      <c r="B321" s="31"/>
    </row>
    <row r="322" customFormat="false" ht="15.75" hidden="false" customHeight="false" outlineLevel="0" collapsed="false">
      <c r="A322" s="30" t="n">
        <v>1051.64</v>
      </c>
      <c r="B322" s="31"/>
    </row>
    <row r="323" customFormat="false" ht="15.75" hidden="false" customHeight="false" outlineLevel="0" collapsed="false">
      <c r="A323" s="30" t="n">
        <v>1054.19</v>
      </c>
      <c r="B323" s="31"/>
    </row>
    <row r="324" customFormat="false" ht="15.75" hidden="false" customHeight="false" outlineLevel="0" collapsed="false">
      <c r="A324" s="30" t="n">
        <v>1057.26</v>
      </c>
      <c r="B324" s="31"/>
    </row>
    <row r="325" customFormat="false" ht="15.75" hidden="false" customHeight="false" outlineLevel="0" collapsed="false">
      <c r="A325" s="30" t="n">
        <v>1059.3</v>
      </c>
      <c r="B325" s="31"/>
    </row>
    <row r="326" customFormat="false" ht="15.75" hidden="false" customHeight="false" outlineLevel="0" collapsed="false">
      <c r="A326" s="30" t="n">
        <v>1062.88</v>
      </c>
      <c r="B326" s="31"/>
    </row>
    <row r="327" customFormat="false" ht="15.75" hidden="false" customHeight="false" outlineLevel="0" collapsed="false">
      <c r="A327" s="30" t="n">
        <v>1071.06</v>
      </c>
      <c r="B327" s="31"/>
    </row>
    <row r="328" customFormat="false" ht="15.75" hidden="false" customHeight="false" outlineLevel="0" collapsed="false">
      <c r="A328" s="30" t="n">
        <v>1073.61</v>
      </c>
      <c r="B328" s="31"/>
    </row>
    <row r="329" customFormat="false" ht="15.75" hidden="false" customHeight="false" outlineLevel="0" collapsed="false">
      <c r="A329" s="30" t="n">
        <v>1077.19</v>
      </c>
      <c r="B329" s="31"/>
    </row>
    <row r="330" customFormat="false" ht="15.75" hidden="false" customHeight="false" outlineLevel="0" collapsed="false">
      <c r="A330" s="30" t="n">
        <v>1081.28</v>
      </c>
      <c r="B330" s="31"/>
    </row>
    <row r="331" customFormat="false" ht="15.75" hidden="false" customHeight="false" outlineLevel="0" collapsed="false">
      <c r="A331" s="30" t="n">
        <v>1082.3</v>
      </c>
      <c r="B331" s="31"/>
    </row>
    <row r="332" customFormat="false" ht="15.75" hidden="false" customHeight="false" outlineLevel="0" collapsed="false">
      <c r="A332" s="30" t="n">
        <v>1083.83</v>
      </c>
      <c r="B332" s="31"/>
    </row>
    <row r="333" customFormat="false" ht="15.75" hidden="false" customHeight="false" outlineLevel="0" collapsed="false">
      <c r="A333" s="30" t="n">
        <v>1084.34</v>
      </c>
      <c r="B333" s="31"/>
    </row>
    <row r="334" customFormat="false" ht="15.75" hidden="false" customHeight="false" outlineLevel="0" collapsed="false">
      <c r="A334" s="30" t="n">
        <v>1089.45</v>
      </c>
      <c r="B334" s="31"/>
    </row>
    <row r="335" customFormat="false" ht="15.75" hidden="false" customHeight="false" outlineLevel="0" collapsed="false">
      <c r="A335" s="30" t="n">
        <v>1089.96</v>
      </c>
      <c r="B335" s="31"/>
    </row>
    <row r="336" customFormat="false" ht="15.75" hidden="false" customHeight="false" outlineLevel="0" collapsed="false">
      <c r="A336" s="30" t="n">
        <v>1090.47</v>
      </c>
      <c r="B336" s="31"/>
    </row>
    <row r="337" customFormat="false" ht="15.75" hidden="false" customHeight="false" outlineLevel="0" collapsed="false">
      <c r="A337" s="30" t="n">
        <v>1091.5</v>
      </c>
      <c r="B337" s="31"/>
    </row>
    <row r="338" customFormat="false" ht="15.75" hidden="false" customHeight="false" outlineLevel="0" collapsed="false">
      <c r="A338" s="30" t="n">
        <v>1094.05</v>
      </c>
      <c r="B338" s="31"/>
    </row>
    <row r="339" customFormat="false" ht="15.75" hidden="false" customHeight="false" outlineLevel="0" collapsed="false">
      <c r="A339" s="30" t="n">
        <v>1094.56</v>
      </c>
      <c r="B339" s="31"/>
    </row>
    <row r="340" customFormat="false" ht="15.75" hidden="false" customHeight="false" outlineLevel="0" collapsed="false">
      <c r="A340" s="30" t="n">
        <v>1096.61</v>
      </c>
      <c r="B340" s="31"/>
    </row>
    <row r="341" customFormat="false" ht="15.75" hidden="false" customHeight="false" outlineLevel="0" collapsed="false">
      <c r="A341" s="30" t="n">
        <v>1109.38</v>
      </c>
      <c r="B341" s="31"/>
    </row>
    <row r="342" customFormat="false" ht="15.75" hidden="false" customHeight="false" outlineLevel="0" collapsed="false">
      <c r="A342" s="30" t="n">
        <v>1109.38</v>
      </c>
      <c r="B342" s="31"/>
    </row>
    <row r="343" customFormat="false" ht="15.75" hidden="false" customHeight="false" outlineLevel="0" collapsed="false">
      <c r="A343" s="30" t="n">
        <v>1114.49</v>
      </c>
      <c r="B343" s="31"/>
    </row>
    <row r="344" customFormat="false" ht="15.75" hidden="false" customHeight="false" outlineLevel="0" collapsed="false">
      <c r="A344" s="30" t="n">
        <v>1117.05</v>
      </c>
      <c r="B344" s="31"/>
    </row>
    <row r="345" customFormat="false" ht="15.75" hidden="false" customHeight="false" outlineLevel="0" collapsed="false">
      <c r="A345" s="30" t="n">
        <v>1122.67</v>
      </c>
      <c r="B345" s="31"/>
    </row>
    <row r="346" customFormat="false" ht="15.75" hidden="false" customHeight="false" outlineLevel="0" collapsed="false">
      <c r="A346" s="30" t="n">
        <v>1130.33</v>
      </c>
      <c r="B346" s="31"/>
    </row>
    <row r="347" customFormat="false" ht="15.75" hidden="false" customHeight="false" outlineLevel="0" collapsed="false">
      <c r="A347" s="30" t="n">
        <v>1131.35</v>
      </c>
      <c r="B347" s="31"/>
    </row>
    <row r="348" customFormat="false" ht="15.75" hidden="false" customHeight="false" outlineLevel="0" collapsed="false">
      <c r="A348" s="30" t="n">
        <v>1134.93</v>
      </c>
      <c r="B348" s="31"/>
    </row>
    <row r="349" customFormat="false" ht="15.75" hidden="false" customHeight="false" outlineLevel="0" collapsed="false">
      <c r="A349" s="30" t="n">
        <v>1135.95</v>
      </c>
      <c r="B349" s="31"/>
    </row>
    <row r="350" customFormat="false" ht="15.75" hidden="false" customHeight="false" outlineLevel="0" collapsed="false">
      <c r="A350" s="30" t="n">
        <v>1143.62</v>
      </c>
      <c r="B350" s="31"/>
    </row>
    <row r="351" customFormat="false" ht="15.75" hidden="false" customHeight="false" outlineLevel="0" collapsed="false">
      <c r="A351" s="30" t="n">
        <v>1145.15</v>
      </c>
      <c r="B351" s="31"/>
    </row>
    <row r="352" customFormat="false" ht="15.75" hidden="false" customHeight="false" outlineLevel="0" collapsed="false">
      <c r="A352" s="30" t="n">
        <v>1145.15</v>
      </c>
      <c r="B352" s="31"/>
    </row>
    <row r="353" customFormat="false" ht="15.75" hidden="false" customHeight="false" outlineLevel="0" collapsed="false">
      <c r="A353" s="30" t="n">
        <v>1148.22</v>
      </c>
      <c r="B353" s="31"/>
    </row>
    <row r="354" customFormat="false" ht="15.75" hidden="false" customHeight="false" outlineLevel="0" collapsed="false">
      <c r="A354" s="30" t="n">
        <v>1149.24</v>
      </c>
      <c r="B354" s="31"/>
    </row>
    <row r="355" customFormat="false" ht="15.75" hidden="false" customHeight="false" outlineLevel="0" collapsed="false">
      <c r="A355" s="30" t="n">
        <v>1150.26</v>
      </c>
      <c r="B355" s="31"/>
    </row>
    <row r="356" customFormat="false" ht="15.75" hidden="false" customHeight="false" outlineLevel="0" collapsed="false">
      <c r="A356" s="30" t="n">
        <v>1152.31</v>
      </c>
      <c r="B356" s="31"/>
    </row>
    <row r="357" customFormat="false" ht="15.75" hidden="false" customHeight="false" outlineLevel="0" collapsed="false">
      <c r="A357" s="30" t="n">
        <v>1161.5</v>
      </c>
      <c r="B357" s="31"/>
    </row>
    <row r="358" customFormat="false" ht="15.75" hidden="false" customHeight="false" outlineLevel="0" collapsed="false">
      <c r="A358" s="30" t="n">
        <v>1164.57</v>
      </c>
      <c r="B358" s="31"/>
    </row>
    <row r="359" customFormat="false" ht="15.75" hidden="false" customHeight="false" outlineLevel="0" collapsed="false">
      <c r="A359" s="30" t="n">
        <v>1167.12</v>
      </c>
      <c r="B359" s="31"/>
    </row>
    <row r="360" customFormat="false" ht="15.75" hidden="false" customHeight="false" outlineLevel="0" collapsed="false">
      <c r="A360" s="30" t="n">
        <v>1169.17</v>
      </c>
      <c r="B360" s="31"/>
    </row>
    <row r="361" customFormat="false" ht="15.75" hidden="false" customHeight="false" outlineLevel="0" collapsed="false">
      <c r="A361" s="30" t="n">
        <v>1174.79</v>
      </c>
      <c r="B361" s="31"/>
    </row>
    <row r="362" customFormat="false" ht="15.75" hidden="false" customHeight="false" outlineLevel="0" collapsed="false">
      <c r="A362" s="30" t="n">
        <v>1175.81</v>
      </c>
      <c r="B362" s="31"/>
    </row>
    <row r="363" customFormat="false" ht="15.75" hidden="false" customHeight="false" outlineLevel="0" collapsed="false">
      <c r="A363" s="30" t="n">
        <v>1182.97</v>
      </c>
      <c r="B363" s="31"/>
    </row>
    <row r="364" customFormat="false" ht="15.75" hidden="false" customHeight="false" outlineLevel="0" collapsed="false">
      <c r="A364" s="30" t="n">
        <v>1185.52</v>
      </c>
      <c r="B364" s="31"/>
    </row>
    <row r="365" customFormat="false" ht="15.75" hidden="false" customHeight="false" outlineLevel="0" collapsed="false">
      <c r="A365" s="30" t="n">
        <v>1187.05</v>
      </c>
      <c r="B365" s="31"/>
    </row>
    <row r="366" customFormat="false" ht="15.75" hidden="false" customHeight="false" outlineLevel="0" collapsed="false">
      <c r="A366" s="30" t="n">
        <v>1188.08</v>
      </c>
      <c r="B366" s="31"/>
    </row>
    <row r="367" customFormat="false" ht="15.75" hidden="false" customHeight="false" outlineLevel="0" collapsed="false">
      <c r="A367" s="30" t="n">
        <v>1188.59</v>
      </c>
      <c r="B367" s="31"/>
    </row>
    <row r="368" customFormat="false" ht="15.75" hidden="false" customHeight="false" outlineLevel="0" collapsed="false">
      <c r="A368" s="30" t="n">
        <v>1190.12</v>
      </c>
      <c r="B368" s="31"/>
    </row>
    <row r="369" customFormat="false" ht="15.75" hidden="false" customHeight="false" outlineLevel="0" collapsed="false">
      <c r="A369" s="30" t="n">
        <v>1191.14</v>
      </c>
      <c r="B369" s="31"/>
    </row>
    <row r="370" customFormat="false" ht="15.75" hidden="false" customHeight="false" outlineLevel="0" collapsed="false">
      <c r="A370" s="30" t="n">
        <v>1192.16</v>
      </c>
      <c r="B370" s="31"/>
    </row>
    <row r="371" customFormat="false" ht="15.75" hidden="false" customHeight="false" outlineLevel="0" collapsed="false">
      <c r="A371" s="30" t="n">
        <v>1192.16</v>
      </c>
      <c r="B371" s="31"/>
    </row>
    <row r="372" customFormat="false" ht="15.75" hidden="false" customHeight="false" outlineLevel="0" collapsed="false">
      <c r="A372" s="30" t="n">
        <v>1194.21</v>
      </c>
      <c r="B372" s="31"/>
    </row>
    <row r="373" customFormat="false" ht="15.75" hidden="false" customHeight="false" outlineLevel="0" collapsed="false">
      <c r="A373" s="30" t="n">
        <v>1198.81</v>
      </c>
      <c r="B373" s="31"/>
    </row>
    <row r="374" customFormat="false" ht="15.75" hidden="false" customHeight="false" outlineLevel="0" collapsed="false">
      <c r="A374" s="30" t="n">
        <v>1199.83</v>
      </c>
      <c r="B374" s="31"/>
    </row>
    <row r="375" customFormat="false" ht="15.75" hidden="false" customHeight="false" outlineLevel="0" collapsed="false">
      <c r="A375" s="30" t="n">
        <v>1202.38</v>
      </c>
      <c r="B375" s="31"/>
    </row>
    <row r="376" customFormat="false" ht="15.75" hidden="false" customHeight="false" outlineLevel="0" collapsed="false">
      <c r="A376" s="30" t="n">
        <v>1205.96</v>
      </c>
      <c r="B376" s="31"/>
    </row>
    <row r="377" customFormat="false" ht="15.75" hidden="false" customHeight="false" outlineLevel="0" collapsed="false">
      <c r="A377" s="30" t="n">
        <v>1209.03</v>
      </c>
      <c r="B377" s="31"/>
    </row>
    <row r="378" customFormat="false" ht="15.75" hidden="false" customHeight="false" outlineLevel="0" collapsed="false">
      <c r="A378" s="30" t="n">
        <v>1213.63</v>
      </c>
      <c r="B378" s="31"/>
    </row>
    <row r="379" customFormat="false" ht="15.75" hidden="false" customHeight="false" outlineLevel="0" collapsed="false">
      <c r="A379" s="30" t="n">
        <v>1218.22</v>
      </c>
      <c r="B379" s="31"/>
    </row>
    <row r="380" customFormat="false" ht="15.75" hidden="false" customHeight="false" outlineLevel="0" collapsed="false">
      <c r="A380" s="30" t="n">
        <v>1220.78</v>
      </c>
      <c r="B380" s="31"/>
    </row>
    <row r="381" customFormat="false" ht="15.75" hidden="false" customHeight="false" outlineLevel="0" collapsed="false">
      <c r="A381" s="30" t="n">
        <v>1221.29</v>
      </c>
      <c r="B381" s="31"/>
    </row>
    <row r="382" customFormat="false" ht="15.75" hidden="false" customHeight="false" outlineLevel="0" collapsed="false">
      <c r="A382" s="30" t="n">
        <v>1223.33</v>
      </c>
      <c r="B382" s="31"/>
    </row>
    <row r="383" customFormat="false" ht="15.75" hidden="false" customHeight="false" outlineLevel="0" collapsed="false">
      <c r="A383" s="30" t="n">
        <v>1228.44</v>
      </c>
      <c r="B383" s="31"/>
    </row>
    <row r="384" customFormat="false" ht="15.75" hidden="false" customHeight="false" outlineLevel="0" collapsed="false">
      <c r="A384" s="30" t="n">
        <v>1229.47</v>
      </c>
      <c r="B384" s="31"/>
    </row>
    <row r="385" customFormat="false" ht="15.75" hidden="false" customHeight="false" outlineLevel="0" collapsed="false">
      <c r="A385" s="30" t="n">
        <v>1234.07</v>
      </c>
      <c r="B385" s="31"/>
    </row>
    <row r="386" customFormat="false" ht="15.75" hidden="false" customHeight="false" outlineLevel="0" collapsed="false">
      <c r="A386" s="30" t="n">
        <v>1238.66</v>
      </c>
      <c r="B386" s="31"/>
    </row>
    <row r="387" customFormat="false" ht="15.75" hidden="false" customHeight="false" outlineLevel="0" collapsed="false">
      <c r="A387" s="30" t="n">
        <v>1240.2</v>
      </c>
      <c r="B387" s="31"/>
    </row>
    <row r="388" customFormat="false" ht="15.75" hidden="false" customHeight="false" outlineLevel="0" collapsed="false">
      <c r="A388" s="30" t="n">
        <v>1247.86</v>
      </c>
      <c r="B388" s="31"/>
    </row>
    <row r="389" customFormat="false" ht="15.75" hidden="false" customHeight="false" outlineLevel="0" collapsed="false">
      <c r="A389" s="30" t="n">
        <v>1249.4</v>
      </c>
      <c r="B389" s="31"/>
    </row>
    <row r="390" customFormat="false" ht="15.75" hidden="false" customHeight="false" outlineLevel="0" collapsed="false">
      <c r="A390" s="30" t="n">
        <v>1258.59</v>
      </c>
      <c r="B390" s="31"/>
    </row>
    <row r="391" customFormat="false" ht="15.75" hidden="false" customHeight="false" outlineLevel="0" collapsed="false">
      <c r="A391" s="30" t="n">
        <v>1265.24</v>
      </c>
      <c r="B391" s="31"/>
    </row>
    <row r="392" customFormat="false" ht="15.75" hidden="false" customHeight="false" outlineLevel="0" collapsed="false">
      <c r="A392" s="30" t="n">
        <v>1268.81</v>
      </c>
      <c r="B392" s="31"/>
    </row>
    <row r="393" customFormat="false" ht="15.75" hidden="false" customHeight="false" outlineLevel="0" collapsed="false">
      <c r="A393" s="30" t="n">
        <v>1279.03</v>
      </c>
      <c r="B393" s="31"/>
    </row>
    <row r="394" customFormat="false" ht="15.75" hidden="false" customHeight="false" outlineLevel="0" collapsed="false">
      <c r="A394" s="30" t="n">
        <v>1281.08</v>
      </c>
      <c r="B394" s="31"/>
    </row>
    <row r="395" customFormat="false" ht="15.75" hidden="false" customHeight="false" outlineLevel="0" collapsed="false">
      <c r="A395" s="30" t="n">
        <v>1283.12</v>
      </c>
      <c r="B395" s="31"/>
    </row>
    <row r="396" customFormat="false" ht="15.75" hidden="false" customHeight="false" outlineLevel="0" collapsed="false">
      <c r="A396" s="30" t="n">
        <v>1285.17</v>
      </c>
      <c r="B396" s="31"/>
    </row>
    <row r="397" customFormat="false" ht="15.75" hidden="false" customHeight="false" outlineLevel="0" collapsed="false">
      <c r="A397" s="30" t="n">
        <v>1288.74</v>
      </c>
      <c r="B397" s="31"/>
    </row>
    <row r="398" customFormat="false" ht="15.75" hidden="false" customHeight="false" outlineLevel="0" collapsed="false">
      <c r="A398" s="30" t="n">
        <v>1291.81</v>
      </c>
      <c r="B398" s="31"/>
    </row>
    <row r="399" customFormat="false" ht="15.75" hidden="false" customHeight="false" outlineLevel="0" collapsed="false">
      <c r="A399" s="30" t="n">
        <v>1312.76</v>
      </c>
      <c r="B399" s="31"/>
    </row>
    <row r="400" customFormat="false" ht="15.75" hidden="false" customHeight="false" outlineLevel="0" collapsed="false">
      <c r="A400" s="30" t="n">
        <v>1316.34</v>
      </c>
      <c r="B400" s="31"/>
    </row>
    <row r="401" customFormat="false" ht="15.75" hidden="false" customHeight="false" outlineLevel="0" collapsed="false">
      <c r="A401" s="30" t="n">
        <v>1316.85</v>
      </c>
      <c r="B401" s="31"/>
    </row>
    <row r="402" customFormat="false" ht="15.75" hidden="false" customHeight="false" outlineLevel="0" collapsed="false">
      <c r="A402" s="30" t="n">
        <v>1317.36</v>
      </c>
      <c r="B402" s="31"/>
    </row>
    <row r="403" customFormat="false" ht="15.75" hidden="false" customHeight="false" outlineLevel="0" collapsed="false">
      <c r="A403" s="30" t="n">
        <v>1317.36</v>
      </c>
      <c r="B403" s="31"/>
    </row>
    <row r="404" customFormat="false" ht="15.75" hidden="false" customHeight="false" outlineLevel="0" collapsed="false">
      <c r="A404" s="30" t="n">
        <v>1330.13</v>
      </c>
      <c r="B404" s="31"/>
    </row>
    <row r="405" customFormat="false" ht="15.75" hidden="false" customHeight="false" outlineLevel="0" collapsed="false">
      <c r="A405" s="30" t="n">
        <v>1331.67</v>
      </c>
      <c r="B405" s="31"/>
    </row>
    <row r="406" customFormat="false" ht="15.75" hidden="false" customHeight="false" outlineLevel="0" collapsed="false">
      <c r="A406" s="30" t="n">
        <v>1334.22</v>
      </c>
      <c r="B406" s="31"/>
    </row>
    <row r="407" customFormat="false" ht="15.75" hidden="false" customHeight="false" outlineLevel="0" collapsed="false">
      <c r="A407" s="30" t="n">
        <v>1335.24</v>
      </c>
      <c r="B407" s="31"/>
    </row>
    <row r="408" customFormat="false" ht="15.75" hidden="false" customHeight="false" outlineLevel="0" collapsed="false">
      <c r="A408" s="30" t="n">
        <v>1339.84</v>
      </c>
      <c r="B408" s="31"/>
    </row>
    <row r="409" customFormat="false" ht="15.75" hidden="false" customHeight="false" outlineLevel="0" collapsed="false">
      <c r="A409" s="30" t="n">
        <v>1343.42</v>
      </c>
      <c r="B409" s="31"/>
    </row>
    <row r="410" customFormat="false" ht="15.75" hidden="false" customHeight="false" outlineLevel="0" collapsed="false">
      <c r="A410" s="30" t="n">
        <v>1344.44</v>
      </c>
      <c r="B410" s="31"/>
    </row>
    <row r="411" customFormat="false" ht="15.75" hidden="false" customHeight="false" outlineLevel="0" collapsed="false">
      <c r="A411" s="30" t="n">
        <v>1352.62</v>
      </c>
      <c r="B411" s="31"/>
    </row>
    <row r="412" customFormat="false" ht="15.75" hidden="false" customHeight="false" outlineLevel="0" collapsed="false">
      <c r="A412" s="30" t="n">
        <v>1358.75</v>
      </c>
      <c r="B412" s="31"/>
    </row>
    <row r="413" customFormat="false" ht="15.75" hidden="false" customHeight="false" outlineLevel="0" collapsed="false">
      <c r="A413" s="30" t="n">
        <v>1360.28</v>
      </c>
      <c r="B413" s="31"/>
    </row>
    <row r="414" customFormat="false" ht="15.75" hidden="false" customHeight="false" outlineLevel="0" collapsed="false">
      <c r="A414" s="30" t="n">
        <v>1364.37</v>
      </c>
      <c r="B414" s="31"/>
    </row>
    <row r="415" customFormat="false" ht="15.75" hidden="false" customHeight="false" outlineLevel="0" collapsed="false">
      <c r="A415" s="30" t="n">
        <v>1366.93</v>
      </c>
      <c r="B415" s="31"/>
    </row>
    <row r="416" customFormat="false" ht="15.75" hidden="false" customHeight="false" outlineLevel="0" collapsed="false">
      <c r="A416" s="30" t="n">
        <v>1368.97</v>
      </c>
      <c r="B416" s="31"/>
    </row>
    <row r="417" customFormat="false" ht="15.75" hidden="false" customHeight="false" outlineLevel="0" collapsed="false">
      <c r="A417" s="30" t="n">
        <v>1371.52</v>
      </c>
      <c r="B417" s="31"/>
    </row>
    <row r="418" customFormat="false" ht="15.75" hidden="false" customHeight="false" outlineLevel="0" collapsed="false">
      <c r="A418" s="30" t="n">
        <v>1373.06</v>
      </c>
      <c r="B418" s="31"/>
    </row>
    <row r="419" customFormat="false" ht="15.75" hidden="false" customHeight="false" outlineLevel="0" collapsed="false">
      <c r="A419" s="30" t="n">
        <v>1378.17</v>
      </c>
      <c r="B419" s="31"/>
    </row>
    <row r="420" customFormat="false" ht="15.75" hidden="false" customHeight="false" outlineLevel="0" collapsed="false">
      <c r="A420" s="30" t="n">
        <v>1383.79</v>
      </c>
      <c r="B420" s="31"/>
    </row>
    <row r="421" customFormat="false" ht="15.75" hidden="false" customHeight="false" outlineLevel="0" collapsed="false">
      <c r="A421" s="30" t="n">
        <v>1394.01</v>
      </c>
      <c r="B421" s="31"/>
    </row>
    <row r="422" customFormat="false" ht="15.75" hidden="false" customHeight="false" outlineLevel="0" collapsed="false">
      <c r="A422" s="30" t="n">
        <v>1401.67</v>
      </c>
      <c r="B422" s="31"/>
    </row>
    <row r="423" customFormat="false" ht="15.75" hidden="false" customHeight="false" outlineLevel="0" collapsed="false">
      <c r="A423" s="30" t="n">
        <v>1402.7</v>
      </c>
      <c r="B423" s="31"/>
    </row>
    <row r="424" customFormat="false" ht="15.75" hidden="false" customHeight="false" outlineLevel="0" collapsed="false">
      <c r="A424" s="30" t="n">
        <v>1404.23</v>
      </c>
      <c r="B424" s="31"/>
    </row>
    <row r="425" customFormat="false" ht="15.75" hidden="false" customHeight="false" outlineLevel="0" collapsed="false">
      <c r="A425" s="30" t="n">
        <v>1405.76</v>
      </c>
      <c r="B425" s="31"/>
    </row>
    <row r="426" customFormat="false" ht="15.75" hidden="false" customHeight="false" outlineLevel="0" collapsed="false">
      <c r="A426" s="30" t="n">
        <v>1406.78</v>
      </c>
      <c r="B426" s="31"/>
    </row>
    <row r="427" customFormat="false" ht="15.75" hidden="false" customHeight="false" outlineLevel="0" collapsed="false">
      <c r="A427" s="30" t="n">
        <v>1409.85</v>
      </c>
      <c r="B427" s="31"/>
    </row>
    <row r="428" customFormat="false" ht="15.75" hidden="false" customHeight="false" outlineLevel="0" collapsed="false">
      <c r="A428" s="30" t="n">
        <v>1410.36</v>
      </c>
      <c r="B428" s="31"/>
    </row>
    <row r="429" customFormat="false" ht="15.75" hidden="false" customHeight="false" outlineLevel="0" collapsed="false">
      <c r="A429" s="30" t="n">
        <v>1412.4</v>
      </c>
      <c r="B429" s="31"/>
    </row>
    <row r="430" customFormat="false" ht="15.75" hidden="false" customHeight="false" outlineLevel="0" collapsed="false">
      <c r="A430" s="30" t="n">
        <v>1420.07</v>
      </c>
      <c r="B430" s="31"/>
    </row>
    <row r="431" customFormat="false" ht="15.75" hidden="false" customHeight="false" outlineLevel="0" collapsed="false">
      <c r="A431" s="30" t="n">
        <v>1421.6</v>
      </c>
      <c r="B431" s="31"/>
    </row>
    <row r="432" customFormat="false" ht="15.75" hidden="false" customHeight="false" outlineLevel="0" collapsed="false">
      <c r="A432" s="30" t="n">
        <v>1424.67</v>
      </c>
      <c r="B432" s="31"/>
    </row>
    <row r="433" customFormat="false" ht="15.75" hidden="false" customHeight="false" outlineLevel="0" collapsed="false">
      <c r="A433" s="30" t="n">
        <v>1430.29</v>
      </c>
      <c r="B433" s="31"/>
    </row>
    <row r="434" customFormat="false" ht="15.75" hidden="false" customHeight="false" outlineLevel="0" collapsed="false">
      <c r="A434" s="30" t="n">
        <v>1436.93</v>
      </c>
      <c r="B434" s="31"/>
    </row>
    <row r="435" customFormat="false" ht="15.75" hidden="false" customHeight="false" outlineLevel="0" collapsed="false">
      <c r="A435" s="30" t="n">
        <v>1443.58</v>
      </c>
      <c r="B435" s="31"/>
    </row>
    <row r="436" customFormat="false" ht="15.75" hidden="false" customHeight="false" outlineLevel="0" collapsed="false">
      <c r="A436" s="30" t="n">
        <v>1445.11</v>
      </c>
      <c r="B436" s="31"/>
    </row>
    <row r="437" customFormat="false" ht="15.75" hidden="false" customHeight="false" outlineLevel="0" collapsed="false">
      <c r="A437" s="30" t="n">
        <v>1446.64</v>
      </c>
      <c r="B437" s="31"/>
    </row>
    <row r="438" customFormat="false" ht="15.75" hidden="false" customHeight="false" outlineLevel="0" collapsed="false">
      <c r="A438" s="30" t="n">
        <v>1448.69</v>
      </c>
      <c r="B438" s="31"/>
    </row>
    <row r="439" customFormat="false" ht="15.75" hidden="false" customHeight="false" outlineLevel="0" collapsed="false">
      <c r="A439" s="30" t="n">
        <v>1455.33</v>
      </c>
      <c r="B439" s="31"/>
    </row>
    <row r="440" customFormat="false" ht="15.75" hidden="false" customHeight="false" outlineLevel="0" collapsed="false">
      <c r="A440" s="30" t="n">
        <v>1460.95</v>
      </c>
      <c r="B440" s="31"/>
    </row>
    <row r="441" customFormat="false" ht="15.75" hidden="false" customHeight="false" outlineLevel="0" collapsed="false">
      <c r="A441" s="30" t="n">
        <v>1462.48</v>
      </c>
      <c r="B441" s="31"/>
    </row>
    <row r="442" customFormat="false" ht="15.75" hidden="false" customHeight="false" outlineLevel="0" collapsed="false">
      <c r="A442" s="30" t="n">
        <v>1467.59</v>
      </c>
      <c r="B442" s="31"/>
    </row>
    <row r="443" customFormat="false" ht="15.75" hidden="false" customHeight="false" outlineLevel="0" collapsed="false">
      <c r="A443" s="30" t="n">
        <v>1477.81</v>
      </c>
      <c r="B443" s="31"/>
    </row>
    <row r="444" customFormat="false" ht="15.75" hidden="false" customHeight="false" outlineLevel="0" collapsed="false">
      <c r="A444" s="30" t="n">
        <v>1479.86</v>
      </c>
      <c r="B444" s="31"/>
    </row>
    <row r="445" customFormat="false" ht="15.75" hidden="false" customHeight="false" outlineLevel="0" collapsed="false">
      <c r="A445" s="30" t="n">
        <v>1481.39</v>
      </c>
      <c r="B445" s="31"/>
    </row>
    <row r="446" customFormat="false" ht="15.75" hidden="false" customHeight="false" outlineLevel="0" collapsed="false">
      <c r="A446" s="30" t="n">
        <v>1482.41</v>
      </c>
      <c r="B446" s="31"/>
    </row>
    <row r="447" customFormat="false" ht="15.75" hidden="false" customHeight="false" outlineLevel="0" collapsed="false">
      <c r="A447" s="30" t="n">
        <v>1487.01</v>
      </c>
      <c r="B447" s="31"/>
    </row>
    <row r="448" customFormat="false" ht="15.75" hidden="false" customHeight="false" outlineLevel="0" collapsed="false">
      <c r="A448" s="30" t="n">
        <v>1493.65</v>
      </c>
      <c r="B448" s="31"/>
    </row>
    <row r="449" customFormat="false" ht="15.75" hidden="false" customHeight="false" outlineLevel="0" collapsed="false">
      <c r="A449" s="30" t="n">
        <v>1494.16</v>
      </c>
      <c r="B449" s="31"/>
    </row>
    <row r="450" customFormat="false" ht="15.75" hidden="false" customHeight="false" outlineLevel="0" collapsed="false">
      <c r="A450" s="30" t="n">
        <v>1497.23</v>
      </c>
      <c r="B450" s="31"/>
    </row>
    <row r="451" customFormat="false" ht="15.75" hidden="false" customHeight="false" outlineLevel="0" collapsed="false">
      <c r="A451" s="30" t="n">
        <v>1511.03</v>
      </c>
      <c r="B451" s="31"/>
    </row>
    <row r="452" customFormat="false" ht="15.75" hidden="false" customHeight="false" outlineLevel="0" collapsed="false">
      <c r="A452" s="30" t="n">
        <v>1514.6</v>
      </c>
      <c r="B452" s="31"/>
    </row>
    <row r="453" customFormat="false" ht="15.75" hidden="false" customHeight="false" outlineLevel="0" collapsed="false">
      <c r="A453" s="30" t="n">
        <v>1521.76</v>
      </c>
      <c r="B453" s="31"/>
    </row>
    <row r="454" customFormat="false" ht="15.75" hidden="false" customHeight="false" outlineLevel="0" collapsed="false">
      <c r="A454" s="30" t="n">
        <v>1521.76</v>
      </c>
      <c r="B454" s="31"/>
    </row>
    <row r="455" customFormat="false" ht="15.75" hidden="false" customHeight="false" outlineLevel="0" collapsed="false">
      <c r="A455" s="30" t="n">
        <v>1528.4</v>
      </c>
      <c r="B455" s="31"/>
    </row>
    <row r="456" customFormat="false" ht="15.75" hidden="false" customHeight="false" outlineLevel="0" collapsed="false">
      <c r="A456" s="30" t="n">
        <v>1529.42</v>
      </c>
      <c r="B456" s="31"/>
    </row>
    <row r="457" customFormat="false" ht="15.75" hidden="false" customHeight="false" outlineLevel="0" collapsed="false">
      <c r="A457" s="30" t="n">
        <v>1533.51</v>
      </c>
      <c r="B457" s="31"/>
    </row>
    <row r="458" customFormat="false" ht="15.75" hidden="false" customHeight="false" outlineLevel="0" collapsed="false">
      <c r="A458" s="30" t="n">
        <v>1541.18</v>
      </c>
      <c r="B458" s="31"/>
    </row>
    <row r="459" customFormat="false" ht="15.75" hidden="false" customHeight="false" outlineLevel="0" collapsed="false">
      <c r="A459" s="30" t="n">
        <v>1541.69</v>
      </c>
      <c r="B459" s="31"/>
    </row>
    <row r="460" customFormat="false" ht="15.75" hidden="false" customHeight="false" outlineLevel="0" collapsed="false">
      <c r="A460" s="30" t="n">
        <v>1541.69</v>
      </c>
      <c r="B460" s="31"/>
    </row>
    <row r="461" customFormat="false" ht="15.75" hidden="false" customHeight="false" outlineLevel="0" collapsed="false">
      <c r="A461" s="30" t="n">
        <v>1543.73</v>
      </c>
      <c r="B461" s="31"/>
    </row>
    <row r="462" customFormat="false" ht="15.75" hidden="false" customHeight="false" outlineLevel="0" collapsed="false">
      <c r="A462" s="30" t="n">
        <v>1547.82</v>
      </c>
      <c r="B462" s="31"/>
    </row>
    <row r="463" customFormat="false" ht="15.75" hidden="false" customHeight="false" outlineLevel="0" collapsed="false">
      <c r="A463" s="30" t="n">
        <v>1558.04</v>
      </c>
      <c r="B463" s="31"/>
    </row>
    <row r="464" customFormat="false" ht="15.75" hidden="false" customHeight="false" outlineLevel="0" collapsed="false">
      <c r="A464" s="30" t="n">
        <v>1563.15</v>
      </c>
      <c r="B464" s="31"/>
    </row>
    <row r="465" customFormat="false" ht="15.75" hidden="false" customHeight="false" outlineLevel="0" collapsed="false">
      <c r="A465" s="30" t="n">
        <v>1564.68</v>
      </c>
      <c r="B465" s="31"/>
    </row>
    <row r="466" customFormat="false" ht="15.75" hidden="false" customHeight="false" outlineLevel="0" collapsed="false">
      <c r="A466" s="30" t="n">
        <v>1568.26</v>
      </c>
      <c r="B466" s="31"/>
    </row>
    <row r="467" customFormat="false" ht="15.75" hidden="false" customHeight="false" outlineLevel="0" collapsed="false">
      <c r="A467" s="30" t="n">
        <v>1570.81</v>
      </c>
      <c r="B467" s="31"/>
    </row>
    <row r="468" customFormat="false" ht="15.75" hidden="false" customHeight="false" outlineLevel="0" collapsed="false">
      <c r="A468" s="30" t="n">
        <v>1572.35</v>
      </c>
      <c r="B468" s="31"/>
    </row>
    <row r="469" customFormat="false" ht="15.75" hidden="false" customHeight="false" outlineLevel="0" collapsed="false">
      <c r="A469" s="30" t="n">
        <v>1572.35</v>
      </c>
      <c r="B469" s="31"/>
    </row>
    <row r="470" customFormat="false" ht="15.75" hidden="false" customHeight="false" outlineLevel="0" collapsed="false">
      <c r="A470" s="30" t="n">
        <v>1573.37</v>
      </c>
      <c r="B470" s="31"/>
    </row>
    <row r="471" customFormat="false" ht="15.75" hidden="false" customHeight="false" outlineLevel="0" collapsed="false">
      <c r="A471" s="30" t="n">
        <v>1586.14</v>
      </c>
      <c r="B471" s="31"/>
    </row>
    <row r="472" customFormat="false" ht="15.75" hidden="false" customHeight="false" outlineLevel="0" collapsed="false">
      <c r="A472" s="30" t="n">
        <v>1586.66</v>
      </c>
      <c r="B472" s="31"/>
    </row>
    <row r="473" customFormat="false" ht="15.75" hidden="false" customHeight="false" outlineLevel="0" collapsed="false">
      <c r="A473" s="30" t="n">
        <v>1596.36</v>
      </c>
      <c r="B473" s="31"/>
    </row>
    <row r="474" customFormat="false" ht="15.75" hidden="false" customHeight="false" outlineLevel="0" collapsed="false">
      <c r="A474" s="30" t="n">
        <v>1608.63</v>
      </c>
      <c r="B474" s="31"/>
    </row>
    <row r="475" customFormat="false" ht="15.75" hidden="false" customHeight="false" outlineLevel="0" collapsed="false">
      <c r="A475" s="30" t="n">
        <v>1609.14</v>
      </c>
      <c r="B475" s="31"/>
    </row>
    <row r="476" customFormat="false" ht="15.75" hidden="false" customHeight="false" outlineLevel="0" collapsed="false">
      <c r="A476" s="30" t="n">
        <v>1614.76</v>
      </c>
      <c r="B476" s="31"/>
    </row>
    <row r="477" customFormat="false" ht="15.75" hidden="false" customHeight="false" outlineLevel="0" collapsed="false">
      <c r="A477" s="30" t="n">
        <v>1625.49</v>
      </c>
      <c r="B477" s="31"/>
    </row>
    <row r="478" customFormat="false" ht="15.75" hidden="false" customHeight="false" outlineLevel="0" collapsed="false">
      <c r="A478" s="30" t="n">
        <v>1628.05</v>
      </c>
      <c r="B478" s="31"/>
    </row>
    <row r="479" customFormat="false" ht="15.75" hidden="false" customHeight="false" outlineLevel="0" collapsed="false">
      <c r="A479" s="30" t="n">
        <v>1632.65</v>
      </c>
      <c r="B479" s="31"/>
    </row>
    <row r="480" customFormat="false" ht="15.75" hidden="false" customHeight="false" outlineLevel="0" collapsed="false">
      <c r="A480" s="30" t="n">
        <v>1641.84</v>
      </c>
      <c r="B480" s="31"/>
    </row>
    <row r="481" customFormat="false" ht="15.75" hidden="false" customHeight="false" outlineLevel="0" collapsed="false">
      <c r="A481" s="30" t="n">
        <v>1650.02</v>
      </c>
      <c r="B481" s="31"/>
    </row>
    <row r="482" customFormat="false" ht="15.75" hidden="false" customHeight="false" outlineLevel="0" collapsed="false">
      <c r="A482" s="30" t="n">
        <v>1653.09</v>
      </c>
      <c r="B482" s="31"/>
    </row>
    <row r="483" customFormat="false" ht="15.75" hidden="false" customHeight="false" outlineLevel="0" collapsed="false">
      <c r="A483" s="30" t="n">
        <v>1657.68</v>
      </c>
      <c r="B483" s="31"/>
    </row>
    <row r="484" customFormat="false" ht="15.75" hidden="false" customHeight="false" outlineLevel="0" collapsed="false">
      <c r="A484" s="30" t="n">
        <v>1660.24</v>
      </c>
      <c r="B484" s="31"/>
    </row>
    <row r="485" customFormat="false" ht="15.75" hidden="false" customHeight="false" outlineLevel="0" collapsed="false">
      <c r="A485" s="30" t="n">
        <v>1673.53</v>
      </c>
      <c r="B485" s="31"/>
    </row>
    <row r="486" customFormat="false" ht="15.75" hidden="false" customHeight="false" outlineLevel="0" collapsed="false">
      <c r="A486" s="30" t="n">
        <v>1702.14</v>
      </c>
      <c r="B486" s="31"/>
    </row>
    <row r="487" customFormat="false" ht="15.75" hidden="false" customHeight="false" outlineLevel="0" collapsed="false">
      <c r="A487" s="30" t="n">
        <v>1707.76</v>
      </c>
      <c r="B487" s="31"/>
    </row>
    <row r="488" customFormat="false" ht="15.75" hidden="false" customHeight="false" outlineLevel="0" collapsed="false">
      <c r="A488" s="30" t="n">
        <v>1708.27</v>
      </c>
      <c r="B488" s="31"/>
    </row>
    <row r="489" customFormat="false" ht="15.75" hidden="false" customHeight="false" outlineLevel="0" collapsed="false">
      <c r="A489" s="30" t="n">
        <v>1715.43</v>
      </c>
      <c r="B489" s="31"/>
    </row>
    <row r="490" customFormat="false" ht="15.75" hidden="false" customHeight="false" outlineLevel="0" collapsed="false">
      <c r="A490" s="30" t="n">
        <v>1721.05</v>
      </c>
      <c r="B490" s="31"/>
    </row>
    <row r="491" customFormat="false" ht="15.75" hidden="false" customHeight="false" outlineLevel="0" collapsed="false">
      <c r="A491" s="30" t="n">
        <v>1726.16</v>
      </c>
      <c r="B491" s="31"/>
    </row>
    <row r="492" customFormat="false" ht="15.75" hidden="false" customHeight="false" outlineLevel="0" collapsed="false">
      <c r="A492" s="30" t="n">
        <v>1727.18</v>
      </c>
      <c r="B492" s="31"/>
    </row>
    <row r="493" customFormat="false" ht="15.75" hidden="false" customHeight="false" outlineLevel="0" collapsed="false">
      <c r="A493" s="30" t="n">
        <v>1734.33</v>
      </c>
      <c r="B493" s="31"/>
    </row>
    <row r="494" customFormat="false" ht="15.75" hidden="false" customHeight="false" outlineLevel="0" collapsed="false">
      <c r="A494" s="30" t="n">
        <v>1736.38</v>
      </c>
      <c r="B494" s="31"/>
    </row>
    <row r="495" customFormat="false" ht="15.75" hidden="false" customHeight="false" outlineLevel="0" collapsed="false">
      <c r="A495" s="30" t="n">
        <v>1736.89</v>
      </c>
      <c r="B495" s="31"/>
    </row>
    <row r="496" customFormat="false" ht="15.75" hidden="false" customHeight="false" outlineLevel="0" collapsed="false">
      <c r="A496" s="30" t="n">
        <v>1745.58</v>
      </c>
      <c r="B496" s="31"/>
    </row>
    <row r="497" customFormat="false" ht="15.75" hidden="false" customHeight="false" outlineLevel="0" collapsed="false">
      <c r="A497" s="30" t="n">
        <v>1748.64</v>
      </c>
      <c r="B497" s="31"/>
    </row>
    <row r="498" customFormat="false" ht="15.75" hidden="false" customHeight="false" outlineLevel="0" collapsed="false">
      <c r="A498" s="30" t="n">
        <v>1752.73</v>
      </c>
      <c r="B498" s="31"/>
    </row>
    <row r="499" customFormat="false" ht="15.75" hidden="false" customHeight="false" outlineLevel="0" collapsed="false">
      <c r="A499" s="30" t="n">
        <v>1761.42</v>
      </c>
      <c r="B499" s="31"/>
    </row>
    <row r="500" customFormat="false" ht="15.75" hidden="false" customHeight="false" outlineLevel="0" collapsed="false">
      <c r="A500" s="30" t="n">
        <v>1761.93</v>
      </c>
      <c r="B500" s="31"/>
    </row>
    <row r="501" customFormat="false" ht="15.75" hidden="false" customHeight="false" outlineLevel="0" collapsed="false">
      <c r="A501" s="30" t="n">
        <v>1780.84</v>
      </c>
      <c r="B501" s="31"/>
    </row>
    <row r="502" customFormat="false" ht="15.75" hidden="false" customHeight="false" outlineLevel="0" collapsed="false">
      <c r="A502" s="30" t="n">
        <v>1782.37</v>
      </c>
      <c r="B502" s="31"/>
    </row>
    <row r="503" customFormat="false" ht="15.75" hidden="false" customHeight="false" outlineLevel="0" collapsed="false">
      <c r="A503" s="30" t="n">
        <v>1786.46</v>
      </c>
      <c r="B503" s="31"/>
    </row>
    <row r="504" customFormat="false" ht="15.75" hidden="false" customHeight="false" outlineLevel="0" collapsed="false">
      <c r="A504" s="30" t="n">
        <v>1793.1</v>
      </c>
      <c r="B504" s="31"/>
    </row>
    <row r="505" customFormat="false" ht="15.75" hidden="false" customHeight="false" outlineLevel="0" collapsed="false">
      <c r="A505" s="30" t="n">
        <v>1794.63</v>
      </c>
      <c r="B505" s="31"/>
    </row>
    <row r="506" customFormat="false" ht="15.75" hidden="false" customHeight="false" outlineLevel="0" collapsed="false">
      <c r="A506" s="30" t="n">
        <v>1797.7</v>
      </c>
      <c r="B506" s="31"/>
    </row>
    <row r="507" customFormat="false" ht="15.75" hidden="false" customHeight="false" outlineLevel="0" collapsed="false">
      <c r="A507" s="30" t="n">
        <v>1802.3</v>
      </c>
      <c r="B507" s="31"/>
    </row>
    <row r="508" customFormat="false" ht="15.75" hidden="false" customHeight="false" outlineLevel="0" collapsed="false">
      <c r="A508" s="30" t="n">
        <v>1806.39</v>
      </c>
      <c r="B508" s="31"/>
    </row>
    <row r="509" customFormat="false" ht="15.75" hidden="false" customHeight="false" outlineLevel="0" collapsed="false">
      <c r="A509" s="30" t="n">
        <v>1817.12</v>
      </c>
      <c r="B509" s="31"/>
    </row>
    <row r="510" customFormat="false" ht="15.75" hidden="false" customHeight="false" outlineLevel="0" collapsed="false">
      <c r="A510" s="30" t="n">
        <v>1821.72</v>
      </c>
      <c r="B510" s="31"/>
    </row>
    <row r="511" customFormat="false" ht="15.75" hidden="false" customHeight="false" outlineLevel="0" collapsed="false">
      <c r="A511" s="30" t="n">
        <v>1822.23</v>
      </c>
      <c r="B511" s="31"/>
    </row>
    <row r="512" customFormat="false" ht="15.75" hidden="false" customHeight="false" outlineLevel="0" collapsed="false">
      <c r="A512" s="30" t="n">
        <v>1823.25</v>
      </c>
      <c r="B512" s="31"/>
    </row>
    <row r="513" customFormat="false" ht="15.75" hidden="false" customHeight="false" outlineLevel="0" collapsed="false">
      <c r="A513" s="30" t="n">
        <v>1825.8</v>
      </c>
      <c r="B513" s="31"/>
    </row>
    <row r="514" customFormat="false" ht="15.75" hidden="false" customHeight="false" outlineLevel="0" collapsed="false">
      <c r="A514" s="30" t="n">
        <v>1827.85</v>
      </c>
      <c r="B514" s="31"/>
    </row>
    <row r="515" customFormat="false" ht="15.75" hidden="false" customHeight="false" outlineLevel="0" collapsed="false">
      <c r="A515" s="30" t="n">
        <v>1828.36</v>
      </c>
      <c r="B515" s="31"/>
    </row>
    <row r="516" customFormat="false" ht="15.75" hidden="false" customHeight="false" outlineLevel="0" collapsed="false">
      <c r="A516" s="30" t="n">
        <v>1834.49</v>
      </c>
      <c r="B516" s="31"/>
    </row>
    <row r="517" customFormat="false" ht="15.75" hidden="false" customHeight="false" outlineLevel="0" collapsed="false">
      <c r="A517" s="30" t="n">
        <v>1834.49</v>
      </c>
      <c r="B517" s="31"/>
    </row>
    <row r="518" customFormat="false" ht="15.75" hidden="false" customHeight="false" outlineLevel="0" collapsed="false">
      <c r="A518" s="30" t="n">
        <v>1836.53</v>
      </c>
      <c r="B518" s="31"/>
    </row>
    <row r="519" customFormat="false" ht="15.75" hidden="false" customHeight="false" outlineLevel="0" collapsed="false">
      <c r="A519" s="30" t="n">
        <v>1837.05</v>
      </c>
      <c r="B519" s="31"/>
    </row>
    <row r="520" customFormat="false" ht="15.75" hidden="false" customHeight="false" outlineLevel="0" collapsed="false">
      <c r="A520" s="30" t="n">
        <v>1839.09</v>
      </c>
      <c r="B520" s="31"/>
    </row>
    <row r="521" customFormat="false" ht="15.75" hidden="false" customHeight="false" outlineLevel="0" collapsed="false">
      <c r="A521" s="30" t="n">
        <v>1844.2</v>
      </c>
      <c r="B521" s="31"/>
    </row>
    <row r="522" customFormat="false" ht="15.75" hidden="false" customHeight="false" outlineLevel="0" collapsed="false">
      <c r="A522" s="30" t="n">
        <v>1845.73</v>
      </c>
      <c r="B522" s="31"/>
    </row>
    <row r="523" customFormat="false" ht="15.75" hidden="false" customHeight="false" outlineLevel="0" collapsed="false">
      <c r="A523" s="30" t="n">
        <v>1848.29</v>
      </c>
      <c r="B523" s="31"/>
    </row>
    <row r="524" customFormat="false" ht="15.75" hidden="false" customHeight="false" outlineLevel="0" collapsed="false">
      <c r="A524" s="30" t="n">
        <v>1848.29</v>
      </c>
      <c r="B524" s="31"/>
    </row>
    <row r="525" customFormat="false" ht="15.75" hidden="false" customHeight="false" outlineLevel="0" collapsed="false">
      <c r="A525" s="30" t="n">
        <v>1849.82</v>
      </c>
      <c r="B525" s="31"/>
    </row>
    <row r="526" customFormat="false" ht="15.75" hidden="false" customHeight="false" outlineLevel="0" collapsed="false">
      <c r="A526" s="30" t="n">
        <v>1850.84</v>
      </c>
      <c r="B526" s="31"/>
    </row>
    <row r="527" customFormat="false" ht="15.75" hidden="false" customHeight="false" outlineLevel="0" collapsed="false">
      <c r="A527" s="30" t="n">
        <v>1855.95</v>
      </c>
      <c r="B527" s="31"/>
    </row>
    <row r="528" customFormat="false" ht="15.75" hidden="false" customHeight="false" outlineLevel="0" collapsed="false">
      <c r="A528" s="30" t="n">
        <v>1861.57</v>
      </c>
      <c r="B528" s="31"/>
    </row>
    <row r="529" customFormat="false" ht="15.75" hidden="false" customHeight="false" outlineLevel="0" collapsed="false">
      <c r="A529" s="30" t="n">
        <v>1865.15</v>
      </c>
      <c r="B529" s="31"/>
    </row>
    <row r="530" customFormat="false" ht="15.75" hidden="false" customHeight="false" outlineLevel="0" collapsed="false">
      <c r="A530" s="30" t="n">
        <v>1865.66</v>
      </c>
      <c r="B530" s="31"/>
    </row>
    <row r="531" customFormat="false" ht="15.75" hidden="false" customHeight="false" outlineLevel="0" collapsed="false">
      <c r="A531" s="30" t="n">
        <v>1866.17</v>
      </c>
      <c r="B531" s="31"/>
    </row>
    <row r="532" customFormat="false" ht="15.75" hidden="false" customHeight="false" outlineLevel="0" collapsed="false">
      <c r="A532" s="30" t="n">
        <v>1868.22</v>
      </c>
      <c r="B532" s="31"/>
    </row>
    <row r="533" customFormat="false" ht="15.75" hidden="false" customHeight="false" outlineLevel="0" collapsed="false">
      <c r="A533" s="30" t="n">
        <v>1870.26</v>
      </c>
      <c r="B533" s="31"/>
    </row>
    <row r="534" customFormat="false" ht="15.75" hidden="false" customHeight="false" outlineLevel="0" collapsed="false">
      <c r="A534" s="30" t="n">
        <v>1878.44</v>
      </c>
      <c r="B534" s="31"/>
    </row>
    <row r="535" customFormat="false" ht="15.75" hidden="false" customHeight="false" outlineLevel="0" collapsed="false">
      <c r="A535" s="30" t="n">
        <v>1896.32</v>
      </c>
      <c r="B535" s="31"/>
    </row>
    <row r="536" customFormat="false" ht="15.75" hidden="false" customHeight="false" outlineLevel="0" collapsed="false">
      <c r="A536" s="30" t="n">
        <v>1915.74</v>
      </c>
      <c r="B536" s="31"/>
    </row>
    <row r="537" customFormat="false" ht="15.75" hidden="false" customHeight="false" outlineLevel="0" collapsed="false">
      <c r="A537" s="30" t="n">
        <v>1919.83</v>
      </c>
      <c r="B537" s="31"/>
    </row>
    <row r="538" customFormat="false" ht="15.75" hidden="false" customHeight="false" outlineLevel="0" collapsed="false">
      <c r="A538" s="30" t="n">
        <v>1920.34</v>
      </c>
      <c r="B538" s="31"/>
    </row>
    <row r="539" customFormat="false" ht="15.75" hidden="false" customHeight="false" outlineLevel="0" collapsed="false">
      <c r="A539" s="30" t="n">
        <v>1922.89</v>
      </c>
      <c r="B539" s="31"/>
    </row>
    <row r="540" customFormat="false" ht="15.75" hidden="false" customHeight="false" outlineLevel="0" collapsed="false">
      <c r="A540" s="30" t="n">
        <v>1930.05</v>
      </c>
      <c r="B540" s="31"/>
    </row>
    <row r="541" customFormat="false" ht="15.75" hidden="false" customHeight="false" outlineLevel="0" collapsed="false">
      <c r="A541" s="30" t="n">
        <v>1931.58</v>
      </c>
      <c r="B541" s="31"/>
    </row>
    <row r="542" customFormat="false" ht="15.75" hidden="false" customHeight="false" outlineLevel="0" collapsed="false">
      <c r="A542" s="30" t="n">
        <v>1947.93</v>
      </c>
      <c r="B542" s="31"/>
    </row>
    <row r="543" customFormat="false" ht="15.75" hidden="false" customHeight="false" outlineLevel="0" collapsed="false">
      <c r="A543" s="30" t="n">
        <v>1958.15</v>
      </c>
      <c r="B543" s="31"/>
    </row>
    <row r="544" customFormat="false" ht="15.75" hidden="false" customHeight="false" outlineLevel="0" collapsed="false">
      <c r="A544" s="30" t="n">
        <v>1958.15</v>
      </c>
      <c r="B544" s="31"/>
    </row>
    <row r="545" customFormat="false" ht="15.75" hidden="false" customHeight="false" outlineLevel="0" collapsed="false">
      <c r="A545" s="30" t="n">
        <v>1959.69</v>
      </c>
      <c r="B545" s="31"/>
    </row>
    <row r="546" customFormat="false" ht="15.75" hidden="false" customHeight="false" outlineLevel="0" collapsed="false">
      <c r="A546" s="30" t="n">
        <v>1967.35</v>
      </c>
      <c r="B546" s="31"/>
    </row>
    <row r="547" customFormat="false" ht="15.75" hidden="false" customHeight="false" outlineLevel="0" collapsed="false">
      <c r="A547" s="30" t="n">
        <v>1970.93</v>
      </c>
      <c r="B547" s="31"/>
    </row>
    <row r="548" customFormat="false" ht="15.75" hidden="false" customHeight="false" outlineLevel="0" collapsed="false">
      <c r="A548" s="30" t="n">
        <v>1973.99</v>
      </c>
      <c r="B548" s="31"/>
    </row>
    <row r="549" customFormat="false" ht="15.75" hidden="false" customHeight="false" outlineLevel="0" collapsed="false">
      <c r="A549" s="30" t="n">
        <v>1976.55</v>
      </c>
      <c r="B549" s="31"/>
    </row>
    <row r="550" customFormat="false" ht="15.75" hidden="false" customHeight="false" outlineLevel="0" collapsed="false">
      <c r="A550" s="30" t="n">
        <v>1978.59</v>
      </c>
      <c r="B550" s="31"/>
    </row>
    <row r="551" customFormat="false" ht="15.75" hidden="false" customHeight="false" outlineLevel="0" collapsed="false">
      <c r="A551" s="30" t="n">
        <v>1981.66</v>
      </c>
      <c r="B551" s="31"/>
    </row>
    <row r="552" customFormat="false" ht="15.75" hidden="false" customHeight="false" outlineLevel="0" collapsed="false">
      <c r="A552" s="30" t="n">
        <v>1995.46</v>
      </c>
      <c r="B552" s="31"/>
    </row>
    <row r="553" customFormat="false" ht="15.75" hidden="false" customHeight="false" outlineLevel="0" collapsed="false">
      <c r="A553" s="30" t="n">
        <v>1999.54</v>
      </c>
      <c r="B553" s="31"/>
    </row>
    <row r="554" customFormat="false" ht="15.75" hidden="false" customHeight="false" outlineLevel="0" collapsed="false">
      <c r="A554" s="30" t="n">
        <v>2012.83</v>
      </c>
      <c r="B554" s="31"/>
    </row>
    <row r="555" customFormat="false" ht="15.75" hidden="false" customHeight="false" outlineLevel="0" collapsed="false">
      <c r="A555" s="30" t="n">
        <v>2017.94</v>
      </c>
      <c r="B555" s="31"/>
    </row>
    <row r="556" customFormat="false" ht="15.75" hidden="false" customHeight="false" outlineLevel="0" collapsed="false">
      <c r="A556" s="30" t="n">
        <v>2023.05</v>
      </c>
      <c r="B556" s="31"/>
    </row>
    <row r="557" customFormat="false" ht="15.75" hidden="false" customHeight="false" outlineLevel="0" collapsed="false">
      <c r="A557" s="30" t="n">
        <v>2029.69</v>
      </c>
      <c r="B557" s="31"/>
    </row>
    <row r="558" customFormat="false" ht="15.75" hidden="false" customHeight="false" outlineLevel="0" collapsed="false">
      <c r="A558" s="30" t="n">
        <v>2030.2</v>
      </c>
      <c r="B558" s="31"/>
    </row>
    <row r="559" customFormat="false" ht="15.75" hidden="false" customHeight="false" outlineLevel="0" collapsed="false">
      <c r="A559" s="30" t="n">
        <v>2031.74</v>
      </c>
      <c r="B559" s="31"/>
    </row>
    <row r="560" customFormat="false" ht="15.75" hidden="false" customHeight="false" outlineLevel="0" collapsed="false">
      <c r="A560" s="30" t="n">
        <v>2033.27</v>
      </c>
      <c r="B560" s="31"/>
    </row>
    <row r="561" customFormat="false" ht="15.75" hidden="false" customHeight="false" outlineLevel="0" collapsed="false">
      <c r="A561" s="30" t="n">
        <v>2038.89</v>
      </c>
      <c r="B561" s="31"/>
    </row>
    <row r="562" customFormat="false" ht="15.75" hidden="false" customHeight="false" outlineLevel="0" collapsed="false">
      <c r="A562" s="30" t="n">
        <v>2054.22</v>
      </c>
      <c r="B562" s="31"/>
    </row>
    <row r="563" customFormat="false" ht="15.75" hidden="false" customHeight="false" outlineLevel="0" collapsed="false">
      <c r="A563" s="30" t="n">
        <v>2065.46</v>
      </c>
      <c r="B563" s="31"/>
    </row>
    <row r="564" customFormat="false" ht="15.75" hidden="false" customHeight="false" outlineLevel="0" collapsed="false">
      <c r="A564" s="30" t="n">
        <v>2065.46</v>
      </c>
      <c r="B564" s="31"/>
    </row>
    <row r="565" customFormat="false" ht="15.75" hidden="false" customHeight="false" outlineLevel="0" collapsed="false">
      <c r="A565" s="30" t="n">
        <v>2115.03</v>
      </c>
      <c r="B565" s="31"/>
    </row>
    <row r="566" customFormat="false" ht="15.75" hidden="false" customHeight="false" outlineLevel="0" collapsed="false">
      <c r="A566" s="30" t="n">
        <v>2121.16</v>
      </c>
      <c r="B566" s="31"/>
    </row>
    <row r="567" customFormat="false" ht="15.75" hidden="false" customHeight="false" outlineLevel="0" collapsed="false">
      <c r="A567" s="30" t="n">
        <v>2130.36</v>
      </c>
      <c r="B567" s="31"/>
    </row>
    <row r="568" customFormat="false" ht="15.75" hidden="false" customHeight="false" outlineLevel="0" collapsed="false">
      <c r="A568" s="30" t="n">
        <v>2156.93</v>
      </c>
      <c r="B568" s="31"/>
    </row>
    <row r="569" customFormat="false" ht="15.75" hidden="false" customHeight="false" outlineLevel="0" collapsed="false">
      <c r="A569" s="30" t="n">
        <v>2182.99</v>
      </c>
      <c r="B569" s="31"/>
    </row>
    <row r="570" customFormat="false" ht="15.75" hidden="false" customHeight="false" outlineLevel="0" collapsed="false">
      <c r="A570" s="30" t="n">
        <v>2182.99</v>
      </c>
      <c r="B570" s="31"/>
    </row>
    <row r="571" customFormat="false" ht="15.75" hidden="false" customHeight="false" outlineLevel="0" collapsed="false">
      <c r="A571" s="30" t="n">
        <v>2223.36</v>
      </c>
      <c r="B571" s="31"/>
    </row>
    <row r="572" customFormat="false" ht="15.75" hidden="false" customHeight="false" outlineLevel="0" collapsed="false">
      <c r="A572" s="30" t="n">
        <v>2238.18</v>
      </c>
      <c r="B572" s="31"/>
    </row>
    <row r="573" customFormat="false" ht="15.75" hidden="false" customHeight="false" outlineLevel="0" collapsed="false">
      <c r="A573" s="30" t="n">
        <v>2268.33</v>
      </c>
      <c r="B573" s="31"/>
    </row>
    <row r="574" customFormat="false" ht="15.75" hidden="false" customHeight="false" outlineLevel="0" collapsed="false">
      <c r="A574" s="30" t="n">
        <v>2275.99</v>
      </c>
      <c r="B574" s="31"/>
    </row>
    <row r="575" customFormat="false" ht="15.75" hidden="false" customHeight="false" outlineLevel="0" collapsed="false">
      <c r="A575" s="30" t="n">
        <v>2285.7</v>
      </c>
      <c r="B575" s="31"/>
    </row>
    <row r="576" customFormat="false" ht="15.75" hidden="false" customHeight="false" outlineLevel="0" collapsed="false">
      <c r="A576" s="30" t="n">
        <v>2312.79</v>
      </c>
      <c r="B576" s="31"/>
    </row>
    <row r="577" customFormat="false" ht="15.75" hidden="false" customHeight="false" outlineLevel="0" collapsed="false">
      <c r="A577" s="30" t="n">
        <v>2312.79</v>
      </c>
      <c r="B577" s="31"/>
    </row>
    <row r="578" customFormat="false" ht="15.75" hidden="false" customHeight="false" outlineLevel="0" collapsed="false">
      <c r="A578" s="30" t="n">
        <v>2314.83</v>
      </c>
      <c r="B578" s="31"/>
    </row>
    <row r="579" customFormat="false" ht="15.75" hidden="false" customHeight="false" outlineLevel="0" collapsed="false">
      <c r="A579" s="30" t="n">
        <v>2338.34</v>
      </c>
      <c r="B579" s="31"/>
    </row>
    <row r="580" customFormat="false" ht="15.75" hidden="false" customHeight="false" outlineLevel="0" collapsed="false">
      <c r="A580" s="30" t="n">
        <v>2341.91</v>
      </c>
      <c r="B580" s="31"/>
    </row>
    <row r="581" customFormat="false" ht="15.75" hidden="false" customHeight="false" outlineLevel="0" collapsed="false">
      <c r="A581" s="30" t="n">
        <v>2347.53</v>
      </c>
      <c r="B581" s="31"/>
    </row>
    <row r="582" customFormat="false" ht="15.75" hidden="false" customHeight="false" outlineLevel="0" collapsed="false">
      <c r="A582" s="30" t="n">
        <v>2379.73</v>
      </c>
      <c r="B582" s="31"/>
    </row>
    <row r="583" customFormat="false" ht="15.75" hidden="false" customHeight="false" outlineLevel="0" collapsed="false">
      <c r="A583" s="30" t="n">
        <v>2388.93</v>
      </c>
      <c r="B583" s="31"/>
    </row>
    <row r="584" customFormat="false" ht="15.75" hidden="false" customHeight="false" outlineLevel="0" collapsed="false">
      <c r="A584" s="30" t="n">
        <v>2390.97</v>
      </c>
      <c r="B584" s="31"/>
    </row>
    <row r="585" customFormat="false" ht="15.75" hidden="false" customHeight="false" outlineLevel="0" collapsed="false">
      <c r="A585" s="30" t="n">
        <v>2394.55</v>
      </c>
      <c r="B585" s="31"/>
    </row>
    <row r="586" customFormat="false" ht="15.75" hidden="false" customHeight="false" outlineLevel="0" collapsed="false">
      <c r="A586" s="30" t="n">
        <v>2407.83</v>
      </c>
      <c r="B586" s="31"/>
    </row>
    <row r="587" customFormat="false" ht="15.75" hidden="false" customHeight="false" outlineLevel="0" collapsed="false">
      <c r="A587" s="30" t="n">
        <v>2409.88</v>
      </c>
      <c r="B587" s="31"/>
    </row>
    <row r="588" customFormat="false" ht="15.75" hidden="false" customHeight="false" outlineLevel="0" collapsed="false">
      <c r="A588" s="30" t="n">
        <v>2437.98</v>
      </c>
      <c r="B588" s="31"/>
    </row>
    <row r="589" customFormat="false" ht="15.75" hidden="false" customHeight="false" outlineLevel="0" collapsed="false">
      <c r="A589" s="30" t="n">
        <v>2446.67</v>
      </c>
      <c r="B589" s="31"/>
    </row>
    <row r="590" customFormat="false" ht="15.75" hidden="false" customHeight="false" outlineLevel="0" collapsed="false">
      <c r="A590" s="30" t="n">
        <v>2450.25</v>
      </c>
      <c r="B590" s="31"/>
    </row>
    <row r="591" customFormat="false" ht="15.75" hidden="false" customHeight="false" outlineLevel="0" collapsed="false">
      <c r="A591" s="30" t="n">
        <v>2450.76</v>
      </c>
      <c r="B591" s="31"/>
    </row>
    <row r="592" customFormat="false" ht="15.75" hidden="false" customHeight="false" outlineLevel="0" collapsed="false">
      <c r="A592" s="30" t="n">
        <v>2458.42</v>
      </c>
      <c r="B592" s="31"/>
    </row>
    <row r="593" customFormat="false" ht="15.75" hidden="false" customHeight="false" outlineLevel="0" collapsed="false">
      <c r="A593" s="30" t="n">
        <v>2578</v>
      </c>
      <c r="B593" s="31"/>
    </row>
    <row r="594" customFormat="false" ht="15.75" hidden="false" customHeight="false" outlineLevel="0" collapsed="false">
      <c r="A594" s="30" t="n">
        <v>2597.92</v>
      </c>
      <c r="B594" s="31"/>
    </row>
    <row r="595" customFormat="false" ht="15.75" hidden="false" customHeight="false" outlineLevel="0" collapsed="false">
      <c r="A595" s="30" t="n">
        <v>2607.63</v>
      </c>
      <c r="B595" s="31"/>
    </row>
    <row r="596" customFormat="false" ht="15.75" hidden="false" customHeight="false" outlineLevel="0" collapsed="false">
      <c r="A596" s="30" t="n">
        <v>2614.79</v>
      </c>
      <c r="B596" s="31"/>
    </row>
    <row r="597" customFormat="false" ht="15.75" hidden="false" customHeight="false" outlineLevel="0" collapsed="false">
      <c r="A597" s="30" t="n">
        <v>2631.65</v>
      </c>
      <c r="B597" s="31"/>
    </row>
    <row r="598" customFormat="false" ht="15.75" hidden="false" customHeight="false" outlineLevel="0" collapsed="false">
      <c r="A598" s="30" t="n">
        <v>2632.67</v>
      </c>
      <c r="B598" s="31"/>
    </row>
    <row r="599" customFormat="false" ht="15.75" hidden="false" customHeight="false" outlineLevel="0" collapsed="false">
      <c r="A599" s="30" t="n">
        <v>2652.09</v>
      </c>
      <c r="B599" s="31"/>
    </row>
    <row r="600" customFormat="false" ht="15.75" hidden="false" customHeight="false" outlineLevel="0" collapsed="false">
      <c r="A600" s="30" t="n">
        <v>2681.73</v>
      </c>
      <c r="B600" s="31"/>
    </row>
    <row r="601" customFormat="false" ht="15.75" hidden="false" customHeight="false" outlineLevel="0" collapsed="false">
      <c r="A601" s="30" t="n">
        <v>2709.32</v>
      </c>
      <c r="B601" s="31"/>
    </row>
    <row r="602" customFormat="false" ht="15.75" hidden="false" customHeight="false" outlineLevel="0" collapsed="false">
      <c r="A602" s="30" t="n">
        <v>2720.56</v>
      </c>
      <c r="B602" s="31"/>
    </row>
    <row r="603" customFormat="false" ht="15.75" hidden="false" customHeight="false" outlineLevel="0" collapsed="false">
      <c r="A603" s="30" t="n">
        <v>2744.58</v>
      </c>
      <c r="B603" s="31"/>
    </row>
    <row r="604" customFormat="false" ht="15.75" hidden="false" customHeight="false" outlineLevel="0" collapsed="false">
      <c r="A604" s="30" t="n">
        <v>2749.69</v>
      </c>
      <c r="B604" s="31"/>
    </row>
    <row r="605" customFormat="false" ht="15.75" hidden="false" customHeight="false" outlineLevel="0" collapsed="false">
      <c r="A605" s="30" t="n">
        <v>2776.26</v>
      </c>
      <c r="B605" s="31"/>
    </row>
    <row r="606" customFormat="false" ht="15.75" hidden="false" customHeight="false" outlineLevel="0" collapsed="false">
      <c r="A606" s="30" t="n">
        <v>2806.92</v>
      </c>
      <c r="B606" s="31"/>
    </row>
    <row r="607" customFormat="false" ht="15.75" hidden="false" customHeight="false" outlineLevel="0" collapsed="false">
      <c r="A607" s="30" t="n">
        <v>2814.08</v>
      </c>
      <c r="B607" s="31"/>
    </row>
    <row r="608" customFormat="false" ht="15.75" hidden="false" customHeight="false" outlineLevel="0" collapsed="false">
      <c r="A608" s="30" t="n">
        <v>2816.12</v>
      </c>
      <c r="B608" s="31"/>
    </row>
    <row r="609" customFormat="false" ht="15.75" hidden="false" customHeight="false" outlineLevel="0" collapsed="false">
      <c r="A609" s="30" t="n">
        <v>2918.32</v>
      </c>
      <c r="B609" s="31"/>
    </row>
    <row r="610" customFormat="false" ht="15.75" hidden="false" customHeight="false" outlineLevel="0" collapsed="false">
      <c r="A610" s="30" t="n">
        <v>2934.16</v>
      </c>
      <c r="B610" s="31"/>
    </row>
    <row r="611" customFormat="false" ht="15.75" hidden="false" customHeight="false" outlineLevel="0" collapsed="false">
      <c r="A611" s="30" t="n">
        <v>2934.67</v>
      </c>
      <c r="B611" s="31"/>
    </row>
    <row r="612" customFormat="false" ht="15.75" hidden="false" customHeight="false" outlineLevel="0" collapsed="false">
      <c r="A612" s="30" t="n">
        <v>2948.98</v>
      </c>
      <c r="B612" s="31"/>
    </row>
    <row r="613" customFormat="false" ht="15.75" hidden="false" customHeight="false" outlineLevel="0" collapsed="false">
      <c r="A613" s="30" t="n">
        <v>2963.8</v>
      </c>
      <c r="B613" s="31"/>
    </row>
    <row r="614" customFormat="false" ht="15.75" hidden="false" customHeight="false" outlineLevel="0" collapsed="false">
      <c r="A614" s="30" t="n">
        <v>2964.31</v>
      </c>
      <c r="B614" s="31"/>
    </row>
    <row r="615" customFormat="false" ht="15.75" hidden="false" customHeight="false" outlineLevel="0" collapsed="false">
      <c r="A615" s="30" t="n">
        <v>2965.84</v>
      </c>
      <c r="B615" s="31"/>
    </row>
    <row r="616" customFormat="false" ht="15.75" hidden="false" customHeight="false" outlineLevel="0" collapsed="false">
      <c r="A616" s="30" t="n">
        <v>2985.26</v>
      </c>
      <c r="B616" s="31"/>
    </row>
    <row r="617" customFormat="false" ht="15.75" hidden="false" customHeight="false" outlineLevel="0" collapsed="false">
      <c r="A617" s="30" t="n">
        <v>2988.33</v>
      </c>
      <c r="B617" s="31"/>
    </row>
    <row r="618" customFormat="false" ht="15.75" hidden="false" customHeight="false" outlineLevel="0" collapsed="false">
      <c r="A618" s="30" t="n">
        <v>2997.53</v>
      </c>
      <c r="B618" s="31"/>
    </row>
    <row r="619" customFormat="false" ht="15.75" hidden="false" customHeight="false" outlineLevel="0" collapsed="false">
      <c r="A619" s="30" t="n">
        <v>3042.49</v>
      </c>
      <c r="B619" s="31"/>
    </row>
    <row r="620" customFormat="false" ht="15.75" hidden="false" customHeight="false" outlineLevel="0" collapsed="false">
      <c r="A620" s="30" t="n">
        <v>3042.49</v>
      </c>
      <c r="B620" s="31"/>
    </row>
    <row r="621" customFormat="false" ht="15.75" hidden="false" customHeight="false" outlineLevel="0" collapsed="false">
      <c r="A621" s="30" t="n">
        <v>3048.12</v>
      </c>
      <c r="B621" s="31"/>
    </row>
    <row r="622" customFormat="false" ht="15.75" hidden="false" customHeight="false" outlineLevel="0" collapsed="false">
      <c r="A622" s="30" t="n">
        <v>3101.77</v>
      </c>
      <c r="B622" s="31"/>
    </row>
    <row r="623" customFormat="false" ht="15.75" hidden="false" customHeight="false" outlineLevel="0" collapsed="false">
      <c r="A623" s="30" t="n">
        <v>3105.86</v>
      </c>
      <c r="B623" s="31"/>
    </row>
    <row r="624" customFormat="false" ht="15.75" hidden="false" customHeight="false" outlineLevel="0" collapsed="false">
      <c r="A624" s="30" t="n">
        <v>3122.21</v>
      </c>
      <c r="B624" s="31"/>
    </row>
    <row r="625" customFormat="false" ht="15.75" hidden="false" customHeight="false" outlineLevel="0" collapsed="false">
      <c r="A625" s="30" t="n">
        <v>3141.63</v>
      </c>
      <c r="B625" s="31"/>
    </row>
    <row r="626" customFormat="false" ht="15.75" hidden="false" customHeight="false" outlineLevel="0" collapsed="false">
      <c r="A626" s="30" t="n">
        <v>3161.56</v>
      </c>
      <c r="B626" s="31"/>
    </row>
    <row r="627" customFormat="false" ht="15.75" hidden="false" customHeight="false" outlineLevel="0" collapsed="false">
      <c r="A627" s="30" t="n">
        <v>3170.24</v>
      </c>
      <c r="B627" s="31"/>
    </row>
    <row r="628" customFormat="false" ht="15.75" hidden="false" customHeight="false" outlineLevel="0" collapsed="false">
      <c r="A628" s="30" t="n">
        <v>3198.86</v>
      </c>
      <c r="B628" s="31"/>
    </row>
    <row r="629" customFormat="false" ht="15.75" hidden="false" customHeight="false" outlineLevel="0" collapsed="false">
      <c r="A629" s="30" t="n">
        <v>3213.68</v>
      </c>
      <c r="B629" s="31"/>
    </row>
    <row r="630" customFormat="false" ht="15.75" hidden="false" customHeight="false" outlineLevel="0" collapsed="false">
      <c r="A630" s="30" t="n">
        <v>3221.34</v>
      </c>
      <c r="B630" s="31"/>
    </row>
    <row r="631" customFormat="false" ht="15.75" hidden="false" customHeight="false" outlineLevel="0" collapsed="false">
      <c r="A631" s="30" t="n">
        <v>3225.94</v>
      </c>
      <c r="B631" s="31"/>
    </row>
    <row r="632" customFormat="false" ht="15.75" hidden="false" customHeight="false" outlineLevel="0" collapsed="false">
      <c r="A632" s="30" t="n">
        <v>3226.45</v>
      </c>
      <c r="B632" s="31"/>
    </row>
    <row r="633" customFormat="false" ht="15.75" hidden="false" customHeight="false" outlineLevel="0" collapsed="false">
      <c r="A633" s="30" t="n">
        <v>3250.47</v>
      </c>
      <c r="B633" s="31"/>
    </row>
    <row r="634" customFormat="false" ht="15.75" hidden="false" customHeight="false" outlineLevel="0" collapsed="false">
      <c r="A634" s="30" t="n">
        <v>3271.93</v>
      </c>
      <c r="B634" s="31"/>
    </row>
    <row r="635" customFormat="false" ht="15.75" hidden="false" customHeight="false" outlineLevel="0" collapsed="false">
      <c r="A635" s="30" t="n">
        <v>3280.11</v>
      </c>
      <c r="B635" s="31"/>
    </row>
    <row r="636" customFormat="false" ht="15.75" hidden="false" customHeight="false" outlineLevel="0" collapsed="false">
      <c r="A636" s="30" t="n">
        <v>3305.15</v>
      </c>
      <c r="B636" s="31"/>
    </row>
    <row r="637" customFormat="false" ht="15.75" hidden="false" customHeight="false" outlineLevel="0" collapsed="false">
      <c r="A637" s="30" t="n">
        <v>3335.3</v>
      </c>
      <c r="B637" s="31"/>
    </row>
    <row r="638" customFormat="false" ht="15.75" hidden="false" customHeight="false" outlineLevel="0" collapsed="false">
      <c r="A638" s="30" t="n">
        <v>3356.25</v>
      </c>
      <c r="B638" s="31"/>
    </row>
    <row r="639" customFormat="false" ht="15.75" hidden="false" customHeight="false" outlineLevel="0" collapsed="false">
      <c r="A639" s="30" t="n">
        <v>3361.87</v>
      </c>
      <c r="B639" s="31"/>
    </row>
    <row r="640" customFormat="false" ht="15.75" hidden="false" customHeight="false" outlineLevel="0" collapsed="false">
      <c r="A640" s="30" t="n">
        <v>3379.75</v>
      </c>
      <c r="B640" s="31"/>
    </row>
    <row r="641" customFormat="false" ht="15.75" hidden="false" customHeight="false" outlineLevel="0" collapsed="false">
      <c r="A641" s="30" t="n">
        <v>3380.27</v>
      </c>
      <c r="B641" s="31"/>
    </row>
    <row r="642" customFormat="false" ht="15.75" hidden="false" customHeight="false" outlineLevel="0" collapsed="false">
      <c r="A642" s="30" t="n">
        <v>3413.99</v>
      </c>
      <c r="B642" s="31"/>
    </row>
    <row r="643" customFormat="false" ht="15.75" hidden="false" customHeight="false" outlineLevel="0" collapsed="false">
      <c r="A643" s="30" t="n">
        <v>3445.16</v>
      </c>
      <c r="B643" s="31"/>
    </row>
    <row r="644" customFormat="false" ht="15.75" hidden="false" customHeight="false" outlineLevel="0" collapsed="false">
      <c r="A644" s="30" t="n">
        <v>3454.87</v>
      </c>
      <c r="B644" s="31"/>
    </row>
    <row r="645" customFormat="false" ht="15.75" hidden="false" customHeight="false" outlineLevel="0" collapsed="false">
      <c r="A645" s="30" t="n">
        <v>3496.26</v>
      </c>
      <c r="B645" s="31"/>
    </row>
    <row r="646" customFormat="false" ht="15.75" hidden="false" customHeight="false" outlineLevel="0" collapsed="false">
      <c r="A646" s="30" t="n">
        <v>3550.43</v>
      </c>
      <c r="B646" s="31"/>
    </row>
    <row r="647" customFormat="false" ht="15.75" hidden="false" customHeight="false" outlineLevel="0" collapsed="false">
      <c r="A647" s="30" t="n">
        <v>3560.14</v>
      </c>
      <c r="B647" s="31"/>
    </row>
    <row r="648" customFormat="false" ht="15.75" hidden="false" customHeight="false" outlineLevel="0" collapsed="false">
      <c r="A648" s="30" t="n">
        <v>3606.13</v>
      </c>
      <c r="B648" s="31"/>
    </row>
    <row r="649" customFormat="false" ht="15.75" hidden="false" customHeight="false" outlineLevel="0" collapsed="false">
      <c r="A649" s="30" t="n">
        <v>3661.83</v>
      </c>
      <c r="B649" s="31"/>
    </row>
    <row r="650" customFormat="false" ht="15.75" hidden="false" customHeight="false" outlineLevel="0" collapsed="false">
      <c r="A650" s="30" t="n">
        <v>3693.51</v>
      </c>
      <c r="B650" s="31"/>
    </row>
    <row r="651" customFormat="false" ht="15.75" hidden="false" customHeight="false" outlineLevel="0" collapsed="false">
      <c r="A651" s="30" t="n">
        <v>3698.62</v>
      </c>
      <c r="B651" s="31"/>
    </row>
    <row r="652" customFormat="false" ht="15.75" hidden="false" customHeight="false" outlineLevel="0" collapsed="false">
      <c r="A652" s="30" t="n">
        <v>3706.28</v>
      </c>
      <c r="B652" s="31"/>
    </row>
    <row r="653" customFormat="false" ht="15.75" hidden="false" customHeight="false" outlineLevel="0" collapsed="false">
      <c r="A653" s="30" t="n">
        <v>3734.39</v>
      </c>
      <c r="B653" s="31"/>
    </row>
    <row r="654" customFormat="false" ht="15.75" hidden="false" customHeight="false" outlineLevel="0" collapsed="false">
      <c r="A654" s="30" t="n">
        <v>3768.11</v>
      </c>
      <c r="B654" s="31"/>
    </row>
    <row r="655" customFormat="false" ht="15.75" hidden="false" customHeight="false" outlineLevel="0" collapsed="false">
      <c r="A655" s="30" t="n">
        <v>3777.82</v>
      </c>
      <c r="B655" s="31"/>
    </row>
    <row r="656" customFormat="false" ht="15.75" hidden="false" customHeight="false" outlineLevel="0" collapsed="false">
      <c r="A656" s="30" t="n">
        <v>3786</v>
      </c>
      <c r="B656" s="31"/>
    </row>
    <row r="657" customFormat="false" ht="15.75" hidden="false" customHeight="false" outlineLevel="0" collapsed="false">
      <c r="A657" s="30" t="n">
        <v>3790.6</v>
      </c>
      <c r="B657" s="31"/>
    </row>
    <row r="658" customFormat="false" ht="15.75" hidden="false" customHeight="false" outlineLevel="0" collapsed="false">
      <c r="A658" s="30" t="n">
        <v>3797.75</v>
      </c>
      <c r="B658" s="31"/>
    </row>
    <row r="659" customFormat="false" ht="15.75" hidden="false" customHeight="false" outlineLevel="0" collapsed="false">
      <c r="A659" s="30" t="n">
        <v>3818.19</v>
      </c>
      <c r="B659" s="31"/>
    </row>
    <row r="660" customFormat="false" ht="15.75" hidden="false" customHeight="false" outlineLevel="0" collapsed="false">
      <c r="A660" s="30" t="n">
        <v>3820.24</v>
      </c>
      <c r="B660" s="31"/>
    </row>
    <row r="661" customFormat="false" ht="15.75" hidden="false" customHeight="false" outlineLevel="0" collapsed="false">
      <c r="A661" s="30" t="n">
        <v>3874.4</v>
      </c>
      <c r="B661" s="31"/>
    </row>
    <row r="662" customFormat="false" ht="15.75" hidden="false" customHeight="false" outlineLevel="0" collapsed="false">
      <c r="A662" s="30" t="n">
        <v>3881.56</v>
      </c>
      <c r="B662" s="31"/>
    </row>
    <row r="663" customFormat="false" ht="15.75" hidden="false" customHeight="false" outlineLevel="0" collapsed="false">
      <c r="A663" s="30" t="n">
        <v>3898.42</v>
      </c>
      <c r="B663" s="31"/>
    </row>
    <row r="664" customFormat="false" ht="15.75" hidden="false" customHeight="false" outlineLevel="0" collapsed="false">
      <c r="A664" s="30" t="n">
        <v>3923.46</v>
      </c>
      <c r="B664" s="31"/>
    </row>
    <row r="665" customFormat="false" ht="15.75" hidden="false" customHeight="false" outlineLevel="0" collapsed="false">
      <c r="A665" s="30" t="n">
        <v>3945.43</v>
      </c>
      <c r="B665" s="31"/>
    </row>
    <row r="666" customFormat="false" ht="15.75" hidden="false" customHeight="false" outlineLevel="0" collapsed="false">
      <c r="A666" s="30" t="n">
        <v>3964.34</v>
      </c>
      <c r="B666" s="31"/>
    </row>
    <row r="667" customFormat="false" ht="15.75" hidden="false" customHeight="false" outlineLevel="0" collapsed="false">
      <c r="A667" s="30" t="n">
        <v>3992.95</v>
      </c>
      <c r="B667" s="31"/>
    </row>
    <row r="668" customFormat="false" ht="15.75" hidden="false" customHeight="false" outlineLevel="0" collapsed="false">
      <c r="A668" s="30" t="n">
        <v>3998.06</v>
      </c>
      <c r="B668" s="31"/>
    </row>
    <row r="669" customFormat="false" ht="15.75" hidden="false" customHeight="false" outlineLevel="0" collapsed="false">
      <c r="A669" s="30" t="n">
        <v>4027.7</v>
      </c>
      <c r="B669" s="31"/>
    </row>
    <row r="670" customFormat="false" ht="15.75" hidden="false" customHeight="false" outlineLevel="0" collapsed="false">
      <c r="A670" s="30" t="n">
        <v>4070.63</v>
      </c>
      <c r="B670" s="31"/>
    </row>
    <row r="671" customFormat="false" ht="15.75" hidden="false" customHeight="false" outlineLevel="0" collapsed="false">
      <c r="A671" s="30" t="n">
        <v>4124.79</v>
      </c>
      <c r="B671" s="31"/>
    </row>
    <row r="672" customFormat="false" ht="15.75" hidden="false" customHeight="false" outlineLevel="0" collapsed="false">
      <c r="A672" s="30" t="n">
        <v>4155.96</v>
      </c>
      <c r="B672" s="31"/>
    </row>
    <row r="673" customFormat="false" ht="15.75" hidden="false" customHeight="false" outlineLevel="0" collapsed="false">
      <c r="A673" s="30" t="n">
        <v>4270.94</v>
      </c>
      <c r="B673" s="31"/>
    </row>
    <row r="674" customFormat="false" ht="15.75" hidden="false" customHeight="false" outlineLevel="0" collapsed="false">
      <c r="A674" s="30" t="n">
        <v>4328.68</v>
      </c>
      <c r="B674" s="31"/>
    </row>
    <row r="675" customFormat="false" ht="15.75" hidden="false" customHeight="false" outlineLevel="0" collapsed="false">
      <c r="A675" s="30" t="n">
        <v>4336.86</v>
      </c>
      <c r="B675" s="31"/>
    </row>
    <row r="676" customFormat="false" ht="15.75" hidden="false" customHeight="false" outlineLevel="0" collapsed="false">
      <c r="A676" s="30" t="n">
        <v>4388.47</v>
      </c>
      <c r="B676" s="31"/>
    </row>
    <row r="677" customFormat="false" ht="15.75" hidden="false" customHeight="false" outlineLevel="0" collapsed="false">
      <c r="A677" s="30" t="n">
        <v>4401.24</v>
      </c>
      <c r="B677" s="31"/>
    </row>
    <row r="678" customFormat="false" ht="15.75" hidden="false" customHeight="false" outlineLevel="0" collapsed="false">
      <c r="A678" s="30" t="n">
        <v>4526.44</v>
      </c>
      <c r="B678" s="31"/>
    </row>
    <row r="679" customFormat="false" ht="15.75" hidden="false" customHeight="false" outlineLevel="0" collapsed="false">
      <c r="A679" s="30" t="n">
        <v>4571.92</v>
      </c>
      <c r="B679" s="31"/>
    </row>
    <row r="680" customFormat="false" ht="15.75" hidden="false" customHeight="false" outlineLevel="0" collapsed="false">
      <c r="A680" s="30" t="n">
        <v>4627.11</v>
      </c>
      <c r="B680" s="31"/>
    </row>
    <row r="681" customFormat="false" ht="15.75" hidden="false" customHeight="false" outlineLevel="0" collapsed="false">
      <c r="A681" s="30" t="n">
        <v>4679.23</v>
      </c>
      <c r="B681" s="31"/>
    </row>
    <row r="682" customFormat="false" ht="15.75" hidden="false" customHeight="false" outlineLevel="0" collapsed="false">
      <c r="A682" s="30" t="n">
        <v>4740.55</v>
      </c>
      <c r="B682" s="31"/>
    </row>
    <row r="683" customFormat="false" ht="15.75" hidden="false" customHeight="false" outlineLevel="0" collapsed="false">
      <c r="A683" s="30" t="n">
        <v>4743.61</v>
      </c>
      <c r="B683" s="31"/>
    </row>
    <row r="684" customFormat="false" ht="15.75" hidden="false" customHeight="false" outlineLevel="0" collapsed="false">
      <c r="A684" s="30" t="n">
        <v>4821.8</v>
      </c>
      <c r="B684" s="31"/>
    </row>
    <row r="685" customFormat="false" ht="15.75" hidden="false" customHeight="false" outlineLevel="0" collapsed="false">
      <c r="A685" s="30" t="n">
        <v>4888.23</v>
      </c>
      <c r="B685" s="31"/>
    </row>
    <row r="686" customFormat="false" ht="15.75" hidden="false" customHeight="false" outlineLevel="0" collapsed="false">
      <c r="A686" s="30" t="n">
        <v>5036.93</v>
      </c>
      <c r="B686" s="31"/>
    </row>
    <row r="687" customFormat="false" ht="15.75" hidden="false" customHeight="false" outlineLevel="0" collapsed="false">
      <c r="A687" s="30" t="n">
        <v>5183.58</v>
      </c>
      <c r="B687" s="31"/>
    </row>
    <row r="688" customFormat="false" ht="15.75" hidden="false" customHeight="false" outlineLevel="0" collapsed="false">
      <c r="A688" s="30" t="n">
        <v>5223.44</v>
      </c>
      <c r="B688" s="31"/>
    </row>
    <row r="689" customFormat="false" ht="15.75" hidden="false" customHeight="false" outlineLevel="0" collapsed="false">
      <c r="A689" s="30" t="n">
        <v>5297.03</v>
      </c>
      <c r="B689" s="31"/>
    </row>
    <row r="690" customFormat="false" ht="15.75" hidden="false" customHeight="false" outlineLevel="0" collapsed="false">
      <c r="A690" s="30" t="n">
        <v>5353.75</v>
      </c>
      <c r="B690" s="31"/>
    </row>
    <row r="691" customFormat="false" ht="15.75" hidden="false" customHeight="false" outlineLevel="0" collapsed="false">
      <c r="A691" s="30" t="n">
        <v>5428.35</v>
      </c>
      <c r="B691" s="31"/>
    </row>
    <row r="692" customFormat="false" ht="15.75" hidden="false" customHeight="false" outlineLevel="0" collapsed="false">
      <c r="A692" s="30" t="n">
        <v>5478.94</v>
      </c>
      <c r="B692" s="31"/>
    </row>
    <row r="693" customFormat="false" ht="15.75" hidden="false" customHeight="false" outlineLevel="0" collapsed="false">
      <c r="A693" s="30" t="n">
        <v>5557.13</v>
      </c>
      <c r="B693" s="31"/>
    </row>
    <row r="694" customFormat="false" ht="15.75" hidden="false" customHeight="false" outlineLevel="0" collapsed="false">
      <c r="A694" s="30" t="n">
        <v>5648.59</v>
      </c>
      <c r="B694" s="31"/>
    </row>
    <row r="695" customFormat="false" ht="15.75" hidden="false" customHeight="false" outlineLevel="0" collapsed="false">
      <c r="A695" s="30" t="n">
        <v>6009.36</v>
      </c>
      <c r="B695" s="31"/>
    </row>
    <row r="696" customFormat="false" ht="15.75" hidden="false" customHeight="false" outlineLevel="0" collapsed="false">
      <c r="A696" s="30" t="n">
        <v>6218.36</v>
      </c>
      <c r="B696" s="31"/>
    </row>
    <row r="697" customFormat="false" ht="15.75" hidden="false" customHeight="false" outlineLevel="0" collapsed="false">
      <c r="A697" s="30" t="n">
        <v>6236.24</v>
      </c>
      <c r="B697" s="31"/>
    </row>
    <row r="698" customFormat="false" ht="15.75" hidden="false" customHeight="false" outlineLevel="0" collapsed="false">
      <c r="A698" s="30" t="n">
        <v>6514.74</v>
      </c>
      <c r="B698" s="31"/>
    </row>
    <row r="699" customFormat="false" ht="15.75" hidden="false" customHeight="false" outlineLevel="0" collapsed="false">
      <c r="A699" s="30" t="n">
        <v>7029.32</v>
      </c>
      <c r="B699" s="31"/>
    </row>
    <row r="700" customFormat="false" ht="15.75" hidden="false" customHeight="false" outlineLevel="0" collapsed="false">
      <c r="A700" s="30" t="n">
        <v>7245.47</v>
      </c>
      <c r="B700" s="31"/>
    </row>
    <row r="701" customFormat="false" ht="15.75" hidden="false" customHeight="false" outlineLevel="0" collapsed="false">
      <c r="A701" s="30" t="n">
        <v>7998.68</v>
      </c>
      <c r="B701" s="31"/>
    </row>
    <row r="702" customFormat="false" ht="15.75" hidden="false" customHeight="false" outlineLevel="0" collapsed="false">
      <c r="A702" s="46" t="n">
        <v>8102.93</v>
      </c>
      <c r="B702" s="40"/>
    </row>
  </sheetData>
  <mergeCells count="3">
    <mergeCell ref="A1:B1"/>
    <mergeCell ref="E2:F2"/>
    <mergeCell ref="E13:F1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2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25"/>
    <col collapsed="false" customWidth="true" hidden="false" outlineLevel="0" max="3" min="3" style="0" width="15.51"/>
    <col collapsed="false" customWidth="true" hidden="false" outlineLevel="0" max="4" min="4" style="0" width="6.12"/>
    <col collapsed="false" customWidth="true" hidden="false" outlineLevel="0" max="5" min="5" style="0" width="21"/>
    <col collapsed="false" customWidth="true" hidden="false" outlineLevel="0" max="6" min="6" style="0" width="31.12"/>
    <col collapsed="false" customWidth="true" hidden="false" outlineLevel="0" max="7" min="7" style="0" width="15.51"/>
    <col collapsed="false" customWidth="true" hidden="false" outlineLevel="0" max="9" min="9" style="0" width="15.38"/>
  </cols>
  <sheetData>
    <row r="2" customFormat="false" ht="15.75" hidden="false" customHeight="false" outlineLevel="0" collapsed="false">
      <c r="A2" s="27" t="s">
        <v>68</v>
      </c>
      <c r="B2" s="27"/>
      <c r="C2" s="27"/>
      <c r="D2" s="27"/>
      <c r="G2" s="27" t="s">
        <v>69</v>
      </c>
      <c r="H2" s="27"/>
      <c r="I2" s="27"/>
    </row>
    <row r="3" customFormat="false" ht="15.75" hidden="false" customHeight="false" outlineLevel="0" collapsed="false">
      <c r="A3" s="47" t="s">
        <v>70</v>
      </c>
      <c r="B3" s="48" t="s">
        <v>16</v>
      </c>
      <c r="C3" s="48" t="s">
        <v>13</v>
      </c>
      <c r="D3" s="49" t="s">
        <v>71</v>
      </c>
      <c r="G3" s="47" t="s">
        <v>70</v>
      </c>
      <c r="H3" s="48" t="s">
        <v>16</v>
      </c>
      <c r="I3" s="49" t="s">
        <v>13</v>
      </c>
    </row>
    <row r="4" customFormat="false" ht="15.75" hidden="false" customHeight="false" outlineLevel="0" collapsed="false">
      <c r="A4" s="50" t="s">
        <v>72</v>
      </c>
      <c r="B4" s="51" t="n">
        <f aca="false">'sql query tables'!B14*'sql query tables'!C14/100</f>
        <v>34</v>
      </c>
      <c r="C4" s="51" t="n">
        <f aca="false">'sql query tables'!B14*(100-'sql query tables'!C14)/100</f>
        <v>102</v>
      </c>
      <c r="D4" s="35" t="n">
        <f aca="false">B4+C4</f>
        <v>136</v>
      </c>
      <c r="G4" s="50" t="s">
        <v>72</v>
      </c>
      <c r="H4" s="52" t="n">
        <f aca="false">D4*B7/D7</f>
        <v>40.7992384</v>
      </c>
      <c r="I4" s="52" t="n">
        <f aca="false">D4*C7/D7</f>
        <v>95.2007616</v>
      </c>
    </row>
    <row r="5" customFormat="false" ht="15.75" hidden="false" customHeight="false" outlineLevel="0" collapsed="false">
      <c r="A5" s="50" t="s">
        <v>73</v>
      </c>
      <c r="B5" s="52" t="n">
        <f aca="false">'sql query tables'!B15*'sql query tables'!C15/100</f>
        <v>107.0104</v>
      </c>
      <c r="C5" s="52" t="n">
        <f aca="false">'sql query tables'!B15*(100-'sql query tables'!C15)/100</f>
        <v>280.9896</v>
      </c>
      <c r="D5" s="53" t="n">
        <f aca="false">B5+C5</f>
        <v>388</v>
      </c>
      <c r="G5" s="50" t="s">
        <v>73</v>
      </c>
      <c r="H5" s="52" t="n">
        <f aca="false">D5*B7/D7</f>
        <v>116.3978272</v>
      </c>
      <c r="I5" s="54" t="n">
        <f aca="false">D5*C7/D7</f>
        <v>271.6021728</v>
      </c>
    </row>
    <row r="6" customFormat="false" ht="15.75" hidden="false" customHeight="false" outlineLevel="0" collapsed="false">
      <c r="A6" s="50" t="s">
        <v>74</v>
      </c>
      <c r="B6" s="52" t="n">
        <f aca="false">'sql query tables'!B16*'sql query tables'!C16/100</f>
        <v>158.984</v>
      </c>
      <c r="C6" s="52" t="n">
        <f aca="false">'sql query tables'!B16*(100-'sql query tables'!C16)/100</f>
        <v>317.016</v>
      </c>
      <c r="D6" s="53" t="n">
        <f aca="false">B6+C6</f>
        <v>476</v>
      </c>
      <c r="G6" s="55" t="s">
        <v>74</v>
      </c>
      <c r="H6" s="56" t="n">
        <f aca="false">D6*B7/D7</f>
        <v>142.7973344</v>
      </c>
      <c r="I6" s="57" t="n">
        <f aca="false">D6*C7/D7</f>
        <v>333.2026656</v>
      </c>
    </row>
    <row r="7" customFormat="false" ht="15.75" hidden="false" customHeight="false" outlineLevel="0" collapsed="false">
      <c r="A7" s="58" t="s">
        <v>71</v>
      </c>
      <c r="B7" s="59" t="n">
        <f aca="false">SUM(B4:B6)</f>
        <v>299.9944</v>
      </c>
      <c r="C7" s="60" t="n">
        <f aca="false">SUM(C4:C6)</f>
        <v>700.0056</v>
      </c>
      <c r="D7" s="61" t="n">
        <f aca="false">B7+C7</f>
        <v>1000</v>
      </c>
    </row>
    <row r="10" customFormat="false" ht="15.75" hidden="false" customHeight="false" outlineLevel="0" collapsed="false">
      <c r="E10" s="27" t="s">
        <v>75</v>
      </c>
      <c r="F10" s="27"/>
    </row>
    <row r="11" customFormat="false" ht="15.75" hidden="false" customHeight="false" outlineLevel="0" collapsed="false">
      <c r="E11" s="62" t="s">
        <v>58</v>
      </c>
      <c r="F11" s="63" t="n">
        <f aca="false">_xlfn.CHISQ.TEST(B4:C6,H4:I6)</f>
        <v>0.06989890753</v>
      </c>
    </row>
    <row r="12" customFormat="false" ht="15.75" hidden="false" customHeight="false" outlineLevel="0" collapsed="false">
      <c r="E12" s="36" t="s">
        <v>59</v>
      </c>
      <c r="F12" s="31"/>
    </row>
    <row r="13" customFormat="false" ht="26.85" hidden="false" customHeight="false" outlineLevel="0" collapsed="false">
      <c r="E13" s="64" t="s">
        <v>60</v>
      </c>
      <c r="F13" s="31"/>
    </row>
    <row r="14" customFormat="false" ht="15.75" hidden="false" customHeight="false" outlineLevel="0" collapsed="false">
      <c r="E14" s="30"/>
      <c r="F14" s="31"/>
    </row>
    <row r="15" customFormat="false" ht="77.6" hidden="false" customHeight="false" outlineLevel="0" collapsed="false">
      <c r="B15" s="65"/>
      <c r="E15" s="66" t="s">
        <v>76</v>
      </c>
      <c r="F15" s="31"/>
    </row>
    <row r="16" customFormat="false" ht="77.6" hidden="false" customHeight="false" outlineLevel="0" collapsed="false">
      <c r="B16" s="67"/>
      <c r="E16" s="68" t="s">
        <v>77</v>
      </c>
      <c r="F16" s="40"/>
    </row>
  </sheetData>
  <mergeCells count="3">
    <mergeCell ref="A2:D2"/>
    <mergeCell ref="G2:I2"/>
    <mergeCell ref="E10:F10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2026-04-14T20:38:31Z</dcterms:modified>
  <cp:revision>1</cp:revision>
  <dc:subject/>
  <dc:title/>
</cp:coreProperties>
</file>